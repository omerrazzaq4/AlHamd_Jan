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935" documentId="8_{EB9B3F02-843B-43AB-9D1E-44A7B86FB663}" xr6:coauthVersionLast="47" xr6:coauthVersionMax="47" xr10:uidLastSave="{C81EC7AC-EB4E-4922-B335-CE973248189D}"/>
  <bookViews>
    <workbookView xWindow="-108" yWindow="-108" windowWidth="23256" windowHeight="12456" tabRatio="597" firstSheet="5"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9" i="17" l="1"/>
  <c r="I138" i="1"/>
  <c r="J138" i="1" s="1" a="1"/>
  <c r="J138" i="1" s="1"/>
  <c r="I139" i="1"/>
  <c r="J139" i="1" s="1" a="1"/>
  <c r="J139" i="1" s="1"/>
  <c r="I140" i="1"/>
  <c r="J140" i="1" a="1"/>
  <c r="J140" i="1" s="1"/>
  <c r="I137" i="1"/>
  <c r="J137" i="1" s="1" a="1"/>
  <c r="J137" i="1" s="1"/>
  <c r="C6" i="8" l="1"/>
  <c r="C5" i="8"/>
  <c r="F16" i="15"/>
  <c r="F17" i="15"/>
  <c r="F18" i="15"/>
  <c r="F19" i="15"/>
  <c r="F20" i="15"/>
  <c r="F21" i="15"/>
  <c r="F22" i="15"/>
  <c r="G16" i="15"/>
  <c r="H16" i="15" s="1"/>
  <c r="G17" i="15"/>
  <c r="H17" i="15" s="1"/>
  <c r="G18" i="15"/>
  <c r="H18" i="15" s="1"/>
  <c r="G19" i="15"/>
  <c r="H19" i="15" s="1"/>
  <c r="G20" i="15"/>
  <c r="H20" i="15" s="1"/>
  <c r="G21" i="15"/>
  <c r="H21" i="15" s="1"/>
  <c r="G22" i="15"/>
  <c r="H22" i="15" s="1"/>
  <c r="I129" i="1"/>
  <c r="J129" i="1" a="1"/>
  <c r="J129" i="1" s="1"/>
  <c r="I130" i="1"/>
  <c r="J130" i="1" a="1"/>
  <c r="J130" i="1" s="1"/>
  <c r="I131" i="1"/>
  <c r="J131" i="1" a="1"/>
  <c r="J131" i="1" s="1"/>
  <c r="I132" i="1"/>
  <c r="J132" i="1" a="1"/>
  <c r="J132" i="1" s="1"/>
  <c r="I133" i="1"/>
  <c r="J133" i="1" s="1" a="1"/>
  <c r="J133" i="1" s="1"/>
  <c r="I134" i="1"/>
  <c r="J134" i="1" a="1"/>
  <c r="J134" i="1" s="1"/>
  <c r="I135" i="1"/>
  <c r="J135" i="1" a="1"/>
  <c r="J135" i="1" s="1"/>
  <c r="I136" i="1"/>
  <c r="J136" i="1" a="1"/>
  <c r="J136" i="1" s="1"/>
  <c r="I128" i="1"/>
  <c r="J128" i="1" a="1"/>
  <c r="J128" i="1" s="1"/>
  <c r="I118" i="1"/>
  <c r="J118" i="1" a="1"/>
  <c r="J118" i="1" s="1"/>
  <c r="I119" i="1"/>
  <c r="J119" i="1" a="1"/>
  <c r="J119" i="1" s="1"/>
  <c r="I120" i="1"/>
  <c r="J120" i="1" a="1"/>
  <c r="J120" i="1" s="1"/>
  <c r="I121" i="1"/>
  <c r="J121" i="1" a="1"/>
  <c r="J121" i="1" s="1"/>
  <c r="I122" i="1"/>
  <c r="J122" i="1" a="1"/>
  <c r="J122" i="1" s="1"/>
  <c r="I123" i="1"/>
  <c r="J123" i="1" a="1"/>
  <c r="J123" i="1" s="1"/>
  <c r="I124" i="1"/>
  <c r="J124" i="1" a="1"/>
  <c r="J124" i="1" s="1"/>
  <c r="I125" i="1"/>
  <c r="J125" i="1" a="1"/>
  <c r="J125" i="1" s="1"/>
  <c r="I126" i="1"/>
  <c r="J126" i="1" a="1"/>
  <c r="J126" i="1" s="1"/>
  <c r="I127" i="1"/>
  <c r="J127" i="1" a="1"/>
  <c r="J127" i="1" s="1"/>
  <c r="I20" i="6"/>
  <c r="I21" i="6"/>
  <c r="I22" i="6"/>
  <c r="I23" i="6"/>
  <c r="I24" i="6"/>
  <c r="I25" i="6"/>
  <c r="I26" i="6"/>
  <c r="I27" i="6"/>
  <c r="I28" i="6"/>
  <c r="I29" i="6"/>
  <c r="I30" i="6"/>
  <c r="I31" i="6"/>
  <c r="I32" i="6"/>
  <c r="I33" i="6"/>
  <c r="I34" i="6"/>
  <c r="I35" i="6"/>
  <c r="I36" i="6"/>
  <c r="I37" i="6"/>
  <c r="I38" i="6"/>
  <c r="I39" i="6"/>
  <c r="I40" i="6"/>
  <c r="I19" i="6"/>
  <c r="O114" i="9"/>
  <c r="AD35" i="9"/>
  <c r="B6" i="21"/>
  <c r="B26" i="21"/>
  <c r="B25" i="21"/>
  <c r="B7" i="21"/>
  <c r="D2" i="17"/>
  <c r="N5" i="17" s="1"/>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a="1"/>
  <c r="J105" i="1" s="1"/>
  <c r="I106" i="1"/>
  <c r="J106" i="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a="1"/>
  <c r="J104" i="1" s="1"/>
  <c r="G14" i="15"/>
  <c r="H14" i="15" s="1"/>
  <c r="G15" i="15"/>
  <c r="H15" i="15" s="1"/>
  <c r="J61" i="1"/>
  <c r="J59" i="1"/>
  <c r="I82" i="1"/>
  <c r="J82" i="1" s="1" a="1"/>
  <c r="J82" i="1" s="1"/>
  <c r="I83" i="1"/>
  <c r="J83" i="1" a="1"/>
  <c r="J83" i="1" s="1"/>
  <c r="I84" i="1"/>
  <c r="J84" i="1" s="1" a="1"/>
  <c r="J84" i="1" s="1"/>
  <c r="I85" i="1"/>
  <c r="J85" i="1" s="1" a="1"/>
  <c r="J85" i="1" s="1"/>
  <c r="I86" i="1"/>
  <c r="J86" i="1" s="1" a="1"/>
  <c r="J86" i="1" s="1"/>
  <c r="I87" i="1"/>
  <c r="J87" i="1" a="1"/>
  <c r="J87" i="1" s="1"/>
  <c r="I88" i="1"/>
  <c r="J88" i="1" s="1" a="1"/>
  <c r="J88" i="1" s="1"/>
  <c r="I89" i="1"/>
  <c r="J89" i="1" s="1" a="1"/>
  <c r="J89" i="1" s="1"/>
  <c r="I90" i="1"/>
  <c r="J90" i="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s="1" a="1"/>
  <c r="R35" i="9" s="1"/>
  <c r="D114" i="9"/>
  <c r="S35" i="9" s="1" a="1"/>
  <c r="S35" i="9" s="1"/>
  <c r="E114" i="9"/>
  <c r="T35" i="9" s="1" a="1"/>
  <c r="T35" i="9" s="1"/>
  <c r="F114" i="9"/>
  <c r="U35" i="9" s="1" a="1"/>
  <c r="U35" i="9" s="1"/>
  <c r="G114" i="9"/>
  <c r="V35" i="9" s="1" a="1"/>
  <c r="V35" i="9" s="1"/>
  <c r="H114" i="9"/>
  <c r="W35" i="9" s="1" a="1"/>
  <c r="W35"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J115" i="9"/>
  <c r="Y36" i="9" s="1" a="1"/>
  <c r="Y36" i="9" s="1"/>
  <c r="K115" i="9"/>
  <c r="Z36" i="9" s="1" a="1"/>
  <c r="Z36" i="9" s="1"/>
  <c r="L115" i="9"/>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s="1" a="1"/>
  <c r="J64" i="1" s="1"/>
  <c r="I65" i="1"/>
  <c r="J65" i="1" s="1" a="1"/>
  <c r="J65" i="1" s="1"/>
  <c r="I66" i="1"/>
  <c r="J66" i="1" s="1" a="1"/>
  <c r="J66" i="1" s="1"/>
  <c r="I67" i="1"/>
  <c r="J67" i="1" s="1" a="1"/>
  <c r="J67" i="1" s="1"/>
  <c r="I68" i="1"/>
  <c r="J68" i="1" s="1" a="1"/>
  <c r="J68" i="1" s="1"/>
  <c r="I69" i="1"/>
  <c r="J69" i="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M112" i="9" s="1"/>
  <c r="E16"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50" i="7"/>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Q5" i="9" s="1"/>
  <c r="A2"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G27" i="2" s="1"/>
  <c r="E59" i="2"/>
  <c r="F59" i="2"/>
  <c r="H59" i="2"/>
  <c r="I59" i="2"/>
  <c r="D59" i="2"/>
  <c r="F28" i="2"/>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G45" i="2" s="1"/>
  <c r="F45" i="2"/>
  <c r="H45" i="2"/>
  <c r="I45" i="2" s="1"/>
  <c r="D45" i="2" s="1"/>
  <c r="E46" i="2"/>
  <c r="F46" i="2"/>
  <c r="H46" i="2" s="1"/>
  <c r="I46" i="2" s="1"/>
  <c r="D46" i="2" s="1"/>
  <c r="E47" i="2"/>
  <c r="F47" i="2"/>
  <c r="H47" i="2" s="1"/>
  <c r="I47" i="2" s="1"/>
  <c r="D47" i="2" s="1"/>
  <c r="E48" i="2"/>
  <c r="F48" i="2"/>
  <c r="F20" i="2"/>
  <c r="G20" i="2" s="1"/>
  <c r="E20" i="2"/>
  <c r="E49" i="2"/>
  <c r="F49" i="2"/>
  <c r="H49" i="2"/>
  <c r="I49" i="2"/>
  <c r="D49" i="2"/>
  <c r="F21" i="2"/>
  <c r="H21" i="2"/>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G24" i="2" s="1"/>
  <c r="H24" i="2"/>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G33" i="2" s="1"/>
  <c r="H108" i="1" s="1"/>
  <c r="H33" i="2"/>
  <c r="I33" i="2" s="1"/>
  <c r="D33" i="2" s="1"/>
  <c r="F6" i="2"/>
  <c r="H6" i="2" s="1"/>
  <c r="I6" i="2" s="1"/>
  <c r="D6" i="2" s="1"/>
  <c r="E6" i="2"/>
  <c r="F5" i="2"/>
  <c r="E5" i="2"/>
  <c r="E34" i="2"/>
  <c r="F34" i="2"/>
  <c r="H34" i="2" s="1"/>
  <c r="I34" i="2" s="1"/>
  <c r="D34" i="2" s="1"/>
  <c r="F18" i="2"/>
  <c r="H18" i="2" s="1"/>
  <c r="I18" i="2" s="1"/>
  <c r="D18" i="2" s="1"/>
  <c r="E18" i="2"/>
  <c r="E35" i="2"/>
  <c r="F35" i="2"/>
  <c r="H35" i="2" s="1"/>
  <c r="I35" i="2" s="1"/>
  <c r="D35" i="2" s="1"/>
  <c r="E36" i="2"/>
  <c r="F36" i="2"/>
  <c r="H36" i="2"/>
  <c r="I36" i="2" s="1"/>
  <c r="D36" i="2" s="1"/>
  <c r="F22" i="2"/>
  <c r="E22" i="2"/>
  <c r="F7" i="2"/>
  <c r="G7" i="2" s="1"/>
  <c r="H67" i="1" s="1"/>
  <c r="E7" i="2"/>
  <c r="E37" i="2"/>
  <c r="F37" i="2"/>
  <c r="H37" i="2" s="1"/>
  <c r="I37" i="2" s="1"/>
  <c r="D37" i="2" s="1"/>
  <c r="E39" i="2"/>
  <c r="F39" i="2"/>
  <c r="G39" i="2" s="1"/>
  <c r="E40" i="2"/>
  <c r="F40" i="2"/>
  <c r="H40" i="2" s="1"/>
  <c r="I40" i="2" s="1"/>
  <c r="D40" i="2" s="1"/>
  <c r="E41" i="2"/>
  <c r="F41" i="2"/>
  <c r="H41" i="2" s="1"/>
  <c r="I41" i="2" s="1"/>
  <c r="D41" i="2" s="1"/>
  <c r="E42" i="2"/>
  <c r="F42" i="2"/>
  <c r="H42" i="2" s="1"/>
  <c r="I42" i="2" s="1"/>
  <c r="D42" i="2" s="1"/>
  <c r="E43" i="2"/>
  <c r="F43" i="2"/>
  <c r="G43" i="2" s="1"/>
  <c r="H130" i="1" s="1"/>
  <c r="E44" i="2"/>
  <c r="F44" i="2"/>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s="1"/>
  <c r="I23" i="2" s="1"/>
  <c r="D23" i="2" s="1"/>
  <c r="E23" i="2"/>
  <c r="F15" i="2"/>
  <c r="H15" i="2"/>
  <c r="I15" i="2"/>
  <c r="D15" i="2" s="1"/>
  <c r="E15" i="2"/>
  <c r="F16" i="2"/>
  <c r="G16" i="2" s="1"/>
  <c r="E16" i="2"/>
  <c r="F26" i="2"/>
  <c r="H26" i="2" s="1"/>
  <c r="I26" i="2" s="1"/>
  <c r="D26" i="2" s="1"/>
  <c r="E26" i="2"/>
  <c r="F29" i="2"/>
  <c r="H29" i="2" s="1"/>
  <c r="I29" i="2" s="1"/>
  <c r="D29" i="2" s="1"/>
  <c r="E29" i="2"/>
  <c r="F30" i="2"/>
  <c r="H30" i="2" s="1"/>
  <c r="I30" i="2" s="1"/>
  <c r="D30" i="2" s="1"/>
  <c r="F31" i="2"/>
  <c r="E31" i="2"/>
  <c r="F32" i="2"/>
  <c r="F14" i="2"/>
  <c r="H14" i="2" s="1"/>
  <c r="I14" i="2" s="1"/>
  <c r="D14" i="2" s="1"/>
  <c r="E14" i="2"/>
  <c r="G14" i="2" s="1"/>
  <c r="H65" i="1" s="1"/>
  <c r="E30" i="2"/>
  <c r="G30" i="2" s="1"/>
  <c r="H104" i="1" s="1"/>
  <c r="E32" i="2"/>
  <c r="N4" i="17"/>
  <c r="F12" i="2"/>
  <c r="G12" i="2" s="1"/>
  <c r="E12" i="2"/>
  <c r="F11" i="2"/>
  <c r="H11" i="2" s="1"/>
  <c r="I11" i="2" s="1"/>
  <c r="E11" i="2"/>
  <c r="E17" i="2"/>
  <c r="F17" i="2"/>
  <c r="G17" i="2" s="1"/>
  <c r="H75" i="1" s="1"/>
  <c r="F9" i="2"/>
  <c r="H9" i="2" s="1"/>
  <c r="I9" i="2" s="1"/>
  <c r="D9" i="2" s="1"/>
  <c r="E9" i="2"/>
  <c r="E8" i="2"/>
  <c r="F8" i="2"/>
  <c r="H8" i="2" s="1"/>
  <c r="I8" i="2" s="1"/>
  <c r="D8" i="2" s="1"/>
  <c r="E10" i="2"/>
  <c r="E4" i="2"/>
  <c r="C8" i="8"/>
  <c r="F10" i="2"/>
  <c r="G10" i="2" s="1"/>
  <c r="H66" i="1"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H48" i="2"/>
  <c r="I48" i="2"/>
  <c r="D48" i="2"/>
  <c r="H54" i="2"/>
  <c r="I54" i="2"/>
  <c r="D54" i="2"/>
  <c r="G52" i="2"/>
  <c r="G73" i="2"/>
  <c r="G79" i="2"/>
  <c r="H47" i="1"/>
  <c r="G74" i="2"/>
  <c r="G72" i="2"/>
  <c r="G48" i="2"/>
  <c r="G59" i="2"/>
  <c r="H68" i="2"/>
  <c r="I68" i="2"/>
  <c r="D68" i="2"/>
  <c r="G63" i="2"/>
  <c r="G49" i="2"/>
  <c r="G54" i="2"/>
  <c r="G62" i="2"/>
  <c r="G78" i="2"/>
  <c r="G50" i="2"/>
  <c r="C237" i="17"/>
  <c r="G69" i="2"/>
  <c r="C16" i="10"/>
  <c r="C9" i="8"/>
  <c r="H122" i="6"/>
  <c r="G18" i="2"/>
  <c r="H84" i="1" s="1"/>
  <c r="G11" i="2"/>
  <c r="H64" i="1" s="1"/>
  <c r="C113" i="9"/>
  <c r="R34" i="9" a="1"/>
  <c r="R34" i="9" s="1"/>
  <c r="M113" i="9"/>
  <c r="AB34" i="9" s="1" a="1"/>
  <c r="AB34" i="9" s="1"/>
  <c r="D113" i="9"/>
  <c r="S34" i="9" s="1" a="1"/>
  <c r="S34" i="9" s="1"/>
  <c r="G78" i="9" a="1"/>
  <c r="G78" i="9" s="1"/>
  <c r="L113" i="9"/>
  <c r="AA34" i="9" s="1" a="1"/>
  <c r="AA34" i="9" s="1"/>
  <c r="K113" i="9"/>
  <c r="Z34" i="9" s="1" a="1"/>
  <c r="Z34" i="9" s="1"/>
  <c r="J113" i="9"/>
  <c r="Y34" i="9" s="1" a="1"/>
  <c r="Y34" i="9" s="1"/>
  <c r="O78" i="9"/>
  <c r="M78" i="9" a="1"/>
  <c r="M78" i="9" s="1"/>
  <c r="I113" i="9"/>
  <c r="X34" i="9" s="1" a="1"/>
  <c r="X34" i="9" s="1"/>
  <c r="L78" i="9" a="1"/>
  <c r="L78" i="9" s="1"/>
  <c r="H113" i="9"/>
  <c r="W34" i="9" s="1" a="1"/>
  <c r="W34" i="9" s="1"/>
  <c r="K78" i="9" a="1"/>
  <c r="K78" i="9" s="1"/>
  <c r="G113" i="9"/>
  <c r="J78" i="9" a="1"/>
  <c r="J78" i="9" s="1"/>
  <c r="F113" i="9"/>
  <c r="U34" i="9" a="1"/>
  <c r="U34" i="9" s="1"/>
  <c r="I78" i="9" a="1"/>
  <c r="I78" i="9" s="1"/>
  <c r="E113" i="9"/>
  <c r="T34" i="9" s="1" a="1"/>
  <c r="T34" i="9" s="1"/>
  <c r="H78" i="9" a="1"/>
  <c r="H78" i="9" s="1"/>
  <c r="B12" i="21"/>
  <c r="B13" i="21"/>
  <c r="B2" i="21"/>
  <c r="B8" i="21"/>
  <c r="B23" i="21"/>
  <c r="B19" i="21"/>
  <c r="B20" i="21"/>
  <c r="O113" i="9"/>
  <c r="AD34" i="9"/>
  <c r="B15" i="21"/>
  <c r="O115" i="9"/>
  <c r="AD36" i="9"/>
  <c r="B5" i="21"/>
  <c r="B17" i="21"/>
  <c r="B9" i="21"/>
  <c r="B24" i="21"/>
  <c r="B3" i="21"/>
  <c r="B14" i="21"/>
  <c r="B16" i="21"/>
  <c r="B27" i="21"/>
  <c r="X36" i="9" a="1"/>
  <c r="X36" i="9" s="1"/>
  <c r="G36" i="2"/>
  <c r="H113" i="1"/>
  <c r="H22" i="1"/>
  <c r="H5" i="1"/>
  <c r="H27" i="1"/>
  <c r="H48" i="1"/>
  <c r="G29" i="2"/>
  <c r="H103" i="1" s="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21" i="2"/>
  <c r="H83" i="1" s="1"/>
  <c r="C2" i="2"/>
  <c r="N114" i="9" l="1"/>
  <c r="N115" i="9"/>
  <c r="P115" i="9" s="1"/>
  <c r="N113" i="9"/>
  <c r="P113" i="9" s="1"/>
  <c r="AA36" i="9" a="1"/>
  <c r="AA36" i="9" s="1"/>
  <c r="D237" i="17"/>
  <c r="K5" i="17" s="1"/>
  <c r="V34" i="9" a="1"/>
  <c r="V34" i="9" s="1"/>
  <c r="P114" i="9"/>
  <c r="K6" i="6"/>
  <c r="C4" i="8" s="1"/>
  <c r="G122" i="6"/>
  <c r="I122" i="6"/>
  <c r="H97" i="1"/>
  <c r="H101" i="1"/>
  <c r="H135" i="1"/>
  <c r="H17" i="2"/>
  <c r="I17" i="2" s="1"/>
  <c r="D17" i="2" s="1"/>
  <c r="G5" i="2"/>
  <c r="G47" i="2"/>
  <c r="H16" i="2"/>
  <c r="I16" i="2" s="1"/>
  <c r="D16" i="2" s="1"/>
  <c r="G32" i="2"/>
  <c r="H106" i="1" s="1"/>
  <c r="G38" i="2"/>
  <c r="H118" i="1" s="1"/>
  <c r="H39" i="2"/>
  <c r="I39" i="2" s="1"/>
  <c r="D39" i="2" s="1"/>
  <c r="H12" i="2"/>
  <c r="I12" i="2" s="1"/>
  <c r="D12" i="2" s="1"/>
  <c r="G28" i="2"/>
  <c r="H116" i="1" s="1"/>
  <c r="G4" i="2"/>
  <c r="G26" i="2"/>
  <c r="H93" i="1" s="1"/>
  <c r="G13" i="2"/>
  <c r="H63" i="1" s="1"/>
  <c r="H134" i="1"/>
  <c r="H137" i="1"/>
  <c r="G42" i="2"/>
  <c r="H129" i="1" s="1"/>
  <c r="A18" i="20"/>
  <c r="A14" i="20"/>
  <c r="A5" i="20"/>
  <c r="A20" i="20"/>
  <c r="E20" i="19" a="1"/>
  <c r="E20" i="19" s="1"/>
  <c r="A23" i="20"/>
  <c r="K58" i="9" a="1"/>
  <c r="K58" i="9" s="1"/>
  <c r="E109" i="9"/>
  <c r="T30" i="9" s="1" a="1"/>
  <c r="T30" i="9" s="1"/>
  <c r="H109" i="9"/>
  <c r="W30" i="9" s="1" a="1"/>
  <c r="W30" i="9" s="1"/>
  <c r="O55" i="9"/>
  <c r="H69" i="9" a="1"/>
  <c r="H69" i="9" s="1"/>
  <c r="I72" i="9" a="1"/>
  <c r="I72" i="9" s="1"/>
  <c r="L50" i="9" a="1"/>
  <c r="L50" i="9" s="1"/>
  <c r="J110" i="9"/>
  <c r="Y31" i="9" s="1" a="1"/>
  <c r="Y31" i="9" s="1"/>
  <c r="F106" i="9"/>
  <c r="U27" i="9" s="1" a="1"/>
  <c r="U27" i="9" s="1"/>
  <c r="I107" i="9"/>
  <c r="X28" i="9" s="1" a="1"/>
  <c r="X28" i="9" s="1"/>
  <c r="D104" i="9"/>
  <c r="S25" i="9" s="1" a="1"/>
  <c r="S25" i="9" s="1"/>
  <c r="M108" i="9"/>
  <c r="AB29" i="9" s="1" a="1"/>
  <c r="AB29" i="9" s="1"/>
  <c r="F110" i="9"/>
  <c r="U31" i="9" s="1" a="1"/>
  <c r="U31" i="9" s="1"/>
  <c r="E107" i="9"/>
  <c r="T28" i="9" s="1" a="1"/>
  <c r="T28" i="9" s="1"/>
  <c r="A24" i="20"/>
  <c r="L89" i="9"/>
  <c r="AA10" i="9" s="1" a="1"/>
  <c r="AA10" i="9" s="1"/>
  <c r="I97" i="9"/>
  <c r="X18" i="9" s="1" a="1"/>
  <c r="X18" i="9" s="1"/>
  <c r="H112" i="9"/>
  <c r="W33" i="9" s="1" a="1"/>
  <c r="W33" i="9" s="1"/>
  <c r="M107" i="9"/>
  <c r="AB28" i="9" s="1" a="1"/>
  <c r="AB28" i="9" s="1"/>
  <c r="G62" i="9" a="1"/>
  <c r="G62" i="9" s="1"/>
  <c r="L66" i="9" a="1"/>
  <c r="L66" i="9" s="1"/>
  <c r="I57" i="9" a="1"/>
  <c r="I57" i="9" s="1"/>
  <c r="O64" i="9"/>
  <c r="C94" i="9"/>
  <c r="R15" i="9" s="1" a="1"/>
  <c r="R15" i="9" s="1"/>
  <c r="K87" i="9"/>
  <c r="Z8" i="9" s="1" a="1"/>
  <c r="Z8" i="9" s="1"/>
  <c r="O107" i="9"/>
  <c r="AD28" i="9" s="1"/>
  <c r="B25" i="20" s="1"/>
  <c r="H77" i="9" a="1"/>
  <c r="H77" i="9" s="1"/>
  <c r="J88" i="9"/>
  <c r="Y9" i="9" s="1" a="1"/>
  <c r="Y9" i="9" s="1"/>
  <c r="D86" i="9"/>
  <c r="S7" i="9" s="1" a="1"/>
  <c r="S7" i="9" s="1"/>
  <c r="M73" i="9" a="1"/>
  <c r="M73" i="9" s="1"/>
  <c r="L51" i="9" a="1"/>
  <c r="L51" i="9" s="1"/>
  <c r="D98" i="9"/>
  <c r="B16" i="9"/>
  <c r="E16" i="9" s="1"/>
  <c r="A22" i="20"/>
  <c r="F107" i="9"/>
  <c r="U28" i="9" s="1" a="1"/>
  <c r="U28" i="9" s="1"/>
  <c r="M101" i="9"/>
  <c r="AB22" i="9" s="1" a="1"/>
  <c r="AB22" i="9" s="1"/>
  <c r="B18" i="9"/>
  <c r="E18" i="9" s="1"/>
  <c r="I110" i="9"/>
  <c r="X31" i="9" s="1" a="1"/>
  <c r="X31" i="9" s="1"/>
  <c r="L87" i="9"/>
  <c r="AA8" i="9" s="1" a="1"/>
  <c r="AA8" i="9" s="1"/>
  <c r="A3" i="20"/>
  <c r="I109" i="9"/>
  <c r="X30" i="9" s="1" a="1"/>
  <c r="X30" i="9" s="1"/>
  <c r="B13" i="9"/>
  <c r="E13" i="9" s="1"/>
  <c r="J112" i="9"/>
  <c r="Y33" i="9" s="1" a="1"/>
  <c r="Y33" i="9" s="1"/>
  <c r="O112" i="9"/>
  <c r="AD33" i="9" s="1"/>
  <c r="O58" i="9"/>
  <c r="O96" i="9"/>
  <c r="AD17" i="9" s="1"/>
  <c r="B14" i="20" s="1"/>
  <c r="M54" i="9" a="1"/>
  <c r="M54" i="9" s="1"/>
  <c r="B8" i="9"/>
  <c r="C8" i="9" s="1"/>
  <c r="J54" i="9" a="1"/>
  <c r="J54" i="9" s="1"/>
  <c r="H90" i="9"/>
  <c r="W11" i="9" s="1" a="1"/>
  <c r="W11" i="9" s="1"/>
  <c r="O77" i="9"/>
  <c r="M51" i="9" a="1"/>
  <c r="M51" i="9" s="1"/>
  <c r="K63" i="9" a="1"/>
  <c r="K63" i="9" s="1"/>
  <c r="O97" i="9"/>
  <c r="AD18" i="9" s="1"/>
  <c r="B15" i="20" s="1"/>
  <c r="M110" i="9"/>
  <c r="AB31" i="9" s="1" a="1"/>
  <c r="AB31" i="9" s="1"/>
  <c r="D97" i="9"/>
  <c r="S18" i="9" s="1" a="1"/>
  <c r="S18" i="9" s="1"/>
  <c r="K56" i="9" a="1"/>
  <c r="K56" i="9" s="1"/>
  <c r="E94" i="9"/>
  <c r="T15" i="9" s="1" a="1"/>
  <c r="T15" i="9" s="1"/>
  <c r="M92" i="9"/>
  <c r="AB13" i="9" s="1" a="1"/>
  <c r="AB13" i="9" s="1"/>
  <c r="G87" i="9"/>
  <c r="V8" i="9" s="1" a="1"/>
  <c r="V8" i="9" s="1"/>
  <c r="F87" i="9"/>
  <c r="U8" i="9" s="1" a="1"/>
  <c r="U8" i="9" s="1"/>
  <c r="I85" i="9"/>
  <c r="X6" i="9" s="1" a="1"/>
  <c r="X6" i="9" s="1"/>
  <c r="L98" i="9"/>
  <c r="AA19" i="9" s="1" a="1"/>
  <c r="AA19" i="9" s="1"/>
  <c r="H111" i="9"/>
  <c r="W32" i="9" s="1" a="1"/>
  <c r="W32" i="9" s="1"/>
  <c r="D112" i="9"/>
  <c r="S33" i="9" s="1" a="1"/>
  <c r="S33" i="9" s="1"/>
  <c r="I68" i="9" a="1"/>
  <c r="I68" i="9" s="1"/>
  <c r="J61" i="9" a="1"/>
  <c r="J61" i="9" s="1"/>
  <c r="O54" i="9"/>
  <c r="L73" i="9" a="1"/>
  <c r="L73" i="9" s="1"/>
  <c r="L99" i="9"/>
  <c r="AA20" i="9" s="1" a="1"/>
  <c r="AA20" i="9" s="1"/>
  <c r="A21" i="20"/>
  <c r="L72" i="9" a="1"/>
  <c r="L72" i="9" s="1"/>
  <c r="M98" i="9"/>
  <c r="AB19" i="9" s="1" a="1"/>
  <c r="AB19" i="9" s="1"/>
  <c r="G106" i="9"/>
  <c r="V27" i="9" s="1" a="1"/>
  <c r="V27" i="9" s="1"/>
  <c r="E105" i="9"/>
  <c r="T26" i="9" s="1" a="1"/>
  <c r="T26" i="9" s="1"/>
  <c r="G52" i="9" a="1"/>
  <c r="G52" i="9" s="1"/>
  <c r="O98" i="9"/>
  <c r="AD19" i="9" s="1"/>
  <c r="B16" i="20" s="1"/>
  <c r="A7" i="20"/>
  <c r="C103" i="9"/>
  <c r="R24" i="9" s="1" a="1"/>
  <c r="R24" i="9" s="1"/>
  <c r="G72" i="9" a="1"/>
  <c r="G72" i="9" s="1"/>
  <c r="M77" i="9" a="1"/>
  <c r="M77" i="9" s="1"/>
  <c r="C112" i="9"/>
  <c r="R33" i="9" s="1" a="1"/>
  <c r="R33" i="9" s="1"/>
  <c r="J65" i="9" a="1"/>
  <c r="J65" i="9" s="1"/>
  <c r="E88" i="9"/>
  <c r="T9" i="9" s="1" a="1"/>
  <c r="T9" i="9" s="1"/>
  <c r="D96" i="9"/>
  <c r="S17" i="9" s="1" a="1"/>
  <c r="S17" i="9" s="1"/>
  <c r="E93" i="9"/>
  <c r="T14" i="9" s="1" a="1"/>
  <c r="T14" i="9" s="1"/>
  <c r="H92" i="9"/>
  <c r="W13" i="9" s="1" a="1"/>
  <c r="W13" i="9" s="1"/>
  <c r="I86" i="9"/>
  <c r="X7" i="9" s="1" a="1"/>
  <c r="X7" i="9" s="1"/>
  <c r="J85" i="9"/>
  <c r="Y6" i="9" s="1" a="1"/>
  <c r="Y6" i="9" s="1"/>
  <c r="I87" i="9"/>
  <c r="X8" i="9" s="1" a="1"/>
  <c r="X8" i="9" s="1"/>
  <c r="I77" i="9" a="1"/>
  <c r="I77" i="9" s="1"/>
  <c r="E18" i="19" a="1"/>
  <c r="E18" i="19" s="1"/>
  <c r="I61" i="9" a="1"/>
  <c r="I61" i="9" s="1"/>
  <c r="G109" i="9"/>
  <c r="V30" i="9" s="1" a="1"/>
  <c r="V30" i="9" s="1"/>
  <c r="H54" i="9" a="1"/>
  <c r="H54" i="9" s="1"/>
  <c r="I50" i="9" a="1"/>
  <c r="I50" i="9" s="1"/>
  <c r="K70" i="9" a="1"/>
  <c r="K70" i="9" s="1"/>
  <c r="J104" i="9"/>
  <c r="Y25" i="9" s="1" a="1"/>
  <c r="Y25" i="9" s="1"/>
  <c r="A10" i="20"/>
  <c r="A19" i="20"/>
  <c r="J109" i="9"/>
  <c r="Y30" i="9" s="1" a="1"/>
  <c r="Y30" i="9" s="1"/>
  <c r="I67" i="9" a="1"/>
  <c r="I67" i="9" s="1"/>
  <c r="J92" i="9"/>
  <c r="Y13" i="9" s="1" a="1"/>
  <c r="Y13" i="9" s="1"/>
  <c r="G103" i="9"/>
  <c r="V24" i="9" s="1" a="1"/>
  <c r="V24" i="9" s="1"/>
  <c r="G91" i="9"/>
  <c r="J94" i="9"/>
  <c r="Y15" i="9" s="1" a="1"/>
  <c r="Y15" i="9" s="1"/>
  <c r="A11" i="20"/>
  <c r="L110" i="9"/>
  <c r="AA31" i="9" s="1" a="1"/>
  <c r="AA31" i="9" s="1"/>
  <c r="D107" i="9"/>
  <c r="S28" i="9" s="1" a="1"/>
  <c r="S28" i="9" s="1"/>
  <c r="B5" i="9"/>
  <c r="E5" i="9" s="1"/>
  <c r="K112" i="9"/>
  <c r="Z33" i="9" s="1" a="1"/>
  <c r="Z33" i="9" s="1"/>
  <c r="G77" i="9" a="1"/>
  <c r="G77" i="9" s="1"/>
  <c r="C90" i="9"/>
  <c r="R11" i="9" s="1" a="1"/>
  <c r="R11" i="9" s="1"/>
  <c r="D8" i="19" a="1"/>
  <c r="D8" i="19" s="1"/>
  <c r="O89" i="9"/>
  <c r="AD10" i="9" s="1"/>
  <c r="B7" i="20" s="1"/>
  <c r="I55" i="9" a="1"/>
  <c r="I55" i="9" s="1"/>
  <c r="I94" i="9"/>
  <c r="X15" i="9" s="1" a="1"/>
  <c r="X15" i="9" s="1"/>
  <c r="J53" i="9" a="1"/>
  <c r="J53" i="9" s="1"/>
  <c r="J67" i="9" a="1"/>
  <c r="J67" i="9" s="1"/>
  <c r="M68" i="9" a="1"/>
  <c r="M68" i="9" s="1"/>
  <c r="A6" i="20"/>
  <c r="I88" i="9"/>
  <c r="X9" i="9" s="1" a="1"/>
  <c r="X9" i="9" s="1"/>
  <c r="J108" i="9"/>
  <c r="Y29" i="9" s="1" a="1"/>
  <c r="Y29" i="9" s="1"/>
  <c r="H61" i="9" a="1"/>
  <c r="H61" i="9" s="1"/>
  <c r="M65" i="9" a="1"/>
  <c r="M65" i="9" s="1"/>
  <c r="C97" i="9"/>
  <c r="R18" i="9" s="1" a="1"/>
  <c r="R18" i="9" s="1"/>
  <c r="A28" i="20"/>
  <c r="L76" i="9" a="1"/>
  <c r="L76" i="9" s="1"/>
  <c r="A9" i="20"/>
  <c r="M52" i="9" a="1"/>
  <c r="M52" i="9" s="1"/>
  <c r="L112" i="9"/>
  <c r="AA33" i="9" s="1" a="1"/>
  <c r="AA33" i="9" s="1"/>
  <c r="M57" i="9" a="1"/>
  <c r="M57" i="9" s="1"/>
  <c r="H52" i="9" a="1"/>
  <c r="H52" i="9" s="1"/>
  <c r="M55" i="9" a="1"/>
  <c r="M55" i="9" s="1"/>
  <c r="O75" i="9"/>
  <c r="A25" i="20"/>
  <c r="O92" i="9"/>
  <c r="AD13" i="9" s="1"/>
  <c r="B10" i="20" s="1"/>
  <c r="H96" i="9"/>
  <c r="W17" i="9" s="1" a="1"/>
  <c r="W17" i="9" s="1"/>
  <c r="G112" i="9"/>
  <c r="V33" i="9" s="1" a="1"/>
  <c r="V33" i="9" s="1"/>
  <c r="D14" i="19" a="1"/>
  <c r="D14" i="19" s="1"/>
  <c r="E14" i="19" s="1"/>
  <c r="O109" i="9"/>
  <c r="AD30" i="9" s="1"/>
  <c r="B27" i="20" s="1"/>
  <c r="L54" i="9" a="1"/>
  <c r="L54" i="9" s="1"/>
  <c r="L93" i="9"/>
  <c r="AA14" i="9" s="1" a="1"/>
  <c r="AA14" i="9" s="1"/>
  <c r="L63" i="9" a="1"/>
  <c r="L63" i="9" s="1"/>
  <c r="F95" i="9"/>
  <c r="U16" i="9" s="1" a="1"/>
  <c r="U16" i="9" s="1"/>
  <c r="A13" i="20"/>
  <c r="O73" i="9"/>
  <c r="L85" i="9"/>
  <c r="AA6" i="9" s="1" a="1"/>
  <c r="AA6" i="9" s="1"/>
  <c r="K104" i="9"/>
  <c r="Z25" i="9" s="1" a="1"/>
  <c r="Z25" i="9" s="1"/>
  <c r="E111" i="9"/>
  <c r="T32" i="9" s="1" a="1"/>
  <c r="T32" i="9" s="1"/>
  <c r="D12" i="19" a="1"/>
  <c r="D12" i="19" s="1"/>
  <c r="G104" i="9"/>
  <c r="V25" i="9" s="1" a="1"/>
  <c r="V25" i="9" s="1"/>
  <c r="O72" i="9"/>
  <c r="G57" i="9" a="1"/>
  <c r="G57" i="9" s="1"/>
  <c r="O74" i="9"/>
  <c r="L64" i="9" a="1"/>
  <c r="L64" i="9" s="1"/>
  <c r="O60" i="9"/>
  <c r="C108" i="9"/>
  <c r="R29" i="9" s="1" a="1"/>
  <c r="R29" i="9" s="1"/>
  <c r="K94" i="9"/>
  <c r="Z15" i="9" s="1" a="1"/>
  <c r="Z15" i="9" s="1"/>
  <c r="F90" i="9"/>
  <c r="U11" i="9" s="1" a="1"/>
  <c r="U11" i="9" s="1"/>
  <c r="L108" i="9"/>
  <c r="AA29" i="9" s="1" a="1"/>
  <c r="AA29" i="9" s="1"/>
  <c r="L74" i="9" a="1"/>
  <c r="L74" i="9" s="1"/>
  <c r="B3" i="9"/>
  <c r="C3" i="9" s="1"/>
  <c r="H105" i="9"/>
  <c r="W26" i="9" s="1" a="1"/>
  <c r="W26" i="9" s="1"/>
  <c r="A12" i="20"/>
  <c r="L75" i="9" a="1"/>
  <c r="L75" i="9" s="1"/>
  <c r="J102" i="9"/>
  <c r="Y23" i="9" s="1" a="1"/>
  <c r="Y23" i="9" s="1"/>
  <c r="A27" i="20"/>
  <c r="K77" i="9" a="1"/>
  <c r="K77" i="9" s="1"/>
  <c r="AB33" i="9" a="1"/>
  <c r="AB33" i="9" s="1"/>
  <c r="I62" i="9" a="1"/>
  <c r="I62" i="9" s="1"/>
  <c r="J75" i="9" a="1"/>
  <c r="J75" i="9" s="1"/>
  <c r="C86" i="9"/>
  <c r="R7" i="9" s="1" a="1"/>
  <c r="R7" i="9" s="1"/>
  <c r="J105" i="9"/>
  <c r="Y26" i="9" s="1" a="1"/>
  <c r="Y26" i="9" s="1"/>
  <c r="D95" i="9"/>
  <c r="S16" i="9" s="1" a="1"/>
  <c r="S16" i="9" s="1"/>
  <c r="D93" i="9"/>
  <c r="H95" i="9"/>
  <c r="W16" i="9" s="1" a="1"/>
  <c r="W16" i="9" s="1"/>
  <c r="I111" i="9"/>
  <c r="X32" i="9" s="1" a="1"/>
  <c r="X32" i="9" s="1"/>
  <c r="K102" i="9"/>
  <c r="Z23" i="9" s="1" a="1"/>
  <c r="Z23" i="9" s="1"/>
  <c r="C105" i="9"/>
  <c r="R26" i="9" s="1" a="1"/>
  <c r="R26" i="9" s="1"/>
  <c r="E112" i="9"/>
  <c r="T33" i="9" s="1" a="1"/>
  <c r="T33" i="9" s="1"/>
  <c r="I112" i="9"/>
  <c r="X33" i="9" s="1" a="1"/>
  <c r="X33" i="9" s="1"/>
  <c r="D10" i="19" a="1"/>
  <c r="D10" i="19" s="1"/>
  <c r="I70" i="9" a="1"/>
  <c r="I70" i="9" s="1"/>
  <c r="I66" i="9" a="1"/>
  <c r="I66" i="9" s="1"/>
  <c r="G55" i="9" a="1"/>
  <c r="G55" i="9" s="1"/>
  <c r="I51" i="9" a="1"/>
  <c r="I51" i="9" s="1"/>
  <c r="D85" i="9"/>
  <c r="S6" i="9" s="1" a="1"/>
  <c r="S6" i="9" s="1"/>
  <c r="G96" i="9"/>
  <c r="A15" i="20"/>
  <c r="K92" i="9"/>
  <c r="Z13" i="9" s="1" a="1"/>
  <c r="Z13" i="9" s="1"/>
  <c r="C99" i="9"/>
  <c r="R20" i="9" s="1" a="1"/>
  <c r="R20" i="9" s="1"/>
  <c r="G101" i="9"/>
  <c r="V22" i="9" s="1" a="1"/>
  <c r="V22" i="9" s="1"/>
  <c r="G107" i="9"/>
  <c r="V28" i="9" s="1" a="1"/>
  <c r="V28" i="9" s="1"/>
  <c r="I103" i="9"/>
  <c r="X24" i="9" s="1" a="1"/>
  <c r="X24" i="9" s="1"/>
  <c r="O85" i="9"/>
  <c r="AD6" i="9" s="1"/>
  <c r="B3" i="20" s="1"/>
  <c r="C104" i="9"/>
  <c r="R25" i="9" s="1" a="1"/>
  <c r="R25" i="9" s="1"/>
  <c r="A4" i="20"/>
  <c r="H89" i="9"/>
  <c r="W10" i="9" s="1" a="1"/>
  <c r="W10" i="9" s="1"/>
  <c r="F112" i="9"/>
  <c r="U33" i="9" s="1" a="1"/>
  <c r="U33" i="9" s="1"/>
  <c r="J77" i="9" a="1"/>
  <c r="J77" i="9" s="1"/>
  <c r="L62" i="9" a="1"/>
  <c r="L62" i="9" s="1"/>
  <c r="H64" i="9" a="1"/>
  <c r="H64" i="9" s="1"/>
  <c r="I64" i="9" a="1"/>
  <c r="I64" i="9" s="1"/>
  <c r="O50" i="9"/>
  <c r="L70" i="9" a="1"/>
  <c r="L70" i="9" s="1"/>
  <c r="L56" i="9" a="1"/>
  <c r="L56" i="9" s="1"/>
  <c r="J59" i="9" a="1"/>
  <c r="J59" i="9" s="1"/>
  <c r="C98" i="9"/>
  <c r="R19" i="9" s="1" a="1"/>
  <c r="R19" i="9" s="1"/>
  <c r="A8" i="20"/>
  <c r="M95" i="9"/>
  <c r="AB16" i="9" s="1" a="1"/>
  <c r="AB16" i="9" s="1"/>
  <c r="B14" i="9"/>
  <c r="C14" i="9" s="1"/>
  <c r="A16" i="20"/>
  <c r="E100" i="9"/>
  <c r="T21" i="9" s="1" a="1"/>
  <c r="T21" i="9" s="1"/>
  <c r="A26" i="20"/>
  <c r="J103" i="9"/>
  <c r="Y24" i="9" s="1" a="1"/>
  <c r="Y24" i="9" s="1"/>
  <c r="L77" i="9" a="1"/>
  <c r="L77" i="9" s="1"/>
  <c r="N79" i="9"/>
  <c r="H67" i="9" a="1"/>
  <c r="H67" i="9" s="1"/>
  <c r="N78" i="9"/>
  <c r="P78" i="9" s="1"/>
  <c r="K98" i="9"/>
  <c r="Z19" i="9" s="1" a="1"/>
  <c r="Z19" i="9" s="1"/>
  <c r="K91" i="9"/>
  <c r="Z12" i="9" s="1" a="1"/>
  <c r="Z12" i="9" s="1"/>
  <c r="D91" i="9"/>
  <c r="S12" i="9" s="1" a="1"/>
  <c r="S12" i="9" s="1"/>
  <c r="I99" i="9"/>
  <c r="X20" i="9" s="1" a="1"/>
  <c r="X20" i="9" s="1"/>
  <c r="M109" i="9"/>
  <c r="AB30" i="9" s="1" a="1"/>
  <c r="AB30" i="9" s="1"/>
  <c r="J76" i="9" a="1"/>
  <c r="J76" i="9" s="1"/>
  <c r="G110" i="9"/>
  <c r="V31" i="9" s="1" a="1"/>
  <c r="V31" i="9" s="1"/>
  <c r="H107" i="9"/>
  <c r="W28" i="9" s="1" a="1"/>
  <c r="W28" i="9" s="1"/>
  <c r="F111" i="9"/>
  <c r="U32" i="9" s="1" a="1"/>
  <c r="U32" i="9" s="1"/>
  <c r="K97" i="9"/>
  <c r="Z18" i="9" s="1" a="1"/>
  <c r="Z18" i="9" s="1"/>
  <c r="K99" i="9"/>
  <c r="Z20" i="9" s="1" a="1"/>
  <c r="Z20" i="9" s="1"/>
  <c r="J101" i="9"/>
  <c r="D110" i="9"/>
  <c r="S31" i="9" s="1" a="1"/>
  <c r="S31" i="9" s="1"/>
  <c r="M106" i="9"/>
  <c r="AB27" i="9" s="1" a="1"/>
  <c r="AB27" i="9" s="1"/>
  <c r="C91" i="9"/>
  <c r="R12" i="9" s="1" a="1"/>
  <c r="R12" i="9" s="1"/>
  <c r="I92" i="9"/>
  <c r="X13" i="9" s="1" a="1"/>
  <c r="X13" i="9" s="1"/>
  <c r="B17" i="9"/>
  <c r="I106" i="9"/>
  <c r="X27" i="9" s="1" a="1"/>
  <c r="X27" i="9" s="1"/>
  <c r="L101" i="9"/>
  <c r="AA22" i="9" s="1" a="1"/>
  <c r="AA22" i="9" s="1"/>
  <c r="K100" i="9"/>
  <c r="Z21" i="9" s="1" a="1"/>
  <c r="Z21" i="9" s="1"/>
  <c r="K85" i="9"/>
  <c r="Z6" i="9" s="1" a="1"/>
  <c r="Z6" i="9" s="1"/>
  <c r="L57" i="9" a="1"/>
  <c r="L57" i="9" s="1"/>
  <c r="L86" i="9"/>
  <c r="AA7" i="9" s="1" a="1"/>
  <c r="AA7" i="9" s="1"/>
  <c r="C93" i="9"/>
  <c r="R14" i="9" s="1" a="1"/>
  <c r="R14" i="9" s="1"/>
  <c r="J89" i="9"/>
  <c r="Y10" i="9" s="1" a="1"/>
  <c r="Y10" i="9" s="1"/>
  <c r="G93" i="9"/>
  <c r="V14" i="9" s="1" a="1"/>
  <c r="V14" i="9" s="1"/>
  <c r="E104" i="9"/>
  <c r="T25" i="9" s="1" a="1"/>
  <c r="T25" i="9" s="1"/>
  <c r="K62" i="9" a="1"/>
  <c r="K62" i="9" s="1"/>
  <c r="L65" i="9" a="1"/>
  <c r="L65" i="9" s="1"/>
  <c r="H110" i="9"/>
  <c r="W31" i="9" s="1" a="1"/>
  <c r="W31" i="9" s="1"/>
  <c r="J87" i="9"/>
  <c r="Y8" i="9" s="1" a="1"/>
  <c r="Y8" i="9" s="1"/>
  <c r="L92" i="9"/>
  <c r="AA13" i="9" s="1" a="1"/>
  <c r="AA13" i="9" s="1"/>
  <c r="H88" i="9"/>
  <c r="W9" i="9" s="1" a="1"/>
  <c r="W9" i="9" s="1"/>
  <c r="L88" i="9"/>
  <c r="AA9" i="9" s="1" a="1"/>
  <c r="AA9" i="9" s="1"/>
  <c r="I60" i="9" a="1"/>
  <c r="I60" i="9" s="1"/>
  <c r="F103" i="9"/>
  <c r="U24" i="9" s="1" a="1"/>
  <c r="U24" i="9" s="1"/>
  <c r="C95" i="9"/>
  <c r="R16" i="9" s="1" a="1"/>
  <c r="R16" i="9" s="1"/>
  <c r="H100" i="9"/>
  <c r="W21" i="9" s="1" a="1"/>
  <c r="W21" i="9" s="1"/>
  <c r="G60" i="9" a="1"/>
  <c r="G60" i="9" s="1"/>
  <c r="H108" i="9"/>
  <c r="W29" i="9" s="1" a="1"/>
  <c r="W29" i="9" s="1"/>
  <c r="G71" i="9" a="1"/>
  <c r="G71" i="9" s="1"/>
  <c r="K74" i="9" a="1"/>
  <c r="K74" i="9" s="1"/>
  <c r="I59" i="9" a="1"/>
  <c r="I59" i="9" s="1"/>
  <c r="D100" i="9"/>
  <c r="S21" i="9" s="1" a="1"/>
  <c r="S21" i="9" s="1"/>
  <c r="L94" i="9"/>
  <c r="I56" i="9" a="1"/>
  <c r="I56" i="9" s="1"/>
  <c r="K55" i="9" a="1"/>
  <c r="K55" i="9" s="1"/>
  <c r="O59" i="9"/>
  <c r="O103" i="9"/>
  <c r="AD24" i="9" s="1"/>
  <c r="B21" i="20" s="1"/>
  <c r="O52" i="9"/>
  <c r="F99" i="9"/>
  <c r="U20" i="9" s="1" a="1"/>
  <c r="U20" i="9" s="1"/>
  <c r="O100" i="9"/>
  <c r="AD21" i="9" s="1"/>
  <c r="B18" i="20" s="1"/>
  <c r="F101" i="9"/>
  <c r="U22" i="9" s="1" a="1"/>
  <c r="U22" i="9" s="1"/>
  <c r="E92" i="9"/>
  <c r="T13" i="9" s="1" a="1"/>
  <c r="T13" i="9" s="1"/>
  <c r="M71" i="9" a="1"/>
  <c r="M71" i="9" s="1"/>
  <c r="K111" i="9"/>
  <c r="Z32" i="9" s="1" a="1"/>
  <c r="Z32" i="9" s="1"/>
  <c r="I95" i="9"/>
  <c r="X16" i="9" s="1" a="1"/>
  <c r="X16" i="9" s="1"/>
  <c r="G86" i="9"/>
  <c r="V7" i="9" s="1" a="1"/>
  <c r="V7" i="9" s="1"/>
  <c r="J86" i="9"/>
  <c r="Y7" i="9" s="1" a="1"/>
  <c r="Y7" i="9" s="1"/>
  <c r="H76" i="9" a="1"/>
  <c r="H76" i="9" s="1"/>
  <c r="M87" i="9"/>
  <c r="AB8" i="9" s="1" a="1"/>
  <c r="AB8" i="9" s="1"/>
  <c r="O76" i="9"/>
  <c r="C109" i="9"/>
  <c r="R30" i="9" s="1" a="1"/>
  <c r="R30" i="9" s="1"/>
  <c r="M88" i="9"/>
  <c r="AB9" i="9" s="1" a="1"/>
  <c r="AB9" i="9" s="1"/>
  <c r="J111" i="9"/>
  <c r="Y32" i="9" s="1" a="1"/>
  <c r="Y32" i="9" s="1"/>
  <c r="G111" i="9"/>
  <c r="V32" i="9" s="1" a="1"/>
  <c r="V32" i="9" s="1"/>
  <c r="M76" i="9" a="1"/>
  <c r="M76" i="9" s="1"/>
  <c r="G99" i="9"/>
  <c r="V20" i="9" s="1" a="1"/>
  <c r="V20" i="9" s="1"/>
  <c r="O87" i="9"/>
  <c r="AD8" i="9" s="1"/>
  <c r="B5" i="20" s="1"/>
  <c r="E90" i="9"/>
  <c r="T11" i="9" s="1" a="1"/>
  <c r="T11" i="9" s="1"/>
  <c r="J62" i="9" a="1"/>
  <c r="J62" i="9" s="1"/>
  <c r="F94" i="9"/>
  <c r="U15" i="9" s="1" a="1"/>
  <c r="U15" i="9" s="1"/>
  <c r="I98" i="9"/>
  <c r="X19" i="9" s="1" a="1"/>
  <c r="X19" i="9" s="1"/>
  <c r="F93" i="9"/>
  <c r="U14" i="9" s="1" a="1"/>
  <c r="U14" i="9" s="1"/>
  <c r="C110" i="9"/>
  <c r="R31" i="9" s="1" a="1"/>
  <c r="R31" i="9" s="1"/>
  <c r="G89" i="9"/>
  <c r="V10" i="9" s="1" a="1"/>
  <c r="V10" i="9" s="1"/>
  <c r="I52" i="9" a="1"/>
  <c r="I52" i="9" s="1"/>
  <c r="J73" i="9" a="1"/>
  <c r="J73" i="9" s="1"/>
  <c r="B12" i="9"/>
  <c r="E99" i="9"/>
  <c r="T20" i="9" s="1" a="1"/>
  <c r="T20" i="9" s="1"/>
  <c r="E98" i="9"/>
  <c r="T19" i="9" s="1" a="1"/>
  <c r="T19" i="9" s="1"/>
  <c r="C106" i="9"/>
  <c r="R27" i="9" s="1" a="1"/>
  <c r="R27" i="9" s="1"/>
  <c r="F105" i="9"/>
  <c r="I89" i="9"/>
  <c r="X10" i="9" s="1" a="1"/>
  <c r="X10" i="9" s="1"/>
  <c r="K110" i="9"/>
  <c r="Z31" i="9" s="1" a="1"/>
  <c r="Z31" i="9" s="1"/>
  <c r="E91" i="9"/>
  <c r="T12" i="9" s="1" a="1"/>
  <c r="T12" i="9" s="1"/>
  <c r="K59" i="9" a="1"/>
  <c r="K59" i="9" s="1"/>
  <c r="I58" i="9" a="1"/>
  <c r="I58" i="9" s="1"/>
  <c r="O71" i="9"/>
  <c r="I54" i="9" a="1"/>
  <c r="I54" i="9" s="1"/>
  <c r="H97" i="9"/>
  <c r="W18" i="9" s="1" a="1"/>
  <c r="W18" i="9" s="1"/>
  <c r="G63" i="9" a="1"/>
  <c r="G63" i="9" s="1"/>
  <c r="H72" i="9" a="1"/>
  <c r="H72" i="9" s="1"/>
  <c r="K54" i="9" a="1"/>
  <c r="K54" i="9" s="1"/>
  <c r="K90" i="9"/>
  <c r="Z11" i="9" s="1" a="1"/>
  <c r="Z11" i="9" s="1"/>
  <c r="M93" i="9"/>
  <c r="AB14" i="9" s="1" a="1"/>
  <c r="AB14" i="9" s="1"/>
  <c r="M94" i="9"/>
  <c r="AB15" i="9" s="1" a="1"/>
  <c r="AB15" i="9" s="1"/>
  <c r="C111" i="9"/>
  <c r="R32" i="9" s="1" a="1"/>
  <c r="R32" i="9" s="1"/>
  <c r="D90" i="9"/>
  <c r="S11" i="9" s="1" a="1"/>
  <c r="S11" i="9" s="1"/>
  <c r="O56" i="9"/>
  <c r="I100" i="9"/>
  <c r="X21" i="9" s="1" a="1"/>
  <c r="X21" i="9" s="1"/>
  <c r="I101" i="9"/>
  <c r="X22" i="9" s="1" a="1"/>
  <c r="X22" i="9" s="1"/>
  <c r="D87" i="9"/>
  <c r="S8" i="9" s="1" a="1"/>
  <c r="S8" i="9" s="1"/>
  <c r="L97" i="9"/>
  <c r="AA18" i="9" s="1" a="1"/>
  <c r="AA18" i="9" s="1"/>
  <c r="J98" i="9"/>
  <c r="Y19" i="9" s="1" a="1"/>
  <c r="Y19" i="9" s="1"/>
  <c r="I102" i="9"/>
  <c r="X23" i="9" s="1" a="1"/>
  <c r="X23" i="9" s="1"/>
  <c r="K51" i="9" a="1"/>
  <c r="K51" i="9" s="1"/>
  <c r="K96" i="9"/>
  <c r="Z17" i="9" s="1" a="1"/>
  <c r="Z17" i="9" s="1"/>
  <c r="H53" i="9" a="1"/>
  <c r="H53" i="9" s="1"/>
  <c r="I108" i="9"/>
  <c r="X29" i="9" s="1" a="1"/>
  <c r="X29" i="9" s="1"/>
  <c r="G95" i="9"/>
  <c r="K64" i="9" a="1"/>
  <c r="K64" i="9" s="1"/>
  <c r="M50" i="9" a="1"/>
  <c r="M50" i="9" s="1"/>
  <c r="K89" i="9"/>
  <c r="Z10" i="9" s="1" a="1"/>
  <c r="Z10" i="9" s="1"/>
  <c r="O110" i="9"/>
  <c r="AD31" i="9" s="1"/>
  <c r="B28" i="20" s="1"/>
  <c r="B11" i="9"/>
  <c r="D102" i="9"/>
  <c r="S23" i="9" s="1" a="1"/>
  <c r="S23" i="9" s="1"/>
  <c r="J90" i="9"/>
  <c r="Y11" i="9" s="1" a="1"/>
  <c r="Y11" i="9" s="1"/>
  <c r="O99" i="9"/>
  <c r="AD20" i="9" s="1"/>
  <c r="B17" i="20" s="1"/>
  <c r="K68" i="9" a="1"/>
  <c r="K68" i="9" s="1"/>
  <c r="G100" i="9"/>
  <c r="O63" i="9"/>
  <c r="H62" i="9" a="1"/>
  <c r="H62" i="9" s="1"/>
  <c r="O57" i="9"/>
  <c r="M70" i="9" a="1"/>
  <c r="M70" i="9" s="1"/>
  <c r="I73" i="9" a="1"/>
  <c r="I73" i="9" s="1"/>
  <c r="G64" i="9" a="1"/>
  <c r="G64" i="9" s="1"/>
  <c r="J70" i="9" a="1"/>
  <c r="J70" i="9" s="1"/>
  <c r="L71" i="9" a="1"/>
  <c r="L71" i="9" s="1"/>
  <c r="H70" i="9" a="1"/>
  <c r="H70" i="9" s="1"/>
  <c r="L105" i="9"/>
  <c r="AA26" i="9" s="1" a="1"/>
  <c r="AA26" i="9" s="1"/>
  <c r="H74" i="9" a="1"/>
  <c r="H74" i="9" s="1"/>
  <c r="L52" i="9" a="1"/>
  <c r="L52" i="9" s="1"/>
  <c r="O101" i="9"/>
  <c r="AD22" i="9" s="1"/>
  <c r="B19" i="20" s="1"/>
  <c r="H87" i="9"/>
  <c r="W8" i="9" s="1" a="1"/>
  <c r="W8" i="9" s="1"/>
  <c r="K76" i="9" a="1"/>
  <c r="K76" i="9" s="1"/>
  <c r="M63" i="9" a="1"/>
  <c r="M63" i="9" s="1"/>
  <c r="I90" i="9"/>
  <c r="X11" i="9" s="1" a="1"/>
  <c r="X11" i="9" s="1"/>
  <c r="E103" i="9"/>
  <c r="T24" i="9" s="1" a="1"/>
  <c r="T24" i="9" s="1"/>
  <c r="F108" i="9"/>
  <c r="U29" i="9" s="1" a="1"/>
  <c r="U29" i="9" s="1"/>
  <c r="E89" i="9"/>
  <c r="T10" i="9" s="1" a="1"/>
  <c r="T10" i="9" s="1"/>
  <c r="E110" i="9"/>
  <c r="T31" i="9" s="1" a="1"/>
  <c r="T31" i="9" s="1"/>
  <c r="J99" i="9"/>
  <c r="Y20" i="9" s="1" a="1"/>
  <c r="Y20" i="9" s="1"/>
  <c r="S14" i="9" a="1"/>
  <c r="S14" i="9" s="1"/>
  <c r="E106" i="9"/>
  <c r="T27" i="9" s="1" a="1"/>
  <c r="T27" i="9" s="1"/>
  <c r="K50" i="9" a="1"/>
  <c r="K50" i="9" s="1"/>
  <c r="B6" i="9"/>
  <c r="O106" i="9"/>
  <c r="AD27" i="9" s="1"/>
  <c r="B24" i="20" s="1"/>
  <c r="L102" i="9"/>
  <c r="AA23" i="9" s="1" a="1"/>
  <c r="AA23" i="9" s="1"/>
  <c r="F102" i="9"/>
  <c r="U23" i="9" s="1" a="1"/>
  <c r="U23" i="9" s="1"/>
  <c r="M75" i="9" a="1"/>
  <c r="M75" i="9" s="1"/>
  <c r="G90" i="9"/>
  <c r="V11" i="9" s="1" a="1"/>
  <c r="V11" i="9" s="1"/>
  <c r="H102" i="9"/>
  <c r="W23" i="9" s="1" a="1"/>
  <c r="W23" i="9" s="1"/>
  <c r="L103" i="9"/>
  <c r="AA24" i="9" s="1" a="1"/>
  <c r="AA24" i="9" s="1"/>
  <c r="E101" i="9"/>
  <c r="T22" i="9" s="1" a="1"/>
  <c r="T22" i="9" s="1"/>
  <c r="O94" i="9"/>
  <c r="AD15" i="9" s="1"/>
  <c r="B12" i="20" s="1"/>
  <c r="C96" i="9"/>
  <c r="R17" i="9" s="1" a="1"/>
  <c r="R17" i="9" s="1"/>
  <c r="S19" i="9" a="1"/>
  <c r="S19" i="9" s="1"/>
  <c r="I71" i="9" a="1"/>
  <c r="I71" i="9" s="1"/>
  <c r="K61" i="9" a="1"/>
  <c r="K61" i="9" s="1"/>
  <c r="O62" i="9"/>
  <c r="H65" i="9" a="1"/>
  <c r="H65" i="9" s="1"/>
  <c r="G70" i="9" a="1"/>
  <c r="G70" i="9" s="1"/>
  <c r="J56" i="9" a="1"/>
  <c r="J56" i="9" s="1"/>
  <c r="K57" i="9" a="1"/>
  <c r="K57" i="9" s="1"/>
  <c r="J71" i="9" a="1"/>
  <c r="J71" i="9" s="1"/>
  <c r="C101" i="9"/>
  <c r="R22" i="9" s="1" a="1"/>
  <c r="R22" i="9" s="1"/>
  <c r="H59" i="9" a="1"/>
  <c r="H59" i="9" s="1"/>
  <c r="E96" i="9"/>
  <c r="T17" i="9" s="1" a="1"/>
  <c r="T17" i="9" s="1"/>
  <c r="L59" i="9" a="1"/>
  <c r="L59" i="9" s="1"/>
  <c r="G65" i="9" a="1"/>
  <c r="G65" i="9" s="1"/>
  <c r="M66" i="9" a="1"/>
  <c r="M66" i="9" s="1"/>
  <c r="H99" i="9"/>
  <c r="W20" i="9" s="1" a="1"/>
  <c r="W20" i="9" s="1"/>
  <c r="L107" i="9"/>
  <c r="AA28" i="9" s="1" a="1"/>
  <c r="AA28" i="9" s="1"/>
  <c r="D101" i="9"/>
  <c r="S22" i="9" s="1" a="1"/>
  <c r="S22" i="9" s="1"/>
  <c r="J66" i="9" a="1"/>
  <c r="J66" i="9" s="1"/>
  <c r="B15" i="9"/>
  <c r="I104" i="9"/>
  <c r="X25" i="9" s="1" a="1"/>
  <c r="X25" i="9" s="1"/>
  <c r="H94" i="9"/>
  <c r="W15" i="9" s="1" a="1"/>
  <c r="W15" i="9" s="1"/>
  <c r="F104" i="9"/>
  <c r="U25" i="9" s="1" a="1"/>
  <c r="U25" i="9" s="1"/>
  <c r="J96" i="9"/>
  <c r="Y17" i="9" s="1" a="1"/>
  <c r="Y17" i="9" s="1"/>
  <c r="B9" i="9"/>
  <c r="G69" i="9" a="1"/>
  <c r="G69" i="9" s="1"/>
  <c r="L95" i="9"/>
  <c r="AA16" i="9" s="1" a="1"/>
  <c r="AA16" i="9" s="1"/>
  <c r="L61" i="9" a="1"/>
  <c r="L61" i="9" s="1"/>
  <c r="M86" i="9"/>
  <c r="AB7" i="9" s="1" a="1"/>
  <c r="AB7" i="9" s="1"/>
  <c r="I69" i="9" a="1"/>
  <c r="I69" i="9" s="1"/>
  <c r="M62" i="9" a="1"/>
  <c r="M62" i="9" s="1"/>
  <c r="K95" i="9"/>
  <c r="Z16" i="9" s="1" a="1"/>
  <c r="Z16" i="9" s="1"/>
  <c r="I65" i="9" a="1"/>
  <c r="I65" i="9" s="1"/>
  <c r="I53" i="9" a="1"/>
  <c r="I53" i="9" s="1"/>
  <c r="J60" i="9" a="1"/>
  <c r="J60" i="9" s="1"/>
  <c r="H60" i="9" a="1"/>
  <c r="H60" i="9" s="1"/>
  <c r="O88" i="9"/>
  <c r="AD9" i="9" s="1"/>
  <c r="B6" i="20" s="1"/>
  <c r="M69" i="9" a="1"/>
  <c r="M69" i="9" s="1"/>
  <c r="K65" i="9" a="1"/>
  <c r="K65" i="9" s="1"/>
  <c r="C89" i="9"/>
  <c r="R10" i="9" s="1" a="1"/>
  <c r="R10" i="9" s="1"/>
  <c r="O108" i="9"/>
  <c r="AD29" i="9" s="1"/>
  <c r="B26" i="20" s="1"/>
  <c r="E102" i="9"/>
  <c r="T23" i="9" s="1" a="1"/>
  <c r="T23" i="9" s="1"/>
  <c r="E95" i="9"/>
  <c r="T16" i="9" s="1" a="1"/>
  <c r="T16" i="9" s="1"/>
  <c r="O93" i="9"/>
  <c r="AD14" i="9" s="1"/>
  <c r="B11" i="20" s="1"/>
  <c r="F97" i="9"/>
  <c r="U18" i="9" s="1" a="1"/>
  <c r="U18" i="9" s="1"/>
  <c r="K93" i="9"/>
  <c r="Z14" i="9" s="1" a="1"/>
  <c r="Z14" i="9" s="1"/>
  <c r="J57" i="9" a="1"/>
  <c r="J57" i="9" s="1"/>
  <c r="D94" i="9"/>
  <c r="S15" i="9" s="1" a="1"/>
  <c r="S15" i="9" s="1"/>
  <c r="D99" i="9"/>
  <c r="S20" i="9" s="1" a="1"/>
  <c r="S20" i="9" s="1"/>
  <c r="F109" i="9"/>
  <c r="U30" i="9" s="1" a="1"/>
  <c r="U30" i="9" s="1"/>
  <c r="I91" i="9"/>
  <c r="X12" i="9" s="1" a="1"/>
  <c r="X12" i="9" s="1"/>
  <c r="M103" i="9"/>
  <c r="AB24" i="9" s="1" a="1"/>
  <c r="AB24" i="9" s="1"/>
  <c r="K86" i="9"/>
  <c r="Z7" i="9" s="1" a="1"/>
  <c r="Z7" i="9" s="1"/>
  <c r="M72" i="9" a="1"/>
  <c r="M72" i="9" s="1"/>
  <c r="I76" i="9" a="1"/>
  <c r="I76" i="9" s="1"/>
  <c r="M99" i="9"/>
  <c r="AB20" i="9" s="1" a="1"/>
  <c r="AB20" i="9" s="1"/>
  <c r="M111" i="9"/>
  <c r="AB32" i="9" s="1" a="1"/>
  <c r="AB32" i="9" s="1"/>
  <c r="K53" i="9" a="1"/>
  <c r="K53" i="9" s="1"/>
  <c r="K71" i="9" a="1"/>
  <c r="K71" i="9" s="1"/>
  <c r="J74" i="9" a="1"/>
  <c r="J74" i="9" s="1"/>
  <c r="M91" i="9"/>
  <c r="AB12" i="9" s="1" a="1"/>
  <c r="AB12" i="9" s="1"/>
  <c r="H58" i="9" a="1"/>
  <c r="H58" i="9" s="1"/>
  <c r="M67" i="9" a="1"/>
  <c r="M67" i="9" s="1"/>
  <c r="D92" i="9"/>
  <c r="S13" i="9" s="1" a="1"/>
  <c r="S13" i="9" s="1"/>
  <c r="G75" i="9" a="1"/>
  <c r="G75" i="9" s="1"/>
  <c r="L104" i="9"/>
  <c r="AA25" i="9" s="1" a="1"/>
  <c r="AA25" i="9" s="1"/>
  <c r="L109" i="9"/>
  <c r="AA30" i="9" s="1" a="1"/>
  <c r="AA30" i="9" s="1"/>
  <c r="C102" i="9"/>
  <c r="R23" i="9" s="1" a="1"/>
  <c r="R23" i="9" s="1"/>
  <c r="J64" i="9" a="1"/>
  <c r="J64" i="9" s="1"/>
  <c r="L55" i="9" a="1"/>
  <c r="L55" i="9" s="1"/>
  <c r="M96" i="9"/>
  <c r="AB17" i="9" s="1" a="1"/>
  <c r="AB17" i="9" s="1"/>
  <c r="J95" i="9"/>
  <c r="Y16" i="9" s="1" a="1"/>
  <c r="Y16" i="9" s="1"/>
  <c r="H68" i="9" a="1"/>
  <c r="H68" i="9" s="1"/>
  <c r="G58" i="9" a="1"/>
  <c r="G58" i="9" s="1"/>
  <c r="M58" i="9" a="1"/>
  <c r="M58" i="9" s="1"/>
  <c r="H51" i="9" a="1"/>
  <c r="H51" i="9" s="1"/>
  <c r="L106" i="9"/>
  <c r="AA27" i="9" s="1" a="1"/>
  <c r="AA27" i="9" s="1"/>
  <c r="J68" i="9" a="1"/>
  <c r="J68" i="9" s="1"/>
  <c r="F96" i="9"/>
  <c r="U17" i="9" s="1" a="1"/>
  <c r="U17" i="9" s="1"/>
  <c r="M105" i="9"/>
  <c r="AB26" i="9" s="1" a="1"/>
  <c r="AB26" i="9" s="1"/>
  <c r="F92" i="9"/>
  <c r="U13" i="9" s="1" a="1"/>
  <c r="U13" i="9" s="1"/>
  <c r="O90" i="9"/>
  <c r="AD11" i="9" s="1"/>
  <c r="B8" i="20" s="1"/>
  <c r="G88" i="9"/>
  <c r="V9" i="9" s="1" a="1"/>
  <c r="V9" i="9" s="1"/>
  <c r="J93" i="9"/>
  <c r="Y14" i="9" s="1" a="1"/>
  <c r="Y14" i="9" s="1"/>
  <c r="F88" i="9"/>
  <c r="U9" i="9" s="1" a="1"/>
  <c r="U9" i="9" s="1"/>
  <c r="K75" i="9" a="1"/>
  <c r="K75" i="9" s="1"/>
  <c r="I96" i="9"/>
  <c r="X17" i="9" s="1" a="1"/>
  <c r="X17" i="9" s="1"/>
  <c r="E85" i="9"/>
  <c r="T6" i="9" s="1" a="1"/>
  <c r="T6" i="9" s="1"/>
  <c r="K88" i="9"/>
  <c r="Z9" i="9" s="1" a="1"/>
  <c r="Z9" i="9" s="1"/>
  <c r="B4" i="9"/>
  <c r="C4" i="9" s="1"/>
  <c r="C88" i="9"/>
  <c r="R9" i="9" s="1" a="1"/>
  <c r="R9" i="9" s="1"/>
  <c r="G102" i="9"/>
  <c r="V23" i="9" s="1" a="1"/>
  <c r="V23" i="9" s="1"/>
  <c r="L100" i="9"/>
  <c r="AA21" i="9" s="1" a="1"/>
  <c r="AA21" i="9" s="1"/>
  <c r="L53" i="9" a="1"/>
  <c r="L53" i="9" s="1"/>
  <c r="M104" i="9"/>
  <c r="AB25" i="9" s="1" a="1"/>
  <c r="AB25" i="9" s="1"/>
  <c r="G66" i="9" a="1"/>
  <c r="G66" i="9" s="1"/>
  <c r="M102" i="9"/>
  <c r="AB23" i="9" s="1" a="1"/>
  <c r="AB23" i="9" s="1"/>
  <c r="L58" i="9" a="1"/>
  <c r="L58" i="9" s="1"/>
  <c r="J58" i="9" a="1"/>
  <c r="J58" i="9" s="1"/>
  <c r="F85" i="9"/>
  <c r="U6" i="9" s="1" a="1"/>
  <c r="U6" i="9" s="1"/>
  <c r="G53" i="9" a="1"/>
  <c r="G53" i="9" s="1"/>
  <c r="M85" i="9"/>
  <c r="AB6" i="9" s="1" a="1"/>
  <c r="AB6" i="9" s="1"/>
  <c r="K108" i="9"/>
  <c r="Z29" i="9" s="1" a="1"/>
  <c r="Z29" i="9" s="1"/>
  <c r="O67" i="9"/>
  <c r="G74" i="9" a="1"/>
  <c r="G74" i="9" s="1"/>
  <c r="O66" i="9"/>
  <c r="J106" i="9"/>
  <c r="Y27" i="9" s="1" a="1"/>
  <c r="Y27" i="9" s="1"/>
  <c r="J50" i="9" a="1"/>
  <c r="J50" i="9" s="1"/>
  <c r="O65" i="9"/>
  <c r="O70" i="9"/>
  <c r="M59" i="9" a="1"/>
  <c r="M59" i="9" s="1"/>
  <c r="O105" i="9"/>
  <c r="AD26" i="9" s="1"/>
  <c r="B23" i="20" s="1"/>
  <c r="K69" i="9" a="1"/>
  <c r="K69" i="9" s="1"/>
  <c r="B10" i="9"/>
  <c r="K105" i="9"/>
  <c r="Z26" i="9" s="1" a="1"/>
  <c r="Z26" i="9" s="1"/>
  <c r="G92" i="9"/>
  <c r="V13" i="9" s="1" a="1"/>
  <c r="V13" i="9" s="1"/>
  <c r="I75" i="9" a="1"/>
  <c r="I75" i="9" s="1"/>
  <c r="H98" i="9"/>
  <c r="W19" i="9" s="1" a="1"/>
  <c r="W19" i="9" s="1"/>
  <c r="F91" i="9"/>
  <c r="U12" i="9" s="1" a="1"/>
  <c r="U12" i="9" s="1"/>
  <c r="O91" i="9"/>
  <c r="AD12" i="9" s="1"/>
  <c r="B9" i="20" s="1"/>
  <c r="J91" i="9"/>
  <c r="Y12" i="9" s="1" a="1"/>
  <c r="Y12" i="9" s="1"/>
  <c r="G73" i="9" a="1"/>
  <c r="G73" i="9" s="1"/>
  <c r="H104" i="9"/>
  <c r="W25" i="9" s="1" a="1"/>
  <c r="W25" i="9" s="1"/>
  <c r="I93" i="9"/>
  <c r="X14" i="9" s="1" a="1"/>
  <c r="X14" i="9" s="1"/>
  <c r="K106" i="9"/>
  <c r="Z27" i="9" s="1" a="1"/>
  <c r="Z27" i="9" s="1"/>
  <c r="J97" i="9"/>
  <c r="Y18" i="9" s="1" a="1"/>
  <c r="Y18" i="9" s="1"/>
  <c r="O102" i="9"/>
  <c r="AD23" i="9" s="1"/>
  <c r="B20" i="20" s="1"/>
  <c r="J51" i="9" a="1"/>
  <c r="J51" i="9" s="1"/>
  <c r="F98" i="9"/>
  <c r="U19" i="9" s="1" a="1"/>
  <c r="U19" i="9" s="1"/>
  <c r="H106" i="9"/>
  <c r="W27" i="9" s="1" a="1"/>
  <c r="W27" i="9" s="1"/>
  <c r="H101" i="9"/>
  <c r="W22" i="9" s="1" a="1"/>
  <c r="W22" i="9" s="1"/>
  <c r="H85" i="9"/>
  <c r="W6" i="9" s="1" a="1"/>
  <c r="W6" i="9" s="1"/>
  <c r="O111" i="9"/>
  <c r="AD32" i="9" s="1"/>
  <c r="K101" i="9"/>
  <c r="Z22" i="9" s="1" a="1"/>
  <c r="Z22" i="9" s="1"/>
  <c r="M74" i="9" a="1"/>
  <c r="M74" i="9" s="1"/>
  <c r="J107" i="9"/>
  <c r="Y28" i="9" s="1" a="1"/>
  <c r="Y28" i="9" s="1"/>
  <c r="H55" i="9" a="1"/>
  <c r="H55" i="9" s="1"/>
  <c r="H73" i="9" a="1"/>
  <c r="H73" i="9" s="1"/>
  <c r="O53" i="9"/>
  <c r="L67" i="9" a="1"/>
  <c r="L67" i="9" s="1"/>
  <c r="M61" i="9" a="1"/>
  <c r="M61" i="9" s="1"/>
  <c r="O86" i="9"/>
  <c r="AD7" i="9" s="1"/>
  <c r="B4" i="20" s="1"/>
  <c r="L90" i="9"/>
  <c r="AA11" i="9" s="1" a="1"/>
  <c r="AA11" i="9" s="1"/>
  <c r="M90" i="9"/>
  <c r="AB11" i="9" s="1" a="1"/>
  <c r="AB11" i="9" s="1"/>
  <c r="J55" i="9" a="1"/>
  <c r="J55" i="9" s="1"/>
  <c r="M89" i="9"/>
  <c r="AB10" i="9" s="1" a="1"/>
  <c r="AB10" i="9" s="1"/>
  <c r="O104" i="9"/>
  <c r="AD25" i="9" s="1"/>
  <c r="B22" i="20" s="1"/>
  <c r="K67" i="9" a="1"/>
  <c r="K67" i="9" s="1"/>
  <c r="J63" i="9" a="1"/>
  <c r="J63" i="9" s="1"/>
  <c r="M56" i="9" a="1"/>
  <c r="M56" i="9" s="1"/>
  <c r="C87" i="9"/>
  <c r="R8" i="9" s="1" a="1"/>
  <c r="R8" i="9" s="1"/>
  <c r="H63" i="9" a="1"/>
  <c r="H63" i="9" s="1"/>
  <c r="L69" i="9" a="1"/>
  <c r="L69" i="9" s="1"/>
  <c r="K60" i="9" a="1"/>
  <c r="K60" i="9" s="1"/>
  <c r="K73" i="9" a="1"/>
  <c r="K73" i="9" s="1"/>
  <c r="C100" i="9"/>
  <c r="R21" i="9" s="1" a="1"/>
  <c r="R21" i="9" s="1"/>
  <c r="L96" i="9"/>
  <c r="AA17" i="9" s="1" a="1"/>
  <c r="AA17" i="9" s="1"/>
  <c r="K72" i="9" a="1"/>
  <c r="K72" i="9" s="1"/>
  <c r="G85" i="9"/>
  <c r="V6" i="9" s="1" a="1"/>
  <c r="V6" i="9" s="1"/>
  <c r="D109" i="9"/>
  <c r="S30" i="9" s="1" a="1"/>
  <c r="S30" i="9" s="1"/>
  <c r="O95" i="9"/>
  <c r="AD16" i="9" s="1"/>
  <c r="B13" i="20" s="1"/>
  <c r="K107" i="9"/>
  <c r="Z28" i="9" s="1" a="1"/>
  <c r="Z28" i="9" s="1"/>
  <c r="C85" i="9"/>
  <c r="R6" i="9" s="1" a="1"/>
  <c r="R6" i="9" s="1"/>
  <c r="I74" i="9" a="1"/>
  <c r="I74" i="9" s="1"/>
  <c r="G97" i="9"/>
  <c r="V18" i="9" s="1" a="1"/>
  <c r="V18" i="9" s="1"/>
  <c r="D103" i="9"/>
  <c r="S24" i="9" s="1" a="1"/>
  <c r="S24" i="9" s="1"/>
  <c r="G94" i="9"/>
  <c r="V15" i="9" s="1" a="1"/>
  <c r="V15" i="9" s="1"/>
  <c r="D106" i="9"/>
  <c r="S27" i="9" s="1" a="1"/>
  <c r="S27" i="9" s="1"/>
  <c r="B7" i="9"/>
  <c r="E7" i="9" s="1" a="1"/>
  <c r="E7" i="9" s="1"/>
  <c r="E108" i="9"/>
  <c r="T29" i="9" s="1" a="1"/>
  <c r="T29" i="9" s="1"/>
  <c r="I105" i="9"/>
  <c r="X26" i="9" s="1" a="1"/>
  <c r="X26" i="9" s="1"/>
  <c r="B49" i="9"/>
  <c r="D49" i="9" s="1" a="1"/>
  <c r="D49" i="9" s="1"/>
  <c r="H103" i="9"/>
  <c r="W24" i="9" s="1" a="1"/>
  <c r="W24" i="9" s="1"/>
  <c r="O69" i="9"/>
  <c r="J100" i="9"/>
  <c r="Y21" i="9" s="1" a="1"/>
  <c r="Y21" i="9" s="1"/>
  <c r="E86" i="9"/>
  <c r="T7" i="9" s="1" a="1"/>
  <c r="T7" i="9" s="1"/>
  <c r="G54" i="9" a="1"/>
  <c r="G54" i="9" s="1"/>
  <c r="G105" i="9"/>
  <c r="V26" i="9" s="1" a="1"/>
  <c r="V26" i="9" s="1"/>
  <c r="L91" i="9"/>
  <c r="AA12" i="9" s="1" a="1"/>
  <c r="AA12" i="9" s="1"/>
  <c r="O61" i="9"/>
  <c r="J69" i="9" a="1"/>
  <c r="J69" i="9" s="1"/>
  <c r="H66" i="9" a="1"/>
  <c r="H66" i="9" s="1"/>
  <c r="M64" i="9" a="1"/>
  <c r="M64" i="9" s="1"/>
  <c r="F100" i="9"/>
  <c r="U21" i="9" s="1" a="1"/>
  <c r="U21" i="9" s="1"/>
  <c r="K66" i="9" a="1"/>
  <c r="K66" i="9" s="1"/>
  <c r="D89" i="9"/>
  <c r="S10" i="9" s="1" a="1"/>
  <c r="S10" i="9" s="1"/>
  <c r="M53" i="9" a="1"/>
  <c r="M53" i="9" s="1"/>
  <c r="H93" i="9"/>
  <c r="W14" i="9" s="1" a="1"/>
  <c r="W14" i="9" s="1"/>
  <c r="G50" i="9" a="1"/>
  <c r="G50" i="9" s="1"/>
  <c r="K52" i="9" a="1"/>
  <c r="K52" i="9" s="1"/>
  <c r="M60" i="9" a="1"/>
  <c r="M60" i="9" s="1"/>
  <c r="L60" i="9" a="1"/>
  <c r="L60" i="9" s="1"/>
  <c r="J52" i="9" a="1"/>
  <c r="J52" i="9" s="1"/>
  <c r="J72" i="9" a="1"/>
  <c r="J72" i="9" s="1"/>
  <c r="O51" i="9"/>
  <c r="D108" i="9"/>
  <c r="S29" i="9" s="1" a="1"/>
  <c r="S29" i="9" s="1"/>
  <c r="F86" i="9"/>
  <c r="U7" i="9" s="1" a="1"/>
  <c r="U7" i="9" s="1"/>
  <c r="E97" i="9"/>
  <c r="T18" i="9" s="1" a="1"/>
  <c r="T18" i="9" s="1"/>
  <c r="U26" i="9" a="1"/>
  <c r="U26" i="9" s="1"/>
  <c r="H91" i="9"/>
  <c r="W12" i="9" s="1" a="1"/>
  <c r="W12" i="9" s="1"/>
  <c r="I63" i="9" a="1"/>
  <c r="I63" i="9" s="1"/>
  <c r="K103" i="9"/>
  <c r="Z24" i="9" s="1" a="1"/>
  <c r="Z24" i="9" s="1"/>
  <c r="M97" i="9"/>
  <c r="AB18" i="9" s="1" a="1"/>
  <c r="AB18" i="9" s="1"/>
  <c r="O68" i="9"/>
  <c r="D105" i="9"/>
  <c r="S26" i="9" s="1" a="1"/>
  <c r="S26" i="9" s="1"/>
  <c r="E87" i="9"/>
  <c r="T8" i="9" s="1" a="1"/>
  <c r="T8" i="9" s="1"/>
  <c r="K109" i="9"/>
  <c r="Z30" i="9" s="1" a="1"/>
  <c r="Z30" i="9" s="1"/>
  <c r="C92" i="9"/>
  <c r="R13" i="9" s="1" a="1"/>
  <c r="R13" i="9" s="1"/>
  <c r="F89" i="9"/>
  <c r="U10" i="9" s="1" a="1"/>
  <c r="U10" i="9" s="1"/>
  <c r="G108" i="9"/>
  <c r="V29" i="9" s="1" a="1"/>
  <c r="V29" i="9" s="1"/>
  <c r="C107" i="9"/>
  <c r="R28" i="9" s="1" a="1"/>
  <c r="R28" i="9" s="1"/>
  <c r="H86" i="9"/>
  <c r="W7" i="9" s="1" a="1"/>
  <c r="W7" i="9" s="1"/>
  <c r="M100" i="9"/>
  <c r="AB21" i="9" s="1" a="1"/>
  <c r="AB21" i="9" s="1"/>
  <c r="D88" i="9"/>
  <c r="S9" i="9" s="1" a="1"/>
  <c r="S9" i="9" s="1"/>
  <c r="G98" i="9"/>
  <c r="V19" i="9" s="1" a="1"/>
  <c r="V19" i="9" s="1"/>
  <c r="D111" i="9"/>
  <c r="S32" i="9" s="1" a="1"/>
  <c r="S32" i="9" s="1"/>
  <c r="L111" i="9"/>
  <c r="AA32" i="9" s="1" a="1"/>
  <c r="AA32" i="9" s="1"/>
  <c r="I141" i="1" a="1"/>
  <c r="I141" i="1" s="1"/>
  <c r="E13" i="8" s="1"/>
  <c r="A17" i="20"/>
  <c r="K141" i="1"/>
  <c r="AC35" i="9"/>
  <c r="AE35" i="9" s="1"/>
  <c r="AC34" i="9"/>
  <c r="AE34" i="9" s="1"/>
  <c r="G76" i="9" a="1"/>
  <c r="G76" i="9" s="1"/>
  <c r="J141" i="1" a="1"/>
  <c r="J141" i="1" s="1"/>
  <c r="F237" i="17"/>
  <c r="C12" i="10"/>
  <c r="G67" i="9" a="1"/>
  <c r="G67" i="9" s="1"/>
  <c r="AC36" i="9"/>
  <c r="H50" i="9" a="1"/>
  <c r="H50" i="9" s="1"/>
  <c r="G59" i="9" a="1"/>
  <c r="G59" i="9" s="1"/>
  <c r="H75" i="9" a="1"/>
  <c r="H75" i="9" s="1"/>
  <c r="H56" i="9" a="1"/>
  <c r="H56" i="9" s="1"/>
  <c r="V17" i="9" a="1"/>
  <c r="V17" i="9" s="1"/>
  <c r="G61" i="9" a="1"/>
  <c r="G61" i="9" s="1"/>
  <c r="V12" i="9" a="1"/>
  <c r="V12" i="9" s="1"/>
  <c r="G56" i="9" a="1"/>
  <c r="G56" i="9" s="1"/>
  <c r="L68" i="9" a="1"/>
  <c r="L68" i="9" s="1"/>
  <c r="H71" i="9" a="1"/>
  <c r="H71" i="9" s="1"/>
  <c r="G51" i="9" a="1"/>
  <c r="G51" i="9" s="1"/>
  <c r="G68" i="9" a="1"/>
  <c r="G68" i="9" s="1"/>
  <c r="H57" i="9" a="1"/>
  <c r="H57" i="9" s="1"/>
  <c r="N7" i="17"/>
  <c r="P7" i="17" s="1"/>
  <c r="K4" i="17"/>
  <c r="E44" i="18"/>
  <c r="I37" i="12"/>
  <c r="C43" i="12"/>
  <c r="D42" i="14"/>
  <c r="C10" i="8" s="1"/>
  <c r="J43" i="14"/>
  <c r="C12" i="8" s="1"/>
  <c r="H16" i="7"/>
  <c r="G23" i="15"/>
  <c r="H23" i="15"/>
  <c r="D44" i="18"/>
  <c r="C11" i="8" s="1"/>
  <c r="H119" i="1"/>
  <c r="H120" i="1"/>
  <c r="H78" i="1"/>
  <c r="H74" i="1"/>
  <c r="G31" i="2"/>
  <c r="G40" i="2"/>
  <c r="H124" i="1" s="1"/>
  <c r="H81" i="1"/>
  <c r="G22" i="2"/>
  <c r="H82" i="1" s="1"/>
  <c r="H85" i="1"/>
  <c r="G9" i="2"/>
  <c r="H94" i="1" s="1"/>
  <c r="H43" i="2"/>
  <c r="I43" i="2" s="1"/>
  <c r="D43" i="2" s="1"/>
  <c r="H28" i="2"/>
  <c r="I28" i="2" s="1"/>
  <c r="D28" i="2" s="1"/>
  <c r="G15" i="2"/>
  <c r="G23" i="2"/>
  <c r="H86" i="1" s="1"/>
  <c r="G37" i="2"/>
  <c r="G34" i="2"/>
  <c r="G46" i="2"/>
  <c r="H32" i="2"/>
  <c r="I32" i="2" s="1"/>
  <c r="D32" i="2" s="1"/>
  <c r="H5" i="2"/>
  <c r="I5" i="2" s="1"/>
  <c r="D5" i="2" s="1"/>
  <c r="G8" i="2"/>
  <c r="H68" i="1" s="1"/>
  <c r="G44" i="2"/>
  <c r="H138" i="1" s="1"/>
  <c r="H7" i="2"/>
  <c r="I7" i="2" s="1"/>
  <c r="D7" i="2" s="1"/>
  <c r="G35" i="2"/>
  <c r="H112" i="1" s="1"/>
  <c r="H121" i="1"/>
  <c r="H72" i="1"/>
  <c r="H73" i="1"/>
  <c r="H69" i="1"/>
  <c r="H70" i="1"/>
  <c r="H110" i="1"/>
  <c r="H111" i="1"/>
  <c r="H105" i="1"/>
  <c r="H109" i="1"/>
  <c r="H95" i="1"/>
  <c r="H96" i="1"/>
  <c r="H87" i="1"/>
  <c r="H88" i="1"/>
  <c r="H92" i="1"/>
  <c r="H79" i="1"/>
  <c r="H91" i="1"/>
  <c r="H80" i="1"/>
  <c r="H77" i="1"/>
  <c r="H132" i="1"/>
  <c r="H131" i="1"/>
  <c r="H133" i="1"/>
  <c r="H126" i="1"/>
  <c r="H127" i="1"/>
  <c r="H89" i="1"/>
  <c r="H100" i="1"/>
  <c r="H10" i="2"/>
  <c r="I10" i="2" s="1"/>
  <c r="D10" i="2" s="1"/>
  <c r="H76" i="1"/>
  <c r="H122" i="1"/>
  <c r="G25" i="2"/>
  <c r="G41" i="2"/>
  <c r="H128" i="1" s="1"/>
  <c r="H31" i="2"/>
  <c r="I31" i="2" s="1"/>
  <c r="D31" i="2" s="1"/>
  <c r="H19" i="2"/>
  <c r="I19" i="2" s="1"/>
  <c r="D19" i="2" s="1"/>
  <c r="H22" i="2"/>
  <c r="I22" i="2" s="1"/>
  <c r="D22" i="2" s="1"/>
  <c r="H20" i="2"/>
  <c r="I20" i="2" s="1"/>
  <c r="D20" i="2" s="1"/>
  <c r="G6" i="2"/>
  <c r="H38" i="2"/>
  <c r="I38" i="2" s="1"/>
  <c r="D38" i="2" s="1"/>
  <c r="H44" i="2"/>
  <c r="I44" i="2" s="1"/>
  <c r="D44" i="2" s="1"/>
  <c r="D2" i="2"/>
  <c r="K6" i="17" l="1"/>
  <c r="H139" i="1"/>
  <c r="H140" i="1"/>
  <c r="H107" i="1"/>
  <c r="H102" i="1"/>
  <c r="C18" i="9"/>
  <c r="N77" i="9"/>
  <c r="P77" i="9" s="1"/>
  <c r="E3" i="9"/>
  <c r="E14" i="9"/>
  <c r="C5" i="9"/>
  <c r="E8" i="9"/>
  <c r="N112" i="9"/>
  <c r="P112" i="9" s="1"/>
  <c r="N62" i="9"/>
  <c r="P62" i="9" s="1"/>
  <c r="AC33" i="9"/>
  <c r="AE33" i="9" s="1"/>
  <c r="C16" i="9"/>
  <c r="G49" i="9" a="1"/>
  <c r="G49" i="9" s="1"/>
  <c r="E4" i="9"/>
  <c r="C13" i="9"/>
  <c r="C7" i="9"/>
  <c r="AC28" i="9"/>
  <c r="AE28" i="9" s="1"/>
  <c r="C25" i="20" s="1"/>
  <c r="N65" i="9"/>
  <c r="N57" i="9"/>
  <c r="P57" i="9" s="1"/>
  <c r="N72" i="9"/>
  <c r="P72" i="9" s="1"/>
  <c r="N73" i="9"/>
  <c r="P73" i="9" s="1"/>
  <c r="AC8" i="9"/>
  <c r="AE8" i="9" s="1"/>
  <c r="C5" i="20" s="1"/>
  <c r="N64" i="9"/>
  <c r="P64" i="9" s="1"/>
  <c r="N54" i="9"/>
  <c r="P54" i="9" s="1"/>
  <c r="N74" i="9"/>
  <c r="P74" i="9" s="1"/>
  <c r="AC30" i="9"/>
  <c r="AE30" i="9" s="1"/>
  <c r="C27" i="20" s="1"/>
  <c r="N70" i="9"/>
  <c r="P70" i="9" s="1"/>
  <c r="N53" i="9"/>
  <c r="P53" i="9" s="1"/>
  <c r="N60" i="9"/>
  <c r="P60" i="9" s="1"/>
  <c r="N55" i="9"/>
  <c r="P55" i="9" s="1"/>
  <c r="N58" i="9"/>
  <c r="P58" i="9" s="1"/>
  <c r="AC11" i="9"/>
  <c r="AE11" i="9" s="1"/>
  <c r="C8" i="20" s="1"/>
  <c r="AC31" i="9"/>
  <c r="AE31" i="9" s="1"/>
  <c r="C28" i="20" s="1"/>
  <c r="N108" i="9"/>
  <c r="P108" i="9" s="1"/>
  <c r="N52" i="9"/>
  <c r="P52" i="9" s="1"/>
  <c r="N111" i="9"/>
  <c r="P111" i="9" s="1"/>
  <c r="N66" i="9"/>
  <c r="P66" i="9" s="1"/>
  <c r="AC32" i="9"/>
  <c r="AE32" i="9" s="1"/>
  <c r="AC9" i="9"/>
  <c r="AE9" i="9" s="1"/>
  <c r="C6" i="20" s="1"/>
  <c r="AC14" i="9"/>
  <c r="AE14" i="9" s="1"/>
  <c r="C11" i="20" s="1"/>
  <c r="N69" i="9"/>
  <c r="P69" i="9" s="1"/>
  <c r="AC7" i="9"/>
  <c r="AE7" i="9" s="1"/>
  <c r="C4" i="20" s="1"/>
  <c r="N88" i="9"/>
  <c r="P88" i="9" s="1"/>
  <c r="AC25" i="9"/>
  <c r="AE25" i="9" s="1"/>
  <c r="C22" i="20" s="1"/>
  <c r="N94" i="9"/>
  <c r="P94" i="9" s="1"/>
  <c r="E10" i="8"/>
  <c r="E8" i="8"/>
  <c r="E9" i="8"/>
  <c r="E5" i="8"/>
  <c r="E4" i="8"/>
  <c r="E12" i="8"/>
  <c r="E7" i="8"/>
  <c r="E6" i="8"/>
  <c r="AC18" i="9"/>
  <c r="AE18" i="9" s="1"/>
  <c r="C15" i="20" s="1"/>
  <c r="AC20" i="9"/>
  <c r="AE20" i="9" s="1"/>
  <c r="C17" i="20" s="1"/>
  <c r="L49" i="9" a="1"/>
  <c r="L49" i="9" s="1"/>
  <c r="E11" i="9"/>
  <c r="C11" i="9"/>
  <c r="N75" i="9"/>
  <c r="P75" i="9" s="1"/>
  <c r="N98" i="9"/>
  <c r="P98" i="9" s="1"/>
  <c r="N107" i="9"/>
  <c r="P107" i="9" s="1"/>
  <c r="F49" i="9" a="1"/>
  <c r="F49" i="9" s="1"/>
  <c r="E9" i="9"/>
  <c r="C9" i="9"/>
  <c r="N59" i="9"/>
  <c r="P59" i="9" s="1"/>
  <c r="N110" i="9"/>
  <c r="P110" i="9" s="1"/>
  <c r="N71" i="9"/>
  <c r="P71" i="9" s="1"/>
  <c r="AC17" i="9"/>
  <c r="AE17" i="9" s="1"/>
  <c r="C14" i="20" s="1"/>
  <c r="AC6" i="9"/>
  <c r="AE6" i="9" s="1"/>
  <c r="C3" i="20" s="1"/>
  <c r="N90" i="9"/>
  <c r="P90" i="9" s="1"/>
  <c r="C49" i="9" a="1"/>
  <c r="C49" i="9" s="1"/>
  <c r="N102" i="9"/>
  <c r="P102" i="9" s="1"/>
  <c r="V21" i="9" a="1"/>
  <c r="V21" i="9" s="1"/>
  <c r="AC21" i="9" s="1"/>
  <c r="AE21" i="9" s="1"/>
  <c r="C18" i="20" s="1"/>
  <c r="N100" i="9"/>
  <c r="P100" i="9" s="1"/>
  <c r="C12" i="19" a="1"/>
  <c r="C12" i="19" s="1"/>
  <c r="E12" i="19" s="1"/>
  <c r="E16" i="19" s="1"/>
  <c r="E49" i="9" a="1"/>
  <c r="E49" i="9" s="1"/>
  <c r="AA15" i="9" a="1"/>
  <c r="AA15" i="9" s="1"/>
  <c r="AC15" i="9" s="1"/>
  <c r="AE15" i="9" s="1"/>
  <c r="C12" i="20" s="1"/>
  <c r="N95" i="9"/>
  <c r="P95" i="9" s="1"/>
  <c r="V16" i="9" a="1"/>
  <c r="V16" i="9" s="1"/>
  <c r="AC16" i="9" s="1"/>
  <c r="AE16" i="9" s="1"/>
  <c r="C13" i="20" s="1"/>
  <c r="AC19" i="9"/>
  <c r="AE19" i="9" s="1"/>
  <c r="C16" i="20" s="1"/>
  <c r="N76" i="9"/>
  <c r="P76" i="9" s="1"/>
  <c r="N50" i="9"/>
  <c r="P50" i="9" s="1"/>
  <c r="N103" i="9"/>
  <c r="P103" i="9" s="1"/>
  <c r="N97" i="9"/>
  <c r="P97" i="9" s="1"/>
  <c r="N109" i="9"/>
  <c r="P109" i="9" s="1"/>
  <c r="N92" i="9"/>
  <c r="P92" i="9" s="1"/>
  <c r="N85" i="9"/>
  <c r="P85" i="9" s="1"/>
  <c r="N91" i="9"/>
  <c r="P91" i="9" s="1"/>
  <c r="N105" i="9"/>
  <c r="P105" i="9" s="1"/>
  <c r="N63" i="9"/>
  <c r="P63" i="9" s="1"/>
  <c r="I49" i="9" a="1"/>
  <c r="I49" i="9" s="1"/>
  <c r="E84" i="9"/>
  <c r="T5" i="9" s="1" a="1"/>
  <c r="T5" i="9" s="1"/>
  <c r="D84" i="9"/>
  <c r="S5" i="9" s="1" a="1"/>
  <c r="S5" i="9" s="1"/>
  <c r="K49" i="9" a="1"/>
  <c r="K49" i="9" s="1"/>
  <c r="H84" i="9"/>
  <c r="W5" i="9" s="1" a="1"/>
  <c r="W5" i="9" s="1"/>
  <c r="C84" i="9"/>
  <c r="R5" i="9" s="1" a="1"/>
  <c r="R5" i="9" s="1"/>
  <c r="L84" i="9"/>
  <c r="AA5" i="9" s="1" a="1"/>
  <c r="AA5" i="9" s="1"/>
  <c r="M84" i="9"/>
  <c r="AB5" i="9" s="1" a="1"/>
  <c r="AB5" i="9" s="1"/>
  <c r="K84" i="9"/>
  <c r="Z5" i="9" s="1" a="1"/>
  <c r="Z5" i="9" s="1"/>
  <c r="G84" i="9"/>
  <c r="V5" i="9" s="1" a="1"/>
  <c r="V5" i="9" s="1"/>
  <c r="J49" i="9" a="1"/>
  <c r="J49" i="9" s="1"/>
  <c r="I84" i="9"/>
  <c r="X5" i="9" s="1" a="1"/>
  <c r="X5" i="9" s="1"/>
  <c r="J84" i="9"/>
  <c r="Y5" i="9" s="1" a="1"/>
  <c r="Y5" i="9" s="1"/>
  <c r="F84" i="9"/>
  <c r="U5" i="9" s="1" a="1"/>
  <c r="U5" i="9" s="1"/>
  <c r="O84" i="9"/>
  <c r="AD5" i="9" s="1"/>
  <c r="B2" i="20" s="1"/>
  <c r="B2" i="9"/>
  <c r="M49" i="9" a="1"/>
  <c r="M49" i="9" s="1"/>
  <c r="O49" i="9"/>
  <c r="H49" i="9" a="1"/>
  <c r="H49" i="9" s="1"/>
  <c r="AC23" i="9"/>
  <c r="AE23" i="9" s="1"/>
  <c r="C20" i="20" s="1"/>
  <c r="N87" i="9"/>
  <c r="P87" i="9" s="1"/>
  <c r="AC10" i="9"/>
  <c r="AE10" i="9" s="1"/>
  <c r="C7" i="20" s="1"/>
  <c r="C15" i="9"/>
  <c r="E15" i="9"/>
  <c r="AC29" i="9"/>
  <c r="AE29" i="9" s="1"/>
  <c r="C26" i="20" s="1"/>
  <c r="N101" i="9"/>
  <c r="P101" i="9" s="1"/>
  <c r="Y22" i="9" a="1"/>
  <c r="Y22" i="9" s="1"/>
  <c r="AC22" i="9" s="1"/>
  <c r="AE22" i="9" s="1"/>
  <c r="C19" i="20" s="1"/>
  <c r="AC26" i="9"/>
  <c r="AE26" i="9" s="1"/>
  <c r="C23" i="20" s="1"/>
  <c r="N93" i="9"/>
  <c r="P93" i="9" s="1"/>
  <c r="N67" i="9"/>
  <c r="P67" i="9" s="1"/>
  <c r="N96" i="9"/>
  <c r="P96" i="9" s="1"/>
  <c r="N104" i="9"/>
  <c r="P104" i="9" s="1"/>
  <c r="N86" i="9"/>
  <c r="P86" i="9" s="1"/>
  <c r="N51" i="9"/>
  <c r="P51" i="9" s="1"/>
  <c r="N106" i="9"/>
  <c r="P106" i="9" s="1"/>
  <c r="P65" i="9"/>
  <c r="C6" i="9"/>
  <c r="E6" i="9"/>
  <c r="C12" i="9"/>
  <c r="E12" i="9"/>
  <c r="C17" i="9"/>
  <c r="E17" i="9"/>
  <c r="N61" i="9"/>
  <c r="P61" i="9" s="1"/>
  <c r="AC27" i="9"/>
  <c r="AE27" i="9" s="1"/>
  <c r="C24" i="20" s="1"/>
  <c r="AC13" i="9"/>
  <c r="AE13" i="9" s="1"/>
  <c r="C10" i="20" s="1"/>
  <c r="N89" i="9"/>
  <c r="P89" i="9" s="1"/>
  <c r="N99" i="9"/>
  <c r="P99" i="9" s="1"/>
  <c r="C10" i="9"/>
  <c r="E10" i="9"/>
  <c r="N56" i="9"/>
  <c r="P56" i="9" s="1"/>
  <c r="AC12" i="9"/>
  <c r="AE12" i="9" s="1"/>
  <c r="C9" i="20" s="1"/>
  <c r="AC24" i="9"/>
  <c r="AE24" i="9" s="1"/>
  <c r="C21" i="20" s="1"/>
  <c r="N68" i="9"/>
  <c r="P68" i="9" s="1"/>
  <c r="C19" i="10"/>
  <c r="C14" i="8"/>
  <c r="C4" i="10" s="1"/>
  <c r="F44" i="18"/>
  <c r="E11" i="8"/>
  <c r="H114" i="1"/>
  <c r="H117" i="1"/>
  <c r="H125" i="1"/>
  <c r="H99" i="1"/>
  <c r="H136" i="1"/>
  <c r="H98" i="1"/>
  <c r="H90" i="1"/>
  <c r="H115" i="1"/>
  <c r="H71" i="1"/>
  <c r="H123" i="1"/>
  <c r="E14" i="8" l="1"/>
  <c r="AC5" i="9"/>
  <c r="AE5" i="9" s="1"/>
  <c r="C2" i="20" s="1"/>
  <c r="C2" i="9"/>
  <c r="E2" i="9"/>
  <c r="N84" i="9"/>
  <c r="P84" i="9" s="1"/>
  <c r="N49" i="9"/>
  <c r="P49" i="9"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<sst xmlns="http://schemas.openxmlformats.org/spreadsheetml/2006/main" count="1641" uniqueCount="424">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</sst>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7</xdr:row>
      <xdr:rowOff>43181</xdr:rowOff>
    </xdr:from>
    <xdr:to>
      <xdr:col>13</xdr:col>
      <xdr:colOff>451645</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12</xdr:row>
      <xdr:rowOff>138748</xdr:rowOff>
    </xdr:from>
    <xdr:to>
      <xdr:col>14</xdr:col>
      <xdr:colOff>587388</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2612957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8379627" createdVersion="8" refreshedVersion="8" minRefreshableVersion="3" recordCount="141" xr:uid="{46CBB50D-3613-4E5B-8212-DD0313DCD05A}">
  <cacheSource type="worksheet">
    <worksheetSource name="Table1"/>
  </cacheSource>
  <cacheFields count="14">
    <cacheField name="Date" numFmtId="14">
      <sharedItems containsSemiMixedTypes="0" containsNonDate="0" containsDate="1" containsString="0" minDate="2026-01-20T00:00:00" maxDate="2026-02-07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52"/>
    </cacheField>
    <cacheField name="Quality" numFmtId="0">
      <sharedItems containsBlank="1"/>
    </cacheField>
    <cacheField name="Shipment Number" numFmtId="164">
      <sharedItems containsBlank="1" containsMixedTypes="1" containsNumber="1" containsInteger="1" minValue="1558" maxValue="17000" count="417">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2055"/>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189812" createdVersion="8" refreshedVersion="8" minRefreshableVersion="3" recordCount="221" xr:uid="{B5BDFB73-D93A-4A7A-8149-666BC190B09B}">
  <cacheSource type="worksheet">
    <worksheetSource name="Table14"/>
  </cacheSource>
  <cacheFields count="7">
    <cacheField name="Date" numFmtId="14">
      <sharedItems containsNonDate="0" containsDate="1" containsString="0" containsBlank="1" minDate="2025-12-23T00:00:00" maxDate="2026-02-08T00:00:00"/>
    </cacheField>
    <cacheField name="Party" numFmtId="0">
      <sharedItems containsBlank="1" count="84">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Ibraheem" u="1"/>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31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53703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15787.30797366501"/>
    </cacheField>
    <cacheField name="Rate" numFmtId="0">
      <sharedItems containsString="0" containsBlank="1" containsNumber="1" minValue="10" maxValue="12"/>
    </cacheField>
    <cacheField name="Total" numFmtId="164">
      <sharedItems containsSemiMixedTypes="0" containsString="0" containsNumber="1" minValue="0" maxValue="3266011.338697878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4976852"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6250" maxValue="423000"/>
    </cacheField>
    <cacheField name="Party" numFmtId="0">
      <sharedItems containsBlank="1" count="11">
        <s v="Unicolour"/>
        <s v="madina dyes"/>
        <s v="General Dyes"/>
        <s v="Shafi Dyes"/>
        <s v="MAK dyes"/>
        <m/>
        <s v="13 carton" u="1"/>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5011574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8">
        <d v="2026-01-20T00:00:00"/>
        <m/>
        <d v="2026-01-22T00:00:00"/>
        <d v="2026-01-26T00:00:00"/>
        <d v="2026-01-27T00:00:00"/>
        <d v="2026-01-28T00:00:00"/>
        <d v="2026-01-30T00:00:00"/>
        <d v="2026-02-01T00:00:00"/>
        <d v="2026-01-03T00:00:00"/>
        <d v="2026-01-31T00:00:00"/>
        <d v="2026-02-02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60.065650462966"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0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n v="8.2666439105876321"/>
    <n v="48220.555961960505"/>
    <n v="482205.55961960508"/>
    <m/>
  </r>
  <r>
    <d v="2026-02-05T00:00:00"/>
    <x v="20"/>
    <n v="1442"/>
    <s v="Chamki"/>
    <x v="39"/>
    <n v="20322"/>
    <n v="21839"/>
    <n v="1.7329769064801326"/>
    <n v="19969.824433065107"/>
    <n v="199698.24433065107"/>
    <m/>
  </r>
  <r>
    <d v="2026-02-05T00:00:00"/>
    <x v="0"/>
    <n v="1443"/>
    <s v="Chamki"/>
    <x v="40"/>
    <n v="70927"/>
    <n v="27816"/>
    <n v="4.7608208276704715"/>
    <n v="25435.259692757867"/>
    <n v="254352.59692757868"/>
    <m/>
  </r>
  <r>
    <d v="2026-02-05T00:00:00"/>
    <x v="0"/>
    <n v="1444"/>
    <s v="Chamki"/>
    <x v="40"/>
    <n v="70927"/>
    <n v="21465"/>
    <n v="4.7608208276704715"/>
    <n v="19627.834674469643"/>
    <n v="196278.34674469644"/>
    <m/>
  </r>
  <r>
    <d v="2026-02-05T00:00:00"/>
    <x v="0"/>
    <n v="1445"/>
    <s v="Chamki"/>
    <x v="40"/>
    <n v="70927"/>
    <n v="24592"/>
    <n v="4.7608208276704715"/>
    <n v="22487.198244330652"/>
    <n v="224871.98244330651"/>
    <m/>
  </r>
  <r>
    <d v="2026-02-05T00:00:00"/>
    <x v="0"/>
    <n v="1446"/>
    <s v="Chamki"/>
    <x v="41"/>
    <n v="55052"/>
    <n v="10863"/>
    <n v="81.956608318870266"/>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81.956608318870266"/>
    <m/>
    <m/>
    <m/>
  </r>
  <r>
    <d v="2026-02-06T00:00:00"/>
    <x v="0"/>
    <n v="1450"/>
    <s v="Chamki"/>
    <x v="40"/>
    <n v="70927"/>
    <n v="2252"/>
    <n v="4.7608208276704715"/>
    <m/>
    <m/>
    <m/>
  </r>
  <r>
    <d v="2026-02-06T00:00:00"/>
    <x v="7"/>
    <n v="1451"/>
    <s v="Silky"/>
    <x v="42"/>
    <n v="47813"/>
    <n v="30736"/>
    <s v="NF"/>
    <m/>
    <m/>
    <m/>
  </r>
  <r>
    <d v="2026-02-06T00:00:00"/>
    <x v="7"/>
    <n v="1452"/>
    <s v="Silky"/>
    <x v="42"/>
    <n v="47813"/>
    <n v="19714"/>
    <s v="NF"/>
    <m/>
    <m/>
    <m/>
  </r>
  <r>
    <d v="2026-02-06T00:00:00"/>
    <x v="28"/>
    <m/>
    <m/>
    <x v="0"/>
    <m/>
    <m/>
    <e v="#DIV/0!"/>
    <m/>
    <m/>
    <m/>
  </r>
  <r>
    <d v="2026-02-06T00:00:00"/>
    <x v="28"/>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d v="2026-01-20T00:00:00"/>
    <x v="0"/>
    <m/>
    <n v="2631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m/>
    <x v="5"/>
    <n v="5000"/>
    <m/>
    <s v="petrol"/>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
    <s v="Bank"/>
    <m/>
  </r>
  <r>
    <d v="2026-02-07T00:00:00"/>
    <x v="14"/>
    <m/>
    <m/>
    <m/>
    <m/>
    <m/>
  </r>
  <r>
    <d v="2026-02-07T00:00:00"/>
    <x v="14"/>
    <m/>
    <m/>
    <m/>
    <m/>
    <m/>
  </r>
  <r>
    <d v="2026-02-07T00:00:00"/>
    <x v="14"/>
    <m/>
    <m/>
    <m/>
    <m/>
    <m/>
  </r>
  <r>
    <d v="2026-02-07T00:00:00"/>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15787.30797366501"/>
    <n v="10"/>
    <n v="3266011.3386978786"/>
  </r>
  <r>
    <x v="1"/>
    <n v="44061.814191660575"/>
    <n v="10"/>
    <n v="528741.77029992687"/>
  </r>
  <r>
    <x v="2"/>
    <n v="19257.498171177762"/>
    <n v="10"/>
    <n v="192574.98171177763"/>
  </r>
  <r>
    <x v="3"/>
    <n v="0"/>
    <n v="10.5"/>
    <n v="0"/>
  </r>
  <r>
    <x v="4"/>
    <n v="0"/>
    <n v="10"/>
    <n v="0"/>
  </r>
  <r>
    <x v="5"/>
    <n v="47127.834674469646"/>
    <n v="10"/>
    <n v="471278.34674469649"/>
  </r>
  <r>
    <x v="6"/>
    <n v="0"/>
    <n v="10"/>
    <n v="0"/>
  </r>
  <r>
    <x v="7"/>
    <n v="188184.89392831019"/>
    <n v="10"/>
    <n v="2056600.219458669"/>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n v="423000"/>
    <x v="0"/>
    <n v="0"/>
    <n v="423000"/>
    <s v="N blue,Black,5R,3R,SE2R,10GF,F3BS,H3R"/>
  </r>
  <r>
    <x v="4"/>
    <s v="Dyes"/>
    <m/>
    <m/>
    <n v="86250"/>
    <x v="0"/>
    <n v="0"/>
    <n v="86250"/>
    <s v="Scarlet B,4G"/>
  </r>
  <r>
    <x v="5"/>
    <s v="Dyes"/>
    <m/>
    <m/>
    <m/>
    <x v="4"/>
    <n v="0"/>
    <n v="0"/>
    <m/>
  </r>
  <r>
    <x v="6"/>
    <m/>
    <m/>
    <m/>
    <m/>
    <x v="5"/>
    <n v="0"/>
    <n v="0"/>
    <m/>
  </r>
  <r>
    <x v="6"/>
    <m/>
    <m/>
    <m/>
    <m/>
    <x v="5"/>
    <n v="0"/>
    <n v="0"/>
    <m/>
  </r>
  <r>
    <x v="6"/>
    <m/>
    <m/>
    <m/>
    <m/>
    <x v="5"/>
    <n v="0"/>
    <n v="0"/>
    <m/>
  </r>
  <r>
    <x v="6"/>
    <m/>
    <m/>
    <m/>
    <m/>
    <x v="5"/>
    <n v="0"/>
    <n v="0"/>
    <m/>
  </r>
  <r>
    <x v="6"/>
    <m/>
    <m/>
    <m/>
    <m/>
    <x v="5"/>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m/>
    <x v="6"/>
    <m/>
    <m/>
    <m/>
    <n v="0"/>
    <n v="0"/>
    <n v="0"/>
  </r>
  <r>
    <m/>
    <x v="6"/>
    <m/>
    <m/>
    <m/>
    <n v="0"/>
    <n v="0"/>
    <n v="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1">
      <pivotArea field="0" grandRow="1" outline="0" collapsedLevelsAreSubtotals="1" axis="axisRow" fieldPosition="0">
        <references count="1">
          <reference field="4294967294" count="1" selected="0">
            <x v="1"/>
          </reference>
        </references>
      </pivotArea>
    </format>
    <format dxfId="110">
      <pivotArea field="0" grandRow="1" outline="0" collapsedLevelsAreSubtotals="1" axis="axisRow" fieldPosition="0">
        <references count="1">
          <reference field="4294967294" count="1" selected="0">
            <x v="0"/>
          </reference>
        </references>
      </pivotArea>
    </format>
    <format dxfId="109">
      <pivotArea collapsedLevelsAreSubtotals="1" fieldPosition="0">
        <references count="2">
          <reference field="4294967294" count="1" selected="0">
            <x v="1"/>
          </reference>
          <reference field="0" count="0"/>
        </references>
      </pivotArea>
    </format>
    <format dxfId="10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9">
        <item m="1" x="162"/>
        <item m="1" x="163"/>
        <item m="1" x="164"/>
        <item m="1" x="165"/>
        <item m="1" x="166"/>
        <item m="1" x="167"/>
        <item m="1" x="168"/>
        <item m="1" x="177"/>
        <item m="1" x="158"/>
        <item m="1" x="169"/>
        <item m="1" x="170"/>
        <item m="1" x="171"/>
        <item m="1" x="172"/>
        <item m="1" x="173"/>
        <item m="1" x="174"/>
        <item m="1" x="175"/>
        <item m="1" x="129"/>
        <item m="1" x="130"/>
        <item m="1" x="176"/>
        <item m="1" x="131"/>
        <item m="1" x="128"/>
        <item m="1" x="132"/>
        <item m="1" x="134"/>
        <item m="1" x="135"/>
        <item m="1" x="136"/>
        <item m="1" x="138"/>
        <item m="1" x="139"/>
        <item m="1" x="140"/>
        <item m="1" x="133"/>
        <item m="1" x="137"/>
        <item m="1" x="141"/>
        <item m="1" x="142"/>
        <item m="1" x="143"/>
        <item m="1" x="144"/>
        <item m="1" x="127"/>
        <item m="1" x="145"/>
        <item m="1" x="159"/>
        <item m="1" x="160"/>
        <item m="1" x="161"/>
        <item m="1" x="146"/>
        <item m="1" x="147"/>
        <item m="1" x="148"/>
        <item m="1" x="149"/>
        <item m="1" x="150"/>
        <item m="1" x="151"/>
        <item m="1" x="152"/>
        <item m="1" x="153"/>
        <item m="1" x="154"/>
        <item m="1" x="155"/>
        <item m="1" x="156"/>
        <item m="1" x="157"/>
        <item m="1" x="98"/>
        <item m="1" x="99"/>
        <item m="1" x="100"/>
        <item m="1" x="101"/>
        <item m="1" x="102"/>
        <item m="1" x="103"/>
        <item m="1" x="104"/>
        <item m="1" x="105"/>
        <item m="1" x="107"/>
        <item m="1" x="108"/>
        <item m="1" x="109"/>
        <item m="1" x="106"/>
        <item m="1" x="110"/>
        <item m="1" x="111"/>
        <item m="1" x="112"/>
        <item m="1" x="113"/>
        <item m="1" x="114"/>
        <item m="1" x="115"/>
        <item m="1" x="116"/>
        <item m="1" x="117"/>
        <item m="1" x="118"/>
        <item m="1" x="119"/>
        <item m="1" x="120"/>
        <item m="1" x="121"/>
        <item m="1" x="122"/>
        <item m="1" x="123"/>
        <item m="1" x="124"/>
        <item m="1" x="125"/>
        <item m="1" x="126"/>
        <item m="1" x="44"/>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45"/>
        <item m="1" x="48"/>
        <item m="1" x="46"/>
        <item m="1" x="47"/>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12"/>
        <item m="1" x="13"/>
        <item m="1" x="14"/>
        <item m="1" x="15"/>
        <item m="1" x="16"/>
        <item m="1" x="17"/>
        <item m="1" x="18"/>
        <item m="1" x="19"/>
        <item x="1"/>
        <item m="1" x="20"/>
        <item m="1" x="21"/>
        <item m="1" x="22"/>
        <item m="1" x="23"/>
        <item m="1" x="24"/>
        <item m="1" x="25"/>
        <item m="1" x="43"/>
        <item m="1" x="26"/>
        <item m="1" x="27"/>
        <item m="1" x="11"/>
        <item x="8"/>
        <item m="1" x="28"/>
        <item m="1" x="29"/>
        <item m="1" x="30"/>
        <item m="1" x="31"/>
        <item m="1" x="32"/>
        <item m="1" x="33"/>
        <item m="1" x="34"/>
        <item m="1" x="35"/>
        <item m="1" x="36"/>
        <item m="1" x="37"/>
        <item m="1" x="38"/>
        <item m="1" x="39"/>
        <item m="1" x="40"/>
        <item m="1" x="41"/>
        <item m="1" x="42"/>
        <item x="0"/>
        <item x="2"/>
        <item x="3"/>
        <item x="4"/>
        <item x="5"/>
        <item x="6"/>
        <item x="7"/>
        <item x="9"/>
        <item x="1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65">
      <pivotArea dataOnly="0" labelOnly="1" outline="0" fieldPosition="0">
        <references count="1">
          <reference field="1" count="1">
            <x v="1"/>
          </reference>
        </references>
      </pivotArea>
    </format>
    <format dxfId="6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5" firstHeaderRow="0" firstDataRow="1" firstDataCol="1"/>
  <pivotFields count="7">
    <pivotField numFmtId="14" showAll="0"/>
    <pivotField axis="axisRow" showAll="0">
      <items count="85">
        <item x="6"/>
        <item x="29"/>
        <item m="1" x="49"/>
        <item m="1" x="70"/>
        <item m="1" x="74"/>
        <item x="23"/>
        <item x="15"/>
        <item x="11"/>
        <item x="4"/>
        <item x="7"/>
        <item x="12"/>
        <item m="1" x="82"/>
        <item m="1" x="40"/>
        <item x="5"/>
        <item m="1" x="38"/>
        <item m="1" x="80"/>
        <item x="2"/>
        <item x="26"/>
        <item x="3"/>
        <item x="21"/>
        <item x="14"/>
        <item x="22"/>
        <item m="1" x="83"/>
        <item m="1" x="41"/>
        <item m="1" x="32"/>
        <item m="1" x="81"/>
        <item m="1" x="73"/>
        <item m="1" x="55"/>
        <item m="1" x="75"/>
        <item m="1" x="76"/>
        <item m="1" x="77"/>
        <item m="1" x="78"/>
        <item x="10"/>
        <item m="1" x="79"/>
        <item m="1" x="42"/>
        <item m="1" x="33"/>
        <item m="1" x="44"/>
        <item m="1" x="34"/>
        <item m="1" x="69"/>
        <item m="1" x="65"/>
        <item m="1" x="37"/>
        <item x="17"/>
        <item m="1" x="54"/>
        <item m="1" x="71"/>
        <item x="1"/>
        <item m="1" x="72"/>
        <item m="1" x="60"/>
        <item x="25"/>
        <item x="8"/>
        <item m="1" x="61"/>
        <item m="1" x="62"/>
        <item m="1" x="63"/>
        <item m="1" x="64"/>
        <item m="1" x="66"/>
        <item m="1" x="43"/>
        <item m="1" x="50"/>
        <item m="1" x="67"/>
        <item m="1" x="68"/>
        <item m="1" x="48"/>
        <item m="1" x="52"/>
        <item m="1" x="47"/>
        <item m="1" x="35"/>
        <item m="1" x="51"/>
        <item m="1" x="46"/>
        <item m="1" x="59"/>
        <item x="13"/>
        <item x="27"/>
        <item m="1" x="56"/>
        <item x="16"/>
        <item m="1" x="53"/>
        <item x="18"/>
        <item m="1" x="57"/>
        <item x="20"/>
        <item m="1" x="58"/>
        <item x="0"/>
        <item m="1" x="36"/>
        <item x="9"/>
        <item m="1" x="39"/>
        <item x="19"/>
        <item m="1" x="45"/>
        <item m="1" x="31"/>
        <item x="28"/>
        <item x="30"/>
        <item x="24"/>
        <item t="default"/>
      </items>
    </pivotField>
    <pivotField dataField="1" showAll="0"/>
    <pivotField dataField="1" showAll="0"/>
    <pivotField showAll="0"/>
    <pivotField showAll="0"/>
    <pivotField showAll="0"/>
  </pivotFields>
  <rowFields count="1">
    <field x="1"/>
  </rowFields>
  <rowItems count="32">
    <i>
      <x/>
    </i>
    <i>
      <x v="1"/>
    </i>
    <i>
      <x v="5"/>
    </i>
    <i>
      <x v="6"/>
    </i>
    <i>
      <x v="7"/>
    </i>
    <i>
      <x v="8"/>
    </i>
    <i>
      <x v="9"/>
    </i>
    <i>
      <x v="10"/>
    </i>
    <i>
      <x v="13"/>
    </i>
    <i>
      <x v="16"/>
    </i>
    <i>
      <x v="17"/>
    </i>
    <i>
      <x v="18"/>
    </i>
    <i>
      <x v="19"/>
    </i>
    <i>
      <x v="20"/>
    </i>
    <i>
      <x v="21"/>
    </i>
    <i>
      <x v="32"/>
    </i>
    <i>
      <x v="41"/>
    </i>
    <i>
      <x v="44"/>
    </i>
    <i>
      <x v="47"/>
    </i>
    <i>
      <x v="48"/>
    </i>
    <i>
      <x v="65"/>
    </i>
    <i>
      <x v="66"/>
    </i>
    <i>
      <x v="68"/>
    </i>
    <i>
      <x v="70"/>
    </i>
    <i>
      <x v="72"/>
    </i>
    <i>
      <x v="74"/>
    </i>
    <i>
      <x v="76"/>
    </i>
    <i>
      <x v="78"/>
    </i>
    <i>
      <x v="81"/>
    </i>
    <i>
      <x v="82"/>
    </i>
    <i>
      <x v="83"/>
    </i>
    <i t="grand">
      <x/>
    </i>
  </rowItems>
  <colFields count="1">
    <field x="-2"/>
  </colFields>
  <colItems count="2">
    <i>
      <x/>
    </i>
    <i i="1">
      <x v="1"/>
    </i>
  </colItems>
  <dataFields count="2">
    <dataField name="Sum of Credit" fld="3" baseField="0" baseItem="0"/>
    <dataField name="Sum of Debit" fld="2" baseField="0" baseItem="0"/>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2">
        <item x="0"/>
        <item x="5"/>
        <item m="1" x="10"/>
        <item m="1" x="9"/>
        <item x="1"/>
        <item x="2"/>
        <item x="3"/>
        <item m="1" x="7"/>
        <item m="1" x="8"/>
        <item m="1" x="6"/>
        <item x="4"/>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7"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8">
        <item m="1" x="400"/>
        <item m="1" x="401"/>
        <item m="1" x="399"/>
        <item m="1" x="398"/>
        <item m="1" x="402"/>
        <item m="1" x="404"/>
        <item m="1" x="403"/>
        <item m="1" x="405"/>
        <item m="1" x="406"/>
        <item m="1" x="407"/>
        <item m="1" x="408"/>
        <item m="1" x="409"/>
        <item m="1" x="410"/>
        <item m="1" x="411"/>
        <item m="1" x="336"/>
        <item m="1" x="358"/>
        <item m="1" x="412"/>
        <item m="1" x="413"/>
        <item m="1" x="414"/>
        <item m="1" x="366"/>
        <item m="1" x="365"/>
        <item m="1" x="415"/>
        <item m="1" x="416"/>
        <item m="1" x="375"/>
        <item m="1" x="367"/>
        <item m="1" x="368"/>
        <item m="1" x="369"/>
        <item m="1" x="370"/>
        <item m="1" x="371"/>
        <item m="1" x="372"/>
        <item m="1" x="373"/>
        <item m="1" x="374"/>
        <item m="1" x="376"/>
        <item m="1" x="396"/>
        <item m="1" x="377"/>
        <item m="1" x="397"/>
        <item m="1" x="378"/>
        <item m="1" x="379"/>
        <item m="1" x="380"/>
        <item m="1" x="381"/>
        <item m="1" x="382"/>
        <item m="1" x="313"/>
        <item m="1" x="383"/>
        <item m="1" x="384"/>
        <item m="1" x="385"/>
        <item m="1" x="386"/>
        <item m="1" x="387"/>
        <item m="1" x="388"/>
        <item m="1" x="389"/>
        <item m="1" x="390"/>
        <item m="1" x="391"/>
        <item m="1" x="392"/>
        <item m="1" x="393"/>
        <item m="1" x="394"/>
        <item m="1" x="395"/>
        <item x="0"/>
        <item m="1" x="312"/>
        <item m="1" x="314"/>
        <item m="1" x="315"/>
        <item m="1" x="316"/>
        <item m="1" x="317"/>
        <item m="1" x="318"/>
        <item m="1" x="319"/>
        <item m="1" x="320"/>
        <item m="1" x="321"/>
        <item m="1" x="322"/>
        <item m="1" x="323"/>
        <item m="1" x="324"/>
        <item m="1" x="325"/>
        <item m="1" x="326"/>
        <item m="1" x="48"/>
        <item m="1" x="327"/>
        <item m="1" x="328"/>
        <item m="1" x="329"/>
        <item m="1" x="330"/>
        <item m="1" x="331"/>
        <item m="1" x="332"/>
        <item m="1" x="333"/>
        <item m="1" x="334"/>
        <item m="1" x="335"/>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9"/>
        <item m="1" x="360"/>
        <item m="1" x="361"/>
        <item m="1" x="362"/>
        <item m="1" x="363"/>
        <item m="1" x="364"/>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65"/>
        <item m="1" x="281"/>
        <item m="1" x="282"/>
        <item m="1" x="283"/>
        <item m="1" x="284"/>
        <item m="1" x="285"/>
        <item m="1" x="286"/>
        <item m="1" x="287"/>
        <item m="1" x="288"/>
        <item m="1" x="289"/>
        <item m="1" x="290"/>
        <item m="1" x="291"/>
        <item m="1" x="311"/>
        <item m="1" x="292"/>
        <item m="1" x="293"/>
        <item m="1" x="294"/>
        <item m="1" x="295"/>
        <item m="1" x="296"/>
        <item m="1" x="297"/>
        <item m="1" x="298"/>
        <item m="1" x="299"/>
        <item m="1" x="300"/>
        <item m="1" x="301"/>
        <item m="1" x="302"/>
        <item m="1" x="303"/>
        <item m="1" x="304"/>
        <item m="1" x="305"/>
        <item m="1" x="306"/>
        <item m="1" x="307"/>
        <item m="1" x="308"/>
        <item m="1" x="309"/>
        <item m="1" x="310"/>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107"/>
        <item m="1" x="230"/>
        <item m="1" x="98"/>
        <item m="1" x="99"/>
        <item m="1" x="100"/>
        <item m="1" x="101"/>
        <item m="1" x="102"/>
        <item m="1" x="103"/>
        <item m="1" x="104"/>
        <item m="1" x="105"/>
        <item m="1" x="106"/>
        <item m="1" x="108"/>
        <item m="1" x="109"/>
        <item m="1" x="110"/>
        <item m="1" x="111"/>
        <item m="1" x="112"/>
        <item m="1" x="113"/>
        <item m="1" x="114"/>
        <item m="1" x="115"/>
        <item m="1" x="116"/>
        <item m="1" x="117"/>
        <item m="1" x="118"/>
        <item m="1" x="119"/>
        <item m="1" x="120"/>
        <item m="1" x="121"/>
        <item m="1" x="45"/>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4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46"/>
        <item m="1" x="173"/>
        <item m="1" x="174"/>
        <item m="1" x="43"/>
        <item m="1" x="52"/>
        <item m="1" x="44"/>
        <item m="1" x="47"/>
        <item m="1" x="50"/>
        <item m="1" x="51"/>
        <item m="1" x="53"/>
        <item m="1" x="54"/>
        <item m="1" x="55"/>
        <item m="1" x="56"/>
        <item m="1" x="57"/>
        <item m="1" x="58"/>
        <item m="1" x="59"/>
        <item m="1" x="60"/>
        <item m="1" x="61"/>
        <item m="1" x="62"/>
        <item m="1" x="63"/>
        <item m="1" x="64"/>
        <item m="1" x="66"/>
        <item m="1" x="67"/>
        <item m="1" x="68"/>
        <item m="1" x="69"/>
        <item x="19"/>
        <item m="1" x="70"/>
        <item m="1" x="71"/>
        <item m="1" x="72"/>
        <item x="8"/>
        <item m="1" x="73"/>
        <item m="1" x="74"/>
        <item m="1" x="75"/>
        <item m="1" x="76"/>
        <item m="1" x="77"/>
        <item m="1" x="78"/>
        <item m="1" x="79"/>
        <item m="1" x="80"/>
        <item m="1" x="81"/>
        <item m="1" x="82"/>
        <item m="1" x="83"/>
        <item m="1" x="84"/>
        <item m="1" x="85"/>
        <item m="1" x="86"/>
        <item m="1" x="87"/>
        <item m="1" x="88"/>
        <item m="1" x="89"/>
        <item m="1" x="97"/>
        <item m="1" x="90"/>
        <item m="1" x="91"/>
        <item x="5"/>
        <item x="6"/>
        <item m="1" x="92"/>
        <item x="21"/>
        <item m="1" x="93"/>
        <item m="1" x="94"/>
        <item m="1" x="95"/>
        <item m="1" x="96"/>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x="4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4">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7">
        <i x="24" s="1"/>
        <i x="19" s="1"/>
        <i x="8" s="1"/>
        <i x="21" s="1"/>
        <i x="22" s="1"/>
        <i x="12" s="1"/>
        <i x="17" s="1"/>
        <i x="2" s="1"/>
        <i x="1" s="1"/>
        <i x="3" s="1"/>
        <i x="6" s="1"/>
        <i x="16" s="1"/>
        <i x="15" s="1"/>
        <i x="13" s="1"/>
        <i x="10" s="1"/>
        <i x="32" s="1"/>
        <i x="5" s="1"/>
        <i x="4" s="1"/>
        <i x="11" s="1"/>
        <i x="7" s="1"/>
        <i x="31" s="1"/>
        <i x="25" s="1"/>
        <i x="26" s="1"/>
        <i x="14" s="1"/>
        <i x="40" s="1"/>
        <i x="41" s="1"/>
        <i x="27" s="1"/>
        <i x="29" s="1"/>
        <i x="18" s="1"/>
        <i x="36" s="1"/>
        <i x="42" s="1"/>
        <i x="34" s="1"/>
        <i x="33" s="1"/>
        <i x="28" s="1"/>
        <i x="23" s="1"/>
        <i x="35" s="1"/>
        <i x="39" s="1"/>
        <i x="38" s="1"/>
        <i x="37" s="1"/>
        <i x="9" s="1"/>
        <i x="20" s="1"/>
        <i x="30" s="1"/>
        <i x="371" s="1" nd="1"/>
        <i x="400" s="1" nd="1"/>
        <i x="401" s="1" nd="1"/>
        <i x="409" s="1" nd="1"/>
        <i x="399" s="1" nd="1"/>
        <i x="398" s="1" nd="1"/>
        <i x="402" s="1" nd="1"/>
        <i x="413" s="1" nd="1"/>
        <i x="405" s="1" nd="1"/>
        <i x="406" s="1" nd="1"/>
        <i x="403" s="1" nd="1"/>
        <i x="404" s="1" nd="1"/>
        <i x="414" s="1" nd="1"/>
        <i x="407" s="1" nd="1"/>
        <i x="408" s="1" nd="1"/>
        <i x="411" s="1" nd="1"/>
        <i x="412" s="1" nd="1"/>
        <i x="410" s="1" nd="1"/>
        <i x="366" s="1" nd="1"/>
        <i x="416" s="1" nd="1"/>
        <i x="365" s="1" nd="1"/>
        <i x="415" s="1" nd="1"/>
        <i x="368" s="1" nd="1"/>
        <i x="329" s="1" nd="1"/>
        <i x="367" s="1" nd="1"/>
        <i x="369" s="1" nd="1"/>
        <i x="375" s="1" nd="1"/>
        <i x="370" s="1" nd="1"/>
        <i x="372" s="1" nd="1"/>
        <i x="388" s="1" nd="1"/>
        <i x="312" s="1" nd="1"/>
        <i x="376" s="1" nd="1"/>
        <i x="317" s="1" nd="1"/>
        <i x="382" s="1" nd="1"/>
        <i x="377" s="1" nd="1"/>
        <i x="380" s="1" nd="1"/>
        <i x="385" s="1" nd="1"/>
        <i x="396" s="1" nd="1"/>
        <i x="378" s="1" nd="1"/>
        <i x="390" s="1" nd="1"/>
        <i x="393" s="1" nd="1"/>
        <i x="384" s="1" nd="1"/>
        <i x="373" s="1" nd="1"/>
        <i x="381" s="1" nd="1"/>
        <i x="374" s="1" nd="1"/>
        <i x="379" s="1" nd="1"/>
        <i x="313" s="1" nd="1"/>
        <i x="383" s="1" nd="1"/>
        <i x="389" s="1" nd="1"/>
        <i x="48" s="1" nd="1"/>
        <i x="386" s="1" nd="1"/>
        <i x="391" s="1" nd="1"/>
        <i x="387" s="1" nd="1"/>
        <i x="353" s="1" nd="1"/>
        <i x="392" s="1" nd="1"/>
        <i x="394" s="1" nd="1"/>
        <i x="315" s="1" nd="1"/>
        <i x="322" s="1" nd="1"/>
        <i x="395" s="1" nd="1"/>
        <i x="319" s="1" nd="1"/>
        <i x="320" s="1" nd="1"/>
        <i x="314" s="1" nd="1"/>
        <i x="318" s="1" nd="1"/>
        <i x="206" s="1" nd="1"/>
        <i x="316" s="1" nd="1"/>
        <i x="325" s="1" nd="1"/>
        <i x="321" s="1" nd="1"/>
        <i x="323" s="1" nd="1"/>
        <i x="326" s="1" nd="1"/>
        <i x="333" s="1" nd="1"/>
        <i x="324" s="1" nd="1"/>
        <i x="332" s="1" nd="1"/>
        <i x="337" s="1" nd="1"/>
        <i x="331" s="1" nd="1"/>
        <i x="334" s="1" nd="1"/>
        <i x="344" s="1" nd="1"/>
        <i x="330" s="1" nd="1"/>
        <i x="327" s="1" nd="1"/>
        <i x="328" s="1" nd="1"/>
        <i x="343" s="1" nd="1"/>
        <i x="202" s="1" nd="1"/>
        <i x="336" s="1" nd="1"/>
        <i x="347" s="1" nd="1"/>
        <i x="342" s="1" nd="1"/>
        <i x="335" s="1" nd="1"/>
        <i x="359" s="1" nd="1"/>
        <i x="340" s="1" nd="1"/>
        <i x="350" s="1" nd="1"/>
        <i x="348" s="1" nd="1"/>
        <i x="338" s="1" nd="1"/>
        <i x="346" s="1" nd="1"/>
        <i x="345" s="1" nd="1"/>
        <i x="341" s="1" nd="1"/>
        <i x="351" s="1" nd="1"/>
        <i x="349" s="1" nd="1"/>
        <i x="352" s="1" nd="1"/>
        <i x="339" s="1" nd="1"/>
        <i x="281" s="1" nd="1"/>
        <i x="354" s="1" nd="1"/>
        <i x="355" s="1" nd="1"/>
        <i x="240" s="1" nd="1"/>
        <i x="242" s="1" nd="1"/>
        <i x="362" s="1" nd="1"/>
        <i x="236" s="1" nd="1"/>
        <i x="282" s="1" nd="1"/>
        <i x="356" s="1" nd="1"/>
        <i x="357" s="1" nd="1"/>
        <i x="239" s="1" nd="1"/>
        <i x="364" s="1" nd="1"/>
        <i x="238" s="1" nd="1"/>
        <i x="253" s="1" nd="1"/>
        <i x="363" s="1" nd="1"/>
        <i x="358" s="1" nd="1"/>
        <i x="257" s="1" nd="1"/>
        <i x="361" s="1" nd="1"/>
        <i x="360" s="1" nd="1"/>
        <i x="278" s="1" nd="1"/>
        <i x="231" s="1" nd="1"/>
        <i x="243" s="1" nd="1"/>
        <i x="279" s="1" nd="1"/>
        <i x="277" s="1" nd="1"/>
        <i x="235" s="1" nd="1"/>
        <i x="237" s="1" nd="1"/>
        <i x="68" s="1" nd="1"/>
        <i x="241" s="1" nd="1"/>
        <i x="232" s="1" nd="1"/>
        <i x="267" s="1" nd="1"/>
        <i x="272" s="1" nd="1"/>
        <i x="233" s="1" nd="1"/>
        <i x="234" s="1" nd="1"/>
        <i x="244" s="1" nd="1"/>
        <i x="247" s="1" nd="1"/>
        <i x="254" s="1" nd="1"/>
        <i x="246" s="1" nd="1"/>
        <i x="249" s="1" nd="1"/>
        <i x="248" s="1" nd="1"/>
        <i x="290" s="1" nd="1"/>
        <i x="245" s="1" nd="1"/>
        <i x="270" s="1" nd="1"/>
        <i x="285" s="1" nd="1"/>
        <i x="250" s="1" nd="1"/>
        <i x="275" s="1" nd="1"/>
        <i x="287" s="1" nd="1"/>
        <i x="259" s="1" nd="1"/>
        <i x="299" s="1" nd="1"/>
        <i x="258" s="1" nd="1"/>
        <i x="255" s="1" nd="1"/>
        <i x="251" s="1" nd="1"/>
        <i x="252" s="1" nd="1"/>
        <i x="271" s="1" nd="1"/>
        <i x="260" s="1" nd="1"/>
        <i x="183" s="1" nd="1"/>
        <i x="261" s="1" nd="1"/>
        <i x="256" s="1" nd="1"/>
        <i x="263" s="1" nd="1"/>
        <i x="264" s="1" nd="1"/>
        <i x="292" s="1" nd="1"/>
        <i x="262" s="1" nd="1"/>
        <i x="280" s="1" nd="1"/>
        <i x="268" s="1" nd="1"/>
        <i x="265" s="1" nd="1"/>
        <i x="269" s="1" nd="1"/>
        <i x="266" s="1" nd="1"/>
        <i x="273" s="1" nd="1"/>
        <i x="63" s="1" nd="1"/>
        <i x="291" s="1" nd="1"/>
        <i x="286" s="1" nd="1"/>
        <i x="305" s="1" nd="1"/>
        <i x="274" s="1" nd="1"/>
        <i x="176" s="1" nd="1"/>
        <i x="284" s="1" nd="1"/>
        <i x="276" s="1" nd="1"/>
        <i x="300" s="1" nd="1"/>
        <i x="283" s="1" nd="1"/>
        <i x="298" s="1" nd="1"/>
        <i x="184" s="1" nd="1"/>
        <i x="289" s="1" nd="1"/>
        <i x="288" s="1" nd="1"/>
        <i x="304" s="1" nd="1"/>
        <i x="301" s="1" nd="1"/>
        <i x="195" s="1" nd="1"/>
        <i x="309" s="1" nd="1"/>
        <i x="293" s="1" nd="1"/>
        <i x="302" s="1" nd="1"/>
        <i x="307" s="1" nd="1"/>
        <i x="186" s="1" nd="1"/>
        <i x="212" s="1" nd="1"/>
        <i x="311" s="1" nd="1"/>
        <i x="308" s="1" nd="1"/>
        <i x="177" s="1" nd="1"/>
        <i x="197" s="1" nd="1"/>
        <i x="303" s="1" nd="1"/>
        <i x="179" s="1" nd="1"/>
        <i x="294" s="1" nd="1"/>
        <i x="297" s="1" nd="1"/>
        <i x="194" s="1" nd="1"/>
        <i x="306" s="1" nd="1"/>
        <i x="295" s="1" nd="1"/>
        <i x="296" s="1" nd="1"/>
        <i x="181" s="1" nd="1"/>
        <i x="199" s="1" nd="1"/>
        <i x="200" s="1" nd="1"/>
        <i x="213" s="1" nd="1"/>
        <i x="310" s="1" nd="1"/>
        <i x="175" s="1" nd="1"/>
        <i x="198" s="1" nd="1"/>
        <i x="191" s="1" nd="1"/>
        <i x="178" s="1" nd="1"/>
        <i x="182" s="1" nd="1"/>
        <i x="188" s="1" nd="1"/>
        <i x="180" s="1" nd="1"/>
        <i x="204" s="1" nd="1"/>
        <i x="208" s="1" nd="1"/>
        <i x="209" s="1" nd="1"/>
        <i x="201" s="1" nd="1"/>
        <i x="185" s="1" nd="1"/>
        <i x="47" s="1" nd="1"/>
        <i x="187" s="1" nd="1"/>
        <i x="189" s="1" nd="1"/>
        <i x="192" s="1" nd="1"/>
        <i x="205" s="1" nd="1"/>
        <i x="190" s="1" nd="1"/>
        <i x="211" s="1" nd="1"/>
        <i x="143" s="1" nd="1"/>
        <i x="122" s="1" nd="1"/>
        <i x="226" s="1" nd="1"/>
        <i x="193" s="1" nd="1"/>
        <i x="214" s="1" nd="1"/>
        <i x="210" s="1" nd="1"/>
        <i x="196" s="1" nd="1"/>
        <i x="218" s="1" nd="1"/>
        <i x="154" s="1" nd="1"/>
        <i x="117" s="1" nd="1"/>
        <i x="203" s="1" nd="1"/>
        <i x="227" s="1" nd="1"/>
        <i x="207" s="1" nd="1"/>
        <i x="230" s="1" nd="1"/>
        <i x="217" s="1" nd="1"/>
        <i x="222" s="1" nd="1"/>
        <i x="99" s="1" nd="1"/>
        <i x="219" s="1" nd="1"/>
        <i x="221" s="1" nd="1"/>
        <i x="139" s="1" nd="1"/>
        <i x="107" s="1" nd="1"/>
        <i x="216" s="1" nd="1"/>
        <i x="104" s="1" nd="1"/>
        <i x="215" s="1" nd="1"/>
        <i x="116" s="1" nd="1"/>
        <i x="100" s="1" nd="1"/>
        <i x="98" s="1" nd="1"/>
        <i x="220" s="1" nd="1"/>
        <i x="114" s="1" nd="1"/>
        <i x="108" s="1" nd="1"/>
        <i x="119" s="1" nd="1"/>
        <i x="136" s="1" nd="1"/>
        <i x="113" s="1" nd="1"/>
        <i x="124" s="1" nd="1"/>
        <i x="118" s="1" nd="1"/>
        <i x="115" s="1" nd="1"/>
        <i x="228" s="1" nd="1"/>
        <i x="172" s="1" nd="1"/>
        <i x="126" s="1" nd="1"/>
        <i x="127" s="1" nd="1"/>
        <i x="224" s="1" nd="1"/>
        <i x="223" s="1" nd="1"/>
        <i x="101" s="1" nd="1"/>
        <i x="103" s="1" nd="1"/>
        <i x="134" s="1" nd="1"/>
        <i x="110" s="1" nd="1"/>
        <i x="229" s="1" nd="1"/>
        <i x="168" s="1" nd="1"/>
        <i x="159" s="1" nd="1"/>
        <i x="147" s="1" nd="1"/>
        <i x="121" s="1" nd="1"/>
        <i x="106" s="1" nd="1"/>
        <i x="137" s="1" nd="1"/>
        <i x="156" s="1" nd="1"/>
        <i x="148" s="1" nd="1"/>
        <i x="144" s="1" nd="1"/>
        <i x="112" s="1" nd="1"/>
        <i x="132" s="1" nd="1"/>
        <i x="131" s="1" nd="1"/>
        <i x="146" s="1" nd="1"/>
        <i x="133" s="1" nd="1"/>
        <i x="225" s="1" nd="1"/>
        <i x="109" s="1" nd="1"/>
        <i x="105" s="1" nd="1"/>
        <i x="135" s="1" nd="1"/>
        <i x="102" s="1" nd="1"/>
        <i x="140" s="1" nd="1"/>
        <i x="141" s="1" nd="1"/>
        <i x="145" s="1" nd="1"/>
        <i x="46" s="1" nd="1"/>
        <i x="125" s="1" nd="1"/>
        <i x="120" s="1" nd="1"/>
        <i x="153" s="1" nd="1"/>
        <i x="152" s="1" nd="1"/>
        <i x="157" s="1" nd="1"/>
        <i x="111" s="1" nd="1"/>
        <i x="155" s="1" nd="1"/>
        <i x="142" s="1" nd="1"/>
        <i x="45" s="1" nd="1"/>
        <i x="123" s="1" nd="1"/>
        <i x="128" s="1" nd="1"/>
        <i x="129" s="1" nd="1"/>
        <i x="138" s="1" nd="1"/>
        <i x="130" s="1" nd="1"/>
        <i x="149" s="1" nd="1"/>
        <i x="64" s="1" nd="1"/>
        <i x="160" s="1" nd="1"/>
        <i x="150" s="1" nd="1"/>
        <i x="166" s="1" nd="1"/>
        <i x="163" s="1" nd="1"/>
        <i x="161" s="1" nd="1"/>
        <i x="58" s="1" nd="1"/>
        <i x="57" s="1" nd="1"/>
        <i x="173" s="1" nd="1"/>
        <i x="44" s="1" nd="1"/>
        <i x="56" s="1" nd="1"/>
        <i x="167" s="1" nd="1"/>
        <i x="174" s="1" nd="1"/>
        <i x="49" s="1" nd="1"/>
        <i x="169" s="1" nd="1"/>
        <i x="170" s="1" nd="1"/>
        <i x="151" s="1" nd="1"/>
        <i x="164" s="1" nd="1"/>
        <i x="171" s="1" nd="1"/>
        <i x="162" s="1" nd="1"/>
        <i x="82" s="1" nd="1"/>
        <i x="165" s="1" nd="1"/>
        <i x="43" s="1" nd="1"/>
        <i x="52" s="1" nd="1"/>
        <i x="51" s="1" nd="1"/>
        <i x="158" s="1" nd="1"/>
        <i x="77" s="1" nd="1"/>
        <i x="55" s="1" nd="1"/>
        <i x="53" s="1" nd="1"/>
        <i x="60" s="1" nd="1"/>
        <i x="61" s="1" nd="1"/>
        <i x="59" s="1" nd="1"/>
        <i x="54" s="1" nd="1"/>
        <i x="50" s="1" nd="1"/>
        <i x="69" s="1" nd="1"/>
        <i x="79" s="1" nd="1"/>
        <i x="67" s="1" nd="1"/>
        <i x="62" s="1" nd="1"/>
        <i x="83" s="1" nd="1"/>
        <i x="66" s="1" nd="1"/>
        <i x="78" s="1" nd="1"/>
        <i x="80" s="1" nd="1"/>
        <i x="65" s="1" nd="1"/>
        <i x="70" s="1" nd="1"/>
        <i x="81" s="1" nd="1"/>
        <i x="73" s="1" nd="1"/>
        <i x="71" s="1" nd="1"/>
        <i x="72" s="1" nd="1"/>
        <i x="76" s="1" nd="1"/>
        <i x="74" s="1" nd="1"/>
        <i x="75" s="1" nd="1"/>
        <i x="85" s="1" nd="1"/>
        <i x="84" s="1" nd="1"/>
        <i x="94" s="1" nd="1"/>
        <i x="93" s="1" nd="1"/>
        <i x="92" s="1" nd="1"/>
        <i x="97" s="1" nd="1"/>
        <i x="90" s="1" nd="1"/>
        <i x="96" s="1" nd="1"/>
        <i x="86" s="1" nd="1"/>
        <i x="87" s="1" nd="1"/>
        <i x="88" s="1" nd="1"/>
        <i x="89" s="1" nd="1"/>
        <i x="91" s="1" nd="1"/>
        <i x="95" s="1" nd="1"/>
        <i x="39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07">
      <calculatedColumnFormula>B49</calculatedColumnFormula>
    </tableColumn>
    <tableColumn id="2" xr3:uid="{7EDCC2ED-0339-42B3-9633-FFEA7A3DD9F3}" name="Tiyaar" dataDxfId="106">
      <calculatedColumnFormula>SUMIFS(ledger!G:G, ledger!B:B, B2, ledger!E:E, "&lt;&gt;*RD*") / 1.0936</calculatedColumnFormula>
    </tableColumn>
    <tableColumn id="3" xr3:uid="{CC1535DD-3FE7-4F55-8040-E7643388A78E}" name="Rate"/>
    <tableColumn id="4" xr3:uid="{059CB70B-ADAD-4985-84AA-0D530BAC5567}" name="Total" dataDxfId="10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4" dataDxfId="103">
  <autoFilter ref="B7:E20" xr:uid="{449E5D32-DF9C-4018-96AB-CA98E118D910}"/>
  <tableColumns count="4">
    <tableColumn id="1" xr3:uid="{F663704C-91DD-4BB9-B7EB-EEB0C5EDED6C}" name="Description" dataDxfId="102"/>
    <tableColumn id="2" xr3:uid="{6D94D495-CD0B-4FD3-9771-81D731982A97}" name="Rate" dataDxfId="101" dataCellStyle="Comma"/>
    <tableColumn id="3" xr3:uid="{2D14CEAD-3602-40E7-A488-3584EBC9141E}" name="gazana" dataDxfId="100" dataCellStyle="Comma"/>
    <tableColumn id="4" xr3:uid="{06FEE63C-6480-4079-8426-51BC26B38B34}" name="sum" dataDxfId="9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98" totalsRowDxfId="97" dataCellStyle="Comma">
      <totalsRowFormula>SUM(Table12[Amount])</totalsRowFormula>
    </tableColumn>
    <tableColumn id="3" xr3:uid="{12F975D1-A51D-47BD-82DF-F0C35A709016}" name="Description"/>
    <tableColumn id="4" xr3:uid="{96712812-B120-49C2-B905-59FC86A743E8}" name="cost per meter" totalsRowFunction="custom" dataDxfId="96" totalsRowDxfId="9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4" dataDxfId="93" headerRowCellStyle="Comma" dataCellStyle="Comma">
  <autoFilter ref="B2:C5" xr:uid="{136E8F7F-D03F-4198-8335-91A003EA9E45}"/>
  <tableColumns count="2">
    <tableColumn id="1" xr3:uid="{279FA697-9952-479A-AC05-0D4992B41374}" name="Column1" dataDxfId="92" dataCellStyle="Comma"/>
    <tableColumn id="2" xr3:uid="{8A64998B-65EF-41CD-BCB0-3DDB7B359C54}" name="Column2" dataDxfId="91"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0"/>
    <tableColumn id="2" xr3:uid="{51D27FA2-8DDF-4369-BAF7-7D1FE90E16A0}" name="Column2" dataDxfId="8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88" totalsRowDxfId="87"/>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6">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1" totalsRowCount="1" headerRowDxfId="85" dataDxfId="84" headerRowCellStyle="Comma" dataCellStyle="Comma">
  <autoFilter ref="A1:K140" xr:uid="{11DACEC6-751B-4B1D-817F-5C5BCD38EF6D}"/>
  <tableColumns count="11">
    <tableColumn id="1" xr3:uid="{2FCE3FA8-A48C-4685-8919-AE44C6C71FD9}" name="Date" dataDxfId="83" dataCellStyle="Comma"/>
    <tableColumn id="2" xr3:uid="{5780FD5F-0890-44E6-B59C-8E37A559FE36}" name="Party Name" dataDxfId="82" dataCellStyle="Comma"/>
    <tableColumn id="3" xr3:uid="{5B3ECD85-9174-40AC-BFBD-49CAC97A83D3}" name="Bill Number" dataDxfId="81" dataCellStyle="Comma"/>
    <tableColumn id="4" xr3:uid="{11B50761-04B6-4262-AD4D-7182450037D1}" name="Quality" dataDxfId="80" dataCellStyle="Comma"/>
    <tableColumn id="5" xr3:uid="{2C556969-B713-4967-BD24-466AACCBE5F5}" name="Shipment Number" dataDxfId="79" totalsRowDxfId="78" dataCellStyle="Comma"/>
    <tableColumn id="6" xr3:uid="{F4E1FD2B-9017-4DEB-B772-BF447ECE56F7}" name="Kora/metre" dataDxfId="77" totalsRowDxfId="76" dataCellStyle="Comma"/>
    <tableColumn id="7" xr3:uid="{52ACC1DA-7A76-4A90-B809-3A1AE728E7EA}" name="Tiyaar/gaz" dataDxfId="75" totalsRowDxfId="74" dataCellStyle="Comma"/>
    <tableColumn id="8" xr3:uid="{31A0FF5E-56F0-44D1-9865-73256B964660}" name="shortage %" dataDxfId="73" totalsRowDxfId="72" dataCellStyle="Comma">
      <calculatedColumnFormula>_xlfn.XLOOKUP(Table1[[#This Row],[Shipment Number]], 'pivot '!A:A,'pivot '!G:G, "NF")</calculatedColumnFormula>
    </tableColumn>
    <tableColumn id="9" xr3:uid="{F99075E0-AC8E-094D-BB85-272AD2C6C568}" name="tiyar/meters" totalsRowFunction="custom" dataDxfId="71" totalsRowDxfId="70"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69" totalsRowDxfId="68"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67" totalsRowDxfId="66"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63" headerRowBorderDxfId="62" tableBorderDxfId="61">
  <autoFilter ref="A1:I121" xr:uid="{F8E8C957-ABE7-4E4F-8D4E-7D44E26B334F}"/>
  <tableColumns count="9">
    <tableColumn id="1" xr3:uid="{C2E817D6-AB98-4DDD-8890-736B27F261CD}" name="Date" dataDxfId="60" totalsRowDxfId="6"/>
    <tableColumn id="2" xr3:uid="{CFB51890-CCDC-463C-81C9-3F8BD7469CB9}" name="Party Name"/>
    <tableColumn id="3" xr3:uid="{A113D971-1C9D-4733-99C4-BD0CC4333209}" name="Vehicle Number"/>
    <tableColumn id="4" xr3:uid="{49780304-3DD1-4AE9-98EE-2BC7EB8F3B57}" name="Weight" dataDxfId="59" totalsRowDxfId="5" dataCellStyle="Comma"/>
    <tableColumn id="5" xr3:uid="{FCAF1BC6-1D8C-42AD-8BBC-F924BF2DC7FE}" name="Rate" dataDxfId="58" totalsRowDxfId="4" dataCellStyle="Comma"/>
    <tableColumn id="6" xr3:uid="{8C70A624-4134-410C-9C45-9FDEB51D51BF}" name="Rent" dataDxfId="57" totalsRowDxfId="3" dataCellStyle="Comma"/>
    <tableColumn id="7" xr3:uid="{EBCE10AE-9634-4982-9C95-37ABC8A7078C}" name="Total" totalsRowFunction="sum" dataDxfId="56" totalsRowDxfId="2" dataCellStyle="Comma">
      <calculatedColumnFormula>D2*E2</calculatedColumnFormula>
    </tableColumn>
    <tableColumn id="9" xr3:uid="{D4788559-C94A-44D9-B9AE-E72B214355AC}" name="Paid" totalsRowFunction="sum" dataDxfId="55" totalsRowDxfId="1" dataCellStyle="Comma"/>
    <tableColumn id="8" xr3:uid="{E26F5BF0-1875-4FC6-994D-49F202ED562B}" name="balance" totalsRowFunction="sum" dataDxfId="54"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37" totalsRowCount="1">
  <autoFilter ref="A1:G236" xr:uid="{CB032221-B416-47A8-9A76-693DE76CFD04}"/>
  <tableColumns count="7">
    <tableColumn id="1" xr3:uid="{554B1EED-65B6-4E9A-B646-82727FAC40DE}" name="Date" dataDxfId="133" totalsRowDxfId="132"/>
    <tableColumn id="2" xr3:uid="{32259059-42CF-4947-83DE-115AA430BE2B}" name="Party"/>
    <tableColumn id="3" xr3:uid="{A1320223-D55D-483C-91C3-AB19B95CC9D8}" name="Debit" totalsRowFunction="sum" dataDxfId="131" totalsRowDxfId="130" dataCellStyle="Comma"/>
    <tableColumn id="4" xr3:uid="{E9745767-9FF0-4B1C-9052-FF335D1D7588}" name="Credit" totalsRowFunction="sum" dataDxfId="129" totalsRowDxfId="128" dataCellStyle="Comma"/>
    <tableColumn id="5" xr3:uid="{5C88A48E-2467-4E6D-B626-2442B7FD0BE4}" name="Description"/>
    <tableColumn id="6" xr3:uid="{63CA4666-144E-4BE6-8B7C-7CB992BD3041}" name="Mode" totalsRowFunction="custom" dataDxfId="127" totalsRowDxfId="12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5" tableBorderDxfId="124" totalsRowBorderDxfId="123">
  <autoFilter ref="J3:K6" xr:uid="{DCE01694-23ED-48BF-8B92-4186B9ED10A8}"/>
  <tableColumns count="2">
    <tableColumn id="1" xr3:uid="{C8484DAF-2989-4C2F-9AEC-A6917E1C57F6}" name="Type" dataDxfId="122"/>
    <tableColumn id="2" xr3:uid="{B07B7A2A-4D4E-4654-BED6-FE2F0A7BEC34}" name="Amount" dataDxfId="12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0" headerRowBorderDxfId="119" tableBorderDxfId="118" totalsRowBorderDxfId="117">
  <autoFilter ref="M3:O6" xr:uid="{D166BDD1-ACD7-45D7-8AE9-7350373F8CEB}"/>
  <tableColumns count="3">
    <tableColumn id="1" xr3:uid="{64F0205E-DEA7-4571-BA86-E4374A5FEE28}" name="Type" totalsRowLabel="Total" dataDxfId="116" totalsRowDxfId="115"/>
    <tableColumn id="2" xr3:uid="{15FA05F9-789C-4459-9BE0-5C1EC84D3365}" name="amount" totalsRowFunction="custom" dataDxfId="114" totalsRowDxfId="113">
      <totalsRowFormula>SUM(N5:N6)</totalsRowFormula>
    </tableColumn>
    <tableColumn id="3" xr3:uid="{3681D409-90C6-44D0-BDE2-4B5943A516F0}" name="Actual" totalsRowFunction="custom" totalsRowDxfId="11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49" headerRowBorderDxfId="48">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4" headerRowBorderDxfId="43">
  <autoFilter ref="A4:H22" xr:uid="{A4C80688-A8BA-4BA7-90B4-791CD99446B4}"/>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315787.30797366501</v>
      </c>
      <c r="D2">
        <v>10</v>
      </c>
      <c r="E2" s="14">
        <f>(SUMIFS(ledger!G:G, ledger!B:B, B2, ledger!E:E, "&lt;&gt;*RD*",ledger!D:D, "Silky") / 1.0936)*12 + (SUMIFS(ledger!G:G, ledger!B:B, B2, ledger!E:E, "&lt;&gt;*RD*",ledger!D:D, "Chamki") / 1.0936)*10</f>
        <v>3266011.3386978786</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3459917.8824</v>
      </c>
      <c r="S5" s="22" cm="1">
        <f t="array" ref="S5">_xlfn.BYROW(B49, _xlfn.LAMBDA(_xlpm.party, SUMIFS(ledger!G:G, ledger!B:B, _xlpm.party, ledger!E:E, "&lt;&gt;*RD*") / 1.0936 ))+_xlfn.IFNA(D84,0)</f>
        <v>3163787.3833211418</v>
      </c>
      <c r="T5" s="22" cm="1">
        <f t="array" ref="T5">(_xlfn.BYROW(B49,_xlfn.LAMBDA(_xlpm.party,SUMIFS(ledger!G:G,ledger!B:B,_xlpm.party,ledger!E:E,"&lt;&gt;*RD*",ledger!D:D,"Chamki")+SUMIFS(ledger!G:G, ledger!B:B, _xlpm.party, ledger!E:E, "&lt;&gt;*RD*", ledger!D:D, "Crinkle")))/1.0936)+_xlfn.IFNA(E84,0)</f>
        <v>2706994.2231163131</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27069942.231163137</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32912300.497439656</v>
      </c>
      <c r="AD5" s="22">
        <f>(SUMIF(Table14[Party],Q5,Table14[Credit]))+_xlfn.IFNA(O84,0)</f>
        <v>19750734</v>
      </c>
      <c r="AE5" s="33">
        <f>AC5-AD5</f>
        <v>13161566.497439656</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5710319</v>
      </c>
      <c r="AE6" s="33">
        <f t="shared" ref="AE6:AE35" si="2">AC6-AD6</f>
        <v>57803.713972202502</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4330540</v>
      </c>
      <c r="AE12" s="33">
        <f t="shared" si="2"/>
        <v>3072531.5069495253</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12071405.449890273</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12071405.449890273</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2986197</v>
      </c>
      <c r="AE25" s="33">
        <f t="shared" si="2"/>
        <v>632266.78931967821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1290500</v>
      </c>
      <c r="AE27" s="33">
        <f t="shared" si="2"/>
        <v>127993.050475494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345345</v>
      </c>
      <c r="D49" s="22" cm="1">
        <f t="array" ref="D49:D76">_xlfn.BYROW(_xlfn.ANCHORARRAY(B49), _xlfn.LAMBDA(_xlpm.party, SUMIFS(ledger!G:G, ledger!B:B, _xlpm.party, ledger!E:E, "&lt;&gt;*RD*") / 1.0936 ))</f>
        <v>315787.30797366501</v>
      </c>
      <c r="E49" s="63" cm="1">
        <f t="array" ref="E49:E76">(_xlfn.BYROW(_xlfn.ANCHORARRAY(B49),_xlfn.LAMBDA(_xlpm.party,SUMIFS(ledger!G:G,ledger!B:B,_xlpm.party,ledger!E:E,"&lt;&gt;*RD*",ledger!D:D,"Chamki")+SUMIFS(ledger!G:G, ledger!B:B, _xlpm.party, ledger!E:E, "&lt;&gt;*RD*", ledger!D:D, "Crinkle")))/1.0936)</f>
        <v>238927.39575713241</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2389273.9575713244</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3380855.8888076083</v>
      </c>
      <c r="O49" s="22">
        <f>(SUMIF(Table14[Party],B49,Table14[Credit]))</f>
        <v>0</v>
      </c>
      <c r="P49" s="37">
        <f>N49-O49</f>
        <v>3380855.8888076083</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515000</v>
      </c>
      <c r="P50" s="37">
        <f t="shared" ref="P50:P75" si="5">N50-O50</f>
        <v>57803.584491587477</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0</v>
      </c>
      <c r="P56" s="37">
        <f t="shared" si="5"/>
        <v>2143975.8595464523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315787.30797366501</v>
      </c>
      <c r="W58" s="18">
        <v>3266011.3386978786</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224302</v>
      </c>
      <c r="P69" s="37">
        <f t="shared" si="5"/>
        <v>457601.8039502562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500000</v>
      </c>
      <c r="P71" s="37">
        <f t="shared" si="5"/>
        <v>125547.73226042441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788536.02779809805</v>
      </c>
      <c r="W75" s="14">
        <v>8342485.369422094</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4389940</v>
      </c>
      <c r="D4" t="s">
        <v>189</v>
      </c>
      <c r="E4" s="43">
        <f ca="1">Table12[[#This Row],[Amount]]/Table1[[#Totals],[tiyar/meters]]</f>
        <v>3.9782810396747652</v>
      </c>
    </row>
    <row r="5" spans="1:5" x14ac:dyDescent="0.3">
      <c r="B5" t="s">
        <v>48</v>
      </c>
      <c r="C5" s="11">
        <f>SUM(Table8[Price])+(291000)</f>
        <v>1229500</v>
      </c>
      <c r="E5" s="43">
        <f ca="1">Table12[[#This Row],[Amount]]/Table1[[#Totals],[tiyar/meters]]</f>
        <v>1.1142057837419472</v>
      </c>
    </row>
    <row r="6" spans="1:5" x14ac:dyDescent="0.3">
      <c r="B6" t="s">
        <v>49</v>
      </c>
      <c r="C6" s="11">
        <f>SUM(Table2[Price])+38750</f>
        <v>699350</v>
      </c>
      <c r="D6" t="s">
        <v>188</v>
      </c>
      <c r="E6" s="43">
        <f ca="1">Table12[[#This Row],[Amount]]/Table1[[#Totals],[tiyar/meters]]</f>
        <v>0.63376967455057398</v>
      </c>
    </row>
    <row r="7" spans="1:5" x14ac:dyDescent="0.3">
      <c r="B7" t="s">
        <v>50</v>
      </c>
      <c r="C7" s="11">
        <f>SUMIFS(Table14[Debit], Table14[Party],Table12[[#This Row],[Type]])</f>
        <v>215635</v>
      </c>
      <c r="E7" s="43">
        <f ca="1">Table12[[#This Row],[Amount]]/Table1[[#Totals],[tiyar/meters]]</f>
        <v>0.19541420429214704</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456223</v>
      </c>
      <c r="E9" s="43">
        <f ca="1">Table12[[#This Row],[Amount]]/Table1[[#Totals],[tiyar/meters]]</f>
        <v>0.41344148456779373</v>
      </c>
    </row>
    <row r="10" spans="1:5" x14ac:dyDescent="0.3">
      <c r="B10" t="s">
        <v>53</v>
      </c>
      <c r="C10" s="11">
        <f>Table5[[#Totals],[Amount]]</f>
        <v>45950</v>
      </c>
      <c r="E10" s="43">
        <f ca="1">Table12[[#This Row],[Amount]]/Table1[[#Totals],[tiyar/meters]]</f>
        <v>4.1641118961319619E-2</v>
      </c>
    </row>
    <row r="11" spans="1:5" x14ac:dyDescent="0.3">
      <c r="B11" t="s">
        <v>54</v>
      </c>
      <c r="C11" s="11">
        <f>Table13[[#Totals],[Debit]]</f>
        <v>107900</v>
      </c>
      <c r="E11" s="43">
        <f ca="1">Table12[[#This Row],[Amount]]/Table1[[#Totals],[tiyar/meters]]</f>
        <v>9.7781865852587316E-2</v>
      </c>
    </row>
    <row r="12" spans="1:5" x14ac:dyDescent="0.3">
      <c r="B12" t="s">
        <v>55</v>
      </c>
      <c r="C12" s="11">
        <f>Table15[[#Totals],[Amount]]</f>
        <v>49413</v>
      </c>
      <c r="E12" s="43">
        <f ca="1">Table12[[#This Row],[Amount]]/Table1[[#Totals],[tiyar/meters]]</f>
        <v>4.4779382181407756E-2</v>
      </c>
    </row>
    <row r="13" spans="1:5" x14ac:dyDescent="0.3">
      <c r="C13" s="11"/>
      <c r="E13" s="43">
        <f ca="1">Table12[[#This Row],[Amount]]/Table1[[#Totals],[tiyar/meters]]</f>
        <v>0</v>
      </c>
    </row>
    <row r="14" spans="1:5" x14ac:dyDescent="0.3">
      <c r="C14" s="14">
        <f>SUM(Table12[Amount])</f>
        <v>7193911</v>
      </c>
      <c r="E14" s="43">
        <f ca="1">SUM(Table12[cost per meter])</f>
        <v>6.5193145538225412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12071405.449890273</v>
      </c>
    </row>
    <row r="4" spans="1:3" x14ac:dyDescent="0.3">
      <c r="B4" s="11" t="s">
        <v>44</v>
      </c>
      <c r="C4" s="11">
        <f>Table12[[#Totals],[Amount]]</f>
        <v>7193911</v>
      </c>
    </row>
    <row r="5" spans="1:3" x14ac:dyDescent="0.3">
      <c r="A5" s="6"/>
      <c r="B5" s="15" t="s">
        <v>68</v>
      </c>
      <c r="C5" s="15">
        <f>C3-C4</f>
        <v>4877494.4498902727</v>
      </c>
    </row>
    <row r="10" spans="1:3" ht="15" thickBot="1" x14ac:dyDescent="0.35">
      <c r="B10" t="s">
        <v>66</v>
      </c>
      <c r="C10" s="14" t="s">
        <v>67</v>
      </c>
    </row>
    <row r="11" spans="1:3" x14ac:dyDescent="0.3">
      <c r="B11" s="56" t="s">
        <v>0</v>
      </c>
      <c r="C11" s="57">
        <f>C3</f>
        <v>12071405.449890273</v>
      </c>
    </row>
    <row r="12" spans="1:3" x14ac:dyDescent="0.3">
      <c r="B12" s="58" t="s">
        <v>69</v>
      </c>
      <c r="C12" s="59">
        <f>SUM(Table14[Credit])</f>
        <v>9408907</v>
      </c>
    </row>
    <row r="13" spans="1:3" ht="15" thickBot="1" x14ac:dyDescent="0.35">
      <c r="B13" s="74" t="s">
        <v>93</v>
      </c>
      <c r="C13" s="73">
        <f>(C11-C12)</f>
        <v>2662498.4498902727</v>
      </c>
    </row>
    <row r="14" spans="1:3" ht="15" thickBot="1" x14ac:dyDescent="0.35">
      <c r="B14" s="58"/>
      <c r="C14" s="59"/>
    </row>
    <row r="15" spans="1:3" x14ac:dyDescent="0.3">
      <c r="B15" s="56" t="s">
        <v>44</v>
      </c>
      <c r="C15" s="57">
        <f>C4</f>
        <v>7193911</v>
      </c>
    </row>
    <row r="16" spans="1:3" x14ac:dyDescent="0.3">
      <c r="B16" s="58" t="s">
        <v>70</v>
      </c>
      <c r="C16" s="59">
        <f>SUM(Table14[Debit])</f>
        <v>9388687</v>
      </c>
    </row>
    <row r="17" spans="2:6" ht="15" thickBot="1" x14ac:dyDescent="0.35">
      <c r="B17" s="74" t="s">
        <v>71</v>
      </c>
      <c r="C17" s="73">
        <f>C15-C16</f>
        <v>-2194776</v>
      </c>
    </row>
    <row r="18" spans="2:6" ht="15" thickBot="1" x14ac:dyDescent="0.35">
      <c r="B18" s="58"/>
      <c r="C18" s="59"/>
    </row>
    <row r="19" spans="2:6" ht="15" thickBot="1" x14ac:dyDescent="0.35">
      <c r="B19" s="75" t="s">
        <v>72</v>
      </c>
      <c r="C19" s="76">
        <f>Table18[[#Totals],[amount]]</f>
        <v>20220</v>
      </c>
    </row>
    <row r="20" spans="2:6" ht="15" thickBot="1" x14ac:dyDescent="0.35">
      <c r="B20" s="71"/>
      <c r="C20" s="72"/>
    </row>
    <row r="21" spans="2:6" ht="15" thickBot="1" x14ac:dyDescent="0.35">
      <c r="B21" s="60" t="s">
        <v>73</v>
      </c>
      <c r="C21" s="61">
        <f>(C13-C17)+C19</f>
        <v>4877494.4498902727</v>
      </c>
      <c r="E21" s="79" t="s">
        <v>74</v>
      </c>
      <c r="F21" s="80">
        <f>C5*0.05</f>
        <v>243874.72249451364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107900</v>
      </c>
      <c r="E44">
        <f>SUBTOTAL(109,Table13[Credit])</f>
        <v>0</v>
      </c>
      <c r="F44">
        <f>Table13[[#Totals],[Debit]]-Table13[[#Totals],[Credit]]</f>
        <v>107900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24" zoomScale="107" zoomScaleNormal="107" workbookViewId="0">
      <selection activeCell="J143" sqref="J14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1.8574781788530856</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1.8574781788530856</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1.8574781788530856</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1.8574781788530856</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c r="B141"/>
      <c r="C141"/>
      <c r="D141"/>
      <c r="E141" s="14"/>
      <c r="F141" s="14"/>
      <c r="G141" s="14"/>
      <c r="H141" s="43"/>
      <c r="I141" s="94" cm="1">
        <f t="array" aca="1" ref="I141" ca="1">SUMPRODUCT( SUBTOTAL(109, OFFSET(Table1[tiyar/meters], ROW(Table1[tiyar/meters])-MIN(ROW(Table1[tiyar/meters])), 0, 1)), --(Table1[Bill Number]&lt;&gt;"December Closing CF") )</f>
        <v>1103476.5910753477</v>
      </c>
      <c r="J141" s="43" cm="1">
        <f t="array" aca="1" ref="J141" ca="1">SUMPRODUCT( SUBTOTAL(109, OFFSET(Table1[billing], ROW(Table1[billing])-MIN(ROW(Table1[billing])), 0, 1)), --(Table1[Bill Number]&lt;&gt;"December Closing CF") )</f>
        <v>12071405.449890271</v>
      </c>
      <c r="K141" s="14">
        <f>SUMIFS(Table1[billing], Table1[Bill Number], "&lt;&gt;December Closing CF")</f>
        <v>12071405.449890271</v>
      </c>
    </row>
    <row r="163" spans="12:12" x14ac:dyDescent="0.3">
      <c r="L163"/>
    </row>
  </sheetData>
  <phoneticPr fontId="7" alignment="center"/>
  <conditionalFormatting sqref="H2:H141">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384</v>
      </c>
      <c r="D1" t="s">
        <v>385</v>
      </c>
      <c r="E1" t="s">
        <v>78</v>
      </c>
    </row>
    <row r="2" spans="1:5" x14ac:dyDescent="0.3">
      <c r="A2" s="1">
        <v>46046</v>
      </c>
      <c r="B2" t="s">
        <v>386</v>
      </c>
      <c r="C2">
        <v>2069</v>
      </c>
      <c r="D2">
        <v>3875</v>
      </c>
      <c r="E2" t="s">
        <v>387</v>
      </c>
    </row>
    <row r="3" spans="1:5" x14ac:dyDescent="0.3">
      <c r="A3" s="1">
        <v>46048</v>
      </c>
      <c r="B3" t="s">
        <v>388</v>
      </c>
      <c r="C3">
        <v>2070</v>
      </c>
      <c r="D3">
        <v>60945</v>
      </c>
      <c r="E3" t="s">
        <v>389</v>
      </c>
    </row>
    <row r="4" spans="1:5" x14ac:dyDescent="0.3">
      <c r="A4" s="1">
        <v>46048</v>
      </c>
      <c r="C4">
        <v>2071</v>
      </c>
    </row>
    <row r="5" spans="1:5" x14ac:dyDescent="0.3">
      <c r="A5" s="1">
        <v>46048</v>
      </c>
      <c r="B5" t="s">
        <v>388</v>
      </c>
      <c r="C5">
        <v>2072</v>
      </c>
      <c r="D5">
        <v>15104</v>
      </c>
      <c r="E5" t="s">
        <v>389</v>
      </c>
    </row>
    <row r="6" spans="1:5" x14ac:dyDescent="0.3">
      <c r="A6" s="1">
        <v>46049</v>
      </c>
      <c r="B6" t="s">
        <v>9</v>
      </c>
      <c r="C6">
        <v>2073</v>
      </c>
      <c r="D6">
        <v>20111</v>
      </c>
      <c r="E6" t="s">
        <v>389</v>
      </c>
    </row>
    <row r="7" spans="1:5" x14ac:dyDescent="0.3">
      <c r="A7" s="1">
        <v>46049</v>
      </c>
      <c r="B7" t="s">
        <v>390</v>
      </c>
      <c r="C7">
        <v>2074</v>
      </c>
      <c r="D7">
        <v>1519</v>
      </c>
      <c r="E7" t="s">
        <v>389</v>
      </c>
    </row>
    <row r="8" spans="1:5" x14ac:dyDescent="0.3">
      <c r="A8" s="1">
        <v>46049</v>
      </c>
      <c r="B8" t="s">
        <v>390</v>
      </c>
      <c r="C8">
        <v>2075</v>
      </c>
      <c r="D8">
        <v>1519</v>
      </c>
      <c r="E8" t="s">
        <v>389</v>
      </c>
    </row>
    <row r="9" spans="1:5" x14ac:dyDescent="0.3">
      <c r="A9" s="1">
        <v>46053</v>
      </c>
      <c r="B9" t="s">
        <v>391</v>
      </c>
      <c r="C9">
        <v>2076</v>
      </c>
      <c r="D9">
        <v>50784</v>
      </c>
      <c r="E9" t="s">
        <v>86</v>
      </c>
    </row>
    <row r="10" spans="1:5" x14ac:dyDescent="0.3">
      <c r="A10" s="1">
        <v>46053</v>
      </c>
      <c r="B10" t="s">
        <v>392</v>
      </c>
      <c r="C10">
        <v>2077</v>
      </c>
      <c r="D10">
        <v>62470</v>
      </c>
      <c r="E10" t="s">
        <v>86</v>
      </c>
    </row>
    <row r="11" spans="1:5" x14ac:dyDescent="0.3">
      <c r="A11" s="1">
        <v>46053</v>
      </c>
      <c r="B11" t="s">
        <v>9</v>
      </c>
      <c r="C11">
        <v>2078</v>
      </c>
      <c r="D11">
        <v>25072</v>
      </c>
      <c r="E11" t="s">
        <v>389</v>
      </c>
    </row>
    <row r="12" spans="1:5" x14ac:dyDescent="0.3">
      <c r="A12" s="1">
        <v>46053</v>
      </c>
      <c r="B12" t="s">
        <v>21</v>
      </c>
      <c r="C12">
        <v>2079</v>
      </c>
      <c r="D12">
        <v>7968</v>
      </c>
      <c r="E12" t="s">
        <v>393</v>
      </c>
    </row>
    <row r="13" spans="1:5" x14ac:dyDescent="0.3">
      <c r="A13" s="1">
        <v>46056</v>
      </c>
      <c r="B13" t="s">
        <v>21</v>
      </c>
      <c r="C13">
        <v>2080</v>
      </c>
      <c r="D13">
        <v>53024</v>
      </c>
      <c r="E13" t="s">
        <v>394</v>
      </c>
    </row>
    <row r="14" spans="1:5" x14ac:dyDescent="0.3">
      <c r="A14" s="1">
        <v>46056</v>
      </c>
      <c r="B14" t="s">
        <v>21</v>
      </c>
      <c r="C14">
        <v>2081</v>
      </c>
      <c r="D14">
        <v>68014</v>
      </c>
      <c r="E14" t="s">
        <v>394</v>
      </c>
    </row>
    <row r="15" spans="1:5" x14ac:dyDescent="0.3">
      <c r="A15" s="1">
        <v>46056</v>
      </c>
      <c r="B15" t="s">
        <v>21</v>
      </c>
      <c r="C15">
        <v>2082</v>
      </c>
      <c r="D15">
        <v>83635</v>
      </c>
      <c r="E15" t="s">
        <v>394</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389</v>
      </c>
    </row>
    <row r="19" spans="1:5" x14ac:dyDescent="0.3">
      <c r="A19" s="1">
        <v>46057</v>
      </c>
      <c r="B19" t="s">
        <v>390</v>
      </c>
      <c r="C19">
        <v>2086</v>
      </c>
      <c r="D19" t="s">
        <v>395</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abSelected="1" topLeftCell="A25" zoomScale="145" zoomScaleNormal="90" workbookViewId="0">
      <selection activeCell="F41" sqref="F4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2769940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359</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318</v>
      </c>
      <c r="N25" s="14">
        <v>264600</v>
      </c>
      <c r="O25" s="14"/>
      <c r="P25" s="14">
        <v>264600</v>
      </c>
    </row>
    <row r="26" spans="1:16" x14ac:dyDescent="0.3">
      <c r="A26" s="1">
        <v>46050</v>
      </c>
      <c r="B26" t="s">
        <v>169</v>
      </c>
      <c r="D26" s="11">
        <v>45</v>
      </c>
      <c r="E26" s="11">
        <v>775</v>
      </c>
      <c r="F26" s="11"/>
      <c r="G26" s="11">
        <f t="shared" si="2"/>
        <v>34875</v>
      </c>
      <c r="H26" s="11"/>
      <c r="I26" s="11">
        <f>(D26*E26)-Table3[[#This Row],[Paid]]</f>
        <v>34875</v>
      </c>
      <c r="L26" s="42" t="s">
        <v>103</v>
      </c>
      <c r="M26" s="14">
        <v>76</v>
      </c>
      <c r="N26" s="14">
        <v>58900</v>
      </c>
      <c r="O26" s="14"/>
      <c r="P26" s="14">
        <v>58900</v>
      </c>
    </row>
    <row r="27" spans="1:16" x14ac:dyDescent="0.3">
      <c r="A27" s="1">
        <v>46049</v>
      </c>
      <c r="B27" t="s">
        <v>196</v>
      </c>
      <c r="D27" s="11">
        <v>237</v>
      </c>
      <c r="E27" s="11">
        <v>820</v>
      </c>
      <c r="F27" s="11"/>
      <c r="G27" s="11">
        <f t="shared" si="2"/>
        <v>194340</v>
      </c>
      <c r="H27" s="11"/>
      <c r="I27" s="11">
        <f>(D27*E27)-Table3[[#This Row],[Paid]]</f>
        <v>194340</v>
      </c>
      <c r="L27" s="42" t="s">
        <v>358</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359</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75</v>
      </c>
      <c r="E32" s="11">
        <v>775</v>
      </c>
      <c r="F32" s="11"/>
      <c r="G32" s="11">
        <f t="shared" si="2"/>
        <v>58125</v>
      </c>
      <c r="H32" s="11"/>
      <c r="I32" s="11">
        <f>(D32*E32)-Table3[[#This Row],[Paid]]</f>
        <v>58125</v>
      </c>
      <c r="L32" s="26" t="s">
        <v>28</v>
      </c>
      <c r="M32" s="14">
        <v>2352</v>
      </c>
      <c r="N32" s="14">
        <v>1907880</v>
      </c>
      <c r="O32" s="14">
        <v>0</v>
      </c>
      <c r="P32" s="14">
        <v>6113834</v>
      </c>
    </row>
    <row r="33" spans="1:9" x14ac:dyDescent="0.3">
      <c r="A33" s="1">
        <v>46055</v>
      </c>
      <c r="B33" t="s">
        <v>169</v>
      </c>
      <c r="D33" s="11">
        <v>99</v>
      </c>
      <c r="E33" s="123">
        <v>775</v>
      </c>
      <c r="F33" s="11"/>
      <c r="G33" s="11">
        <f t="shared" si="2"/>
        <v>76725</v>
      </c>
      <c r="H33" s="11"/>
      <c r="I33" s="11">
        <f>(D33*E33)-Table3[[#This Row],[Paid]]</f>
        <v>76725</v>
      </c>
    </row>
    <row r="34" spans="1:9" x14ac:dyDescent="0.3">
      <c r="A34" s="1">
        <v>46055</v>
      </c>
      <c r="B34" t="s">
        <v>169</v>
      </c>
      <c r="D34" s="11">
        <v>33</v>
      </c>
      <c r="E34" s="11">
        <v>580</v>
      </c>
      <c r="F34" s="11"/>
      <c r="G34" s="11">
        <f t="shared" si="2"/>
        <v>19140</v>
      </c>
      <c r="H34" s="11"/>
      <c r="I34" s="11">
        <f>(D34*E34)-Table3[[#This Row],[Paid]]</f>
        <v>19140</v>
      </c>
    </row>
    <row r="35" spans="1:9" x14ac:dyDescent="0.3">
      <c r="A35" s="1">
        <v>46057</v>
      </c>
      <c r="B35" t="s">
        <v>169</v>
      </c>
      <c r="D35" s="11">
        <v>140</v>
      </c>
      <c r="E35" s="11">
        <v>580</v>
      </c>
      <c r="F35" s="11"/>
      <c r="G35" s="11">
        <f t="shared" si="2"/>
        <v>81200</v>
      </c>
      <c r="H35" s="11"/>
      <c r="I35" s="11">
        <f>(D35*E35)-Table3[[#This Row],[Paid]]</f>
        <v>81200</v>
      </c>
    </row>
    <row r="36" spans="1:9" x14ac:dyDescent="0.3">
      <c r="A36" s="1">
        <v>46059</v>
      </c>
      <c r="B36" t="s">
        <v>169</v>
      </c>
      <c r="D36" s="11">
        <v>136</v>
      </c>
      <c r="E36" s="11">
        <v>775</v>
      </c>
      <c r="F36" s="11"/>
      <c r="G36" s="11">
        <f t="shared" si="2"/>
        <v>105400</v>
      </c>
      <c r="H36" s="11"/>
      <c r="I36" s="11">
        <f>(D36*E36)-Table3[[#This Row],[Paid]]</f>
        <v>105400</v>
      </c>
    </row>
    <row r="37" spans="1:9" x14ac:dyDescent="0.3">
      <c r="A37" s="1">
        <v>46059</v>
      </c>
      <c r="B37" t="s">
        <v>169</v>
      </c>
      <c r="D37" s="11">
        <v>105</v>
      </c>
      <c r="E37" s="11">
        <v>775</v>
      </c>
      <c r="F37" s="11"/>
      <c r="G37" s="11">
        <f t="shared" si="2"/>
        <v>81375</v>
      </c>
      <c r="H37" s="11"/>
      <c r="I37" s="11">
        <f>(D37*E37)-Table3[[#This Row],[Paid]]</f>
        <v>81375</v>
      </c>
    </row>
    <row r="38" spans="1:9" x14ac:dyDescent="0.3">
      <c r="A38" s="1">
        <v>46059</v>
      </c>
      <c r="B38" t="s">
        <v>169</v>
      </c>
      <c r="D38" s="11">
        <v>33</v>
      </c>
      <c r="E38" s="11">
        <v>580</v>
      </c>
      <c r="F38" s="11"/>
      <c r="G38" s="11">
        <f t="shared" si="2"/>
        <v>19140</v>
      </c>
      <c r="H38" s="11"/>
      <c r="I38" s="11">
        <f>(D38*E38)-Table3[[#This Row],[Paid]]</f>
        <v>19140</v>
      </c>
    </row>
    <row r="39" spans="1:9" x14ac:dyDescent="0.3">
      <c r="A39" s="1">
        <v>46059</v>
      </c>
      <c r="B39" t="s">
        <v>196</v>
      </c>
      <c r="D39" s="11">
        <v>198</v>
      </c>
      <c r="E39" s="11">
        <v>820</v>
      </c>
      <c r="F39" s="11"/>
      <c r="G39" s="11">
        <f t="shared" si="2"/>
        <v>162360</v>
      </c>
      <c r="H39" s="11"/>
      <c r="I39" s="11">
        <f>(D39*E39)-Table3[[#This Row],[Paid]]</f>
        <v>162360</v>
      </c>
    </row>
    <row r="40" spans="1:9" x14ac:dyDescent="0.3">
      <c r="A40" s="1">
        <v>46056</v>
      </c>
      <c r="B40" t="s">
        <v>196</v>
      </c>
      <c r="D40" s="11">
        <v>250</v>
      </c>
      <c r="E40" s="11">
        <v>850</v>
      </c>
      <c r="F40" s="11"/>
      <c r="G40" s="11">
        <f t="shared" si="2"/>
        <v>212500</v>
      </c>
      <c r="H40" s="11"/>
      <c r="I40" s="11">
        <f>(D40*E40)-Table3[[#This Row],[Paid]]</f>
        <v>212500</v>
      </c>
    </row>
    <row r="41" spans="1:9" x14ac:dyDescent="0.3">
      <c r="A41" s="1">
        <v>46060</v>
      </c>
      <c r="B41" t="s">
        <v>169</v>
      </c>
      <c r="D41" s="11">
        <v>242</v>
      </c>
      <c r="E41" s="11">
        <v>830</v>
      </c>
      <c r="F41" s="11"/>
      <c r="G41" s="11">
        <f t="shared" si="2"/>
        <v>200860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2769940</v>
      </c>
      <c r="H122" s="14">
        <f>SUBTOTAL(109,Table3[Paid])</f>
        <v>0</v>
      </c>
      <c r="I122" s="14">
        <f>SUBTOTAL(109,Table3[balance])</f>
        <v>6775034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240" zoomScale="158" workbookViewId="0">
      <selection activeCell="H233" sqref="H23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2612957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9388687</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9408907</v>
      </c>
      <c r="M5" s="45" t="s">
        <v>108</v>
      </c>
      <c r="N5" s="46">
        <f>(SUMIFS(Table14[Credit],Table14[Mode],"Bank")-SUMIFS(Table14[Debit],Table14[Mode],"Bank")-SUMIFS(Table14[Withdrawal],Table14[Mode],"Transfer"))</f>
        <v>631136</v>
      </c>
      <c r="O5">
        <v>360000</v>
      </c>
    </row>
    <row r="6" spans="1:16" x14ac:dyDescent="0.3">
      <c r="A6" s="115">
        <v>46014</v>
      </c>
      <c r="B6" s="81" t="s">
        <v>212</v>
      </c>
      <c r="C6" s="11"/>
      <c r="D6" s="87">
        <v>562846</v>
      </c>
      <c r="E6" s="81" t="s">
        <v>275</v>
      </c>
      <c r="F6" s="88" t="s">
        <v>108</v>
      </c>
      <c r="J6" s="52" t="s">
        <v>43</v>
      </c>
      <c r="K6" s="53">
        <f>(K5-K4)</f>
        <v>20220</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20220</v>
      </c>
      <c r="O7" s="90">
        <f>SUM(O5,O6)</f>
        <v>410000</v>
      </c>
      <c r="P7" s="14">
        <f>Table18[[#Totals],[amount]]-Table18[[#Totals],[Actual]]</f>
        <v>-389780</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409</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407</v>
      </c>
      <c r="F132" s="111" t="s">
        <v>108</v>
      </c>
      <c r="I132">
        <v>80000</v>
      </c>
      <c r="K132">
        <v>15000</v>
      </c>
      <c r="L132">
        <v>16300</v>
      </c>
      <c r="M132">
        <v>16300</v>
      </c>
    </row>
    <row r="133" spans="1:13" x14ac:dyDescent="0.3">
      <c r="A133" s="115">
        <v>46053</v>
      </c>
      <c r="B133" t="s">
        <v>408</v>
      </c>
      <c r="C133" s="11">
        <v>142737</v>
      </c>
      <c r="D133" s="11"/>
      <c r="E133" t="s">
        <v>407</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310500</v>
      </c>
    </row>
    <row r="165" spans="1:12" x14ac:dyDescent="0.3">
      <c r="A165" s="115">
        <v>46056</v>
      </c>
      <c r="B165" t="s">
        <v>222</v>
      </c>
      <c r="C165" s="11"/>
      <c r="D165" s="11">
        <v>28000</v>
      </c>
      <c r="E165" t="s">
        <v>353</v>
      </c>
      <c r="F165" s="111" t="s">
        <v>108</v>
      </c>
      <c r="J165" s="4" t="s">
        <v>347</v>
      </c>
      <c r="K165" s="14">
        <v>150000</v>
      </c>
      <c r="L165" s="14"/>
    </row>
    <row r="166" spans="1:12" x14ac:dyDescent="0.3">
      <c r="A166" s="115">
        <v>46056</v>
      </c>
      <c r="B166" t="s">
        <v>55</v>
      </c>
      <c r="C166" s="11">
        <v>28000</v>
      </c>
      <c r="D166" s="11"/>
      <c r="E166" t="s">
        <v>353</v>
      </c>
      <c r="F166" s="111" t="s">
        <v>108</v>
      </c>
      <c r="J166" s="4" t="s">
        <v>117</v>
      </c>
      <c r="K166" s="14"/>
      <c r="L166" s="14">
        <v>20400</v>
      </c>
    </row>
    <row r="167" spans="1:12" x14ac:dyDescent="0.3">
      <c r="A167" s="115">
        <v>46056</v>
      </c>
      <c r="B167" t="s">
        <v>192</v>
      </c>
      <c r="C167" s="11"/>
      <c r="D167" s="11">
        <v>200000</v>
      </c>
      <c r="E167" t="s">
        <v>396</v>
      </c>
      <c r="F167" s="111" t="s">
        <v>108</v>
      </c>
      <c r="J167" s="4" t="s">
        <v>94</v>
      </c>
      <c r="K167" s="14"/>
      <c r="L167" s="14">
        <v>490380</v>
      </c>
    </row>
    <row r="168" spans="1:12" x14ac:dyDescent="0.3">
      <c r="A168" s="115">
        <v>46056</v>
      </c>
      <c r="B168" t="s">
        <v>50</v>
      </c>
      <c r="C168" s="11">
        <v>150015</v>
      </c>
      <c r="D168" s="11"/>
      <c r="E168" t="s">
        <v>354</v>
      </c>
      <c r="F168" s="111" t="s">
        <v>108</v>
      </c>
      <c r="J168" s="4" t="s">
        <v>50</v>
      </c>
      <c r="K168" s="14"/>
      <c r="L168" s="14">
        <v>213135</v>
      </c>
    </row>
    <row r="169" spans="1:12" x14ac:dyDescent="0.3">
      <c r="A169" s="115">
        <v>46056</v>
      </c>
      <c r="B169" t="s">
        <v>212</v>
      </c>
      <c r="C169" s="11">
        <v>130</v>
      </c>
      <c r="D169" s="11"/>
      <c r="F169" s="111" t="s">
        <v>108</v>
      </c>
      <c r="J169" s="4" t="s">
        <v>55</v>
      </c>
      <c r="K169" s="14"/>
      <c r="L169" s="14">
        <v>126068</v>
      </c>
    </row>
    <row r="170" spans="1:12" x14ac:dyDescent="0.3">
      <c r="A170" s="115">
        <v>46056</v>
      </c>
      <c r="B170" t="s">
        <v>212</v>
      </c>
      <c r="C170" s="11">
        <v>600</v>
      </c>
      <c r="D170" s="11"/>
      <c r="F170" s="111" t="s">
        <v>108</v>
      </c>
      <c r="J170" s="4" t="s">
        <v>231</v>
      </c>
      <c r="K170" s="14"/>
      <c r="L170" s="14">
        <v>81640</v>
      </c>
    </row>
    <row r="171" spans="1:12" x14ac:dyDescent="0.3">
      <c r="A171" s="115">
        <v>46056</v>
      </c>
      <c r="B171" t="s">
        <v>250</v>
      </c>
      <c r="C171" s="11">
        <v>20000</v>
      </c>
      <c r="D171" s="11"/>
      <c r="E171" t="s">
        <v>251</v>
      </c>
      <c r="F171" s="111" t="s">
        <v>108</v>
      </c>
      <c r="J171" s="4" t="s">
        <v>52</v>
      </c>
      <c r="K171" s="14"/>
      <c r="L171" s="14">
        <v>130800</v>
      </c>
    </row>
    <row r="172" spans="1:12" x14ac:dyDescent="0.3">
      <c r="A172" s="115">
        <v>46056</v>
      </c>
      <c r="B172" t="s">
        <v>54</v>
      </c>
      <c r="C172" s="11">
        <v>3500</v>
      </c>
      <c r="D172" s="11"/>
      <c r="E172" t="s">
        <v>229</v>
      </c>
      <c r="F172" s="111" t="s">
        <v>108</v>
      </c>
      <c r="J172" s="4" t="s">
        <v>54</v>
      </c>
      <c r="K172" s="14"/>
      <c r="L172" s="14">
        <v>88300</v>
      </c>
    </row>
    <row r="173" spans="1:12" x14ac:dyDescent="0.3">
      <c r="A173" s="115">
        <v>46056</v>
      </c>
      <c r="B173" t="s">
        <v>337</v>
      </c>
      <c r="C173" s="11"/>
      <c r="D173" s="11">
        <v>250000</v>
      </c>
      <c r="F173" s="111" t="s">
        <v>108</v>
      </c>
      <c r="J173" s="4" t="s">
        <v>224</v>
      </c>
      <c r="K173" s="14"/>
      <c r="L173" s="14">
        <v>771320</v>
      </c>
    </row>
    <row r="174" spans="1:12" x14ac:dyDescent="0.3">
      <c r="A174" s="115">
        <v>46056</v>
      </c>
      <c r="B174" t="s">
        <v>260</v>
      </c>
      <c r="C174" s="11">
        <v>150224</v>
      </c>
      <c r="D174" s="11"/>
      <c r="E174" t="s">
        <v>355</v>
      </c>
      <c r="F174" s="111" t="s">
        <v>108</v>
      </c>
      <c r="J174" s="4" t="s">
        <v>339</v>
      </c>
      <c r="K174" s="14"/>
      <c r="L174" s="14">
        <v>1000</v>
      </c>
    </row>
    <row r="175" spans="1:12" x14ac:dyDescent="0.3">
      <c r="A175" s="115">
        <v>46056</v>
      </c>
      <c r="B175" t="s">
        <v>169</v>
      </c>
      <c r="C175" s="11">
        <v>100500</v>
      </c>
      <c r="D175" s="11"/>
      <c r="E175" t="s">
        <v>356</v>
      </c>
      <c r="F175" s="111" t="s">
        <v>108</v>
      </c>
      <c r="J175" s="4" t="s">
        <v>212</v>
      </c>
      <c r="K175" s="14">
        <v>705583</v>
      </c>
      <c r="L175" s="14">
        <v>113160</v>
      </c>
    </row>
    <row r="176" spans="1:12" x14ac:dyDescent="0.3">
      <c r="A176" s="115">
        <v>46056</v>
      </c>
      <c r="B176" t="s">
        <v>50</v>
      </c>
      <c r="C176" s="11">
        <v>2500</v>
      </c>
      <c r="D176" s="11"/>
      <c r="E176" t="s">
        <v>357</v>
      </c>
      <c r="F176" s="111" t="s">
        <v>108</v>
      </c>
      <c r="J176" s="4" t="s">
        <v>289</v>
      </c>
      <c r="K176" s="14">
        <v>515000</v>
      </c>
      <c r="L176" s="14"/>
    </row>
    <row r="177" spans="1:12" x14ac:dyDescent="0.3">
      <c r="A177" s="115">
        <v>46055</v>
      </c>
      <c r="B177" t="s">
        <v>50</v>
      </c>
      <c r="C177" s="11">
        <v>8616</v>
      </c>
      <c r="D177" s="11"/>
      <c r="E177" t="s">
        <v>360</v>
      </c>
      <c r="F177" s="111" t="s">
        <v>108</v>
      </c>
      <c r="J177" s="4" t="s">
        <v>103</v>
      </c>
      <c r="K177" s="14"/>
      <c r="L177" s="14"/>
    </row>
    <row r="178" spans="1:12" x14ac:dyDescent="0.3">
      <c r="A178" s="38">
        <v>46055</v>
      </c>
      <c r="B178" t="s">
        <v>175</v>
      </c>
      <c r="C178" s="96"/>
      <c r="D178" s="96">
        <v>8616</v>
      </c>
      <c r="E178" t="s">
        <v>361</v>
      </c>
      <c r="F178" s="111" t="s">
        <v>108</v>
      </c>
      <c r="J178" s="4" t="s">
        <v>300</v>
      </c>
      <c r="K178" s="14">
        <v>1000000</v>
      </c>
      <c r="L178" s="14"/>
    </row>
    <row r="179" spans="1:12" x14ac:dyDescent="0.3">
      <c r="A179" s="115">
        <v>46057</v>
      </c>
      <c r="B179" t="s">
        <v>50</v>
      </c>
      <c r="C179" s="11">
        <v>15000</v>
      </c>
      <c r="D179" s="11"/>
      <c r="E179" t="s">
        <v>354</v>
      </c>
      <c r="F179" s="111" t="s">
        <v>108</v>
      </c>
      <c r="J179" s="4" t="s">
        <v>241</v>
      </c>
      <c r="K179" s="14">
        <v>100000</v>
      </c>
      <c r="L179" s="14"/>
    </row>
    <row r="180" spans="1:12" x14ac:dyDescent="0.3">
      <c r="A180" s="115">
        <v>46057</v>
      </c>
      <c r="B180" t="s">
        <v>52</v>
      </c>
      <c r="C180" s="11"/>
      <c r="D180" s="11"/>
      <c r="E180" t="s">
        <v>362</v>
      </c>
      <c r="F180" s="111" t="s">
        <v>108</v>
      </c>
      <c r="J180" s="4" t="s">
        <v>169</v>
      </c>
      <c r="K180" s="14"/>
      <c r="L180" s="14">
        <v>796000</v>
      </c>
    </row>
    <row r="181" spans="1:12" x14ac:dyDescent="0.3">
      <c r="A181" s="115">
        <v>46057</v>
      </c>
      <c r="B181" t="s">
        <v>289</v>
      </c>
      <c r="C181" s="11"/>
      <c r="D181" s="11">
        <v>100000</v>
      </c>
      <c r="E181" t="s">
        <v>363</v>
      </c>
      <c r="F181" s="111" t="s">
        <v>108</v>
      </c>
      <c r="J181" s="4" t="s">
        <v>222</v>
      </c>
      <c r="K181" s="14">
        <v>1964365</v>
      </c>
      <c r="L181" s="14">
        <v>3618800</v>
      </c>
    </row>
    <row r="182" spans="1:12" x14ac:dyDescent="0.3">
      <c r="A182" s="115">
        <v>46057</v>
      </c>
      <c r="B182" t="s">
        <v>55</v>
      </c>
      <c r="C182" s="11">
        <v>1000</v>
      </c>
      <c r="D182" s="11"/>
      <c r="F182" s="111" t="s">
        <v>108</v>
      </c>
      <c r="J182" s="4" t="s">
        <v>175</v>
      </c>
      <c r="K182" s="14">
        <v>308616</v>
      </c>
      <c r="L182" s="14"/>
    </row>
    <row r="183" spans="1:12" x14ac:dyDescent="0.3">
      <c r="A183" s="115">
        <v>46057</v>
      </c>
      <c r="B183" t="s">
        <v>50</v>
      </c>
      <c r="C183" s="11">
        <v>2600</v>
      </c>
      <c r="D183" s="11"/>
      <c r="E183" t="s">
        <v>364</v>
      </c>
      <c r="F183" s="111" t="s">
        <v>108</v>
      </c>
      <c r="J183" s="4" t="s">
        <v>195</v>
      </c>
      <c r="K183" s="14"/>
      <c r="L183" s="14">
        <v>208450</v>
      </c>
    </row>
    <row r="184" spans="1:12" x14ac:dyDescent="0.3">
      <c r="A184" s="115">
        <v>46057</v>
      </c>
      <c r="B184" t="s">
        <v>52</v>
      </c>
      <c r="C184" s="96"/>
      <c r="D184" s="96"/>
      <c r="E184" t="s">
        <v>365</v>
      </c>
      <c r="F184" s="111" t="s">
        <v>108</v>
      </c>
      <c r="J184" s="4" t="s">
        <v>250</v>
      </c>
      <c r="K184" s="14"/>
      <c r="L184" s="14">
        <v>100000</v>
      </c>
    </row>
    <row r="185" spans="1:12" x14ac:dyDescent="0.3">
      <c r="A185" s="115">
        <v>46057</v>
      </c>
      <c r="B185" t="s">
        <v>169</v>
      </c>
      <c r="C185" s="11">
        <v>150000</v>
      </c>
      <c r="D185" s="11"/>
      <c r="E185" t="s">
        <v>380</v>
      </c>
      <c r="F185" s="111" t="s">
        <v>108</v>
      </c>
      <c r="J185" s="4" t="s">
        <v>192</v>
      </c>
      <c r="K185" s="14">
        <v>500000</v>
      </c>
      <c r="L185" s="14"/>
    </row>
    <row r="186" spans="1:12" x14ac:dyDescent="0.3">
      <c r="A186" s="115">
        <v>46057</v>
      </c>
      <c r="B186" t="s">
        <v>222</v>
      </c>
      <c r="C186" s="11"/>
      <c r="D186" s="11">
        <v>125222</v>
      </c>
      <c r="E186" t="s">
        <v>366</v>
      </c>
      <c r="F186" s="111" t="s">
        <v>108</v>
      </c>
      <c r="J186" s="4" t="s">
        <v>256</v>
      </c>
      <c r="K186" s="14">
        <v>224302</v>
      </c>
      <c r="L186" s="14"/>
    </row>
    <row r="187" spans="1:12" x14ac:dyDescent="0.3">
      <c r="A187" s="115">
        <v>46057</v>
      </c>
      <c r="B187" t="s">
        <v>227</v>
      </c>
      <c r="C187" s="11">
        <v>2000</v>
      </c>
      <c r="D187" s="11"/>
      <c r="E187" t="s">
        <v>367</v>
      </c>
      <c r="F187" s="111" t="s">
        <v>108</v>
      </c>
      <c r="J187" s="4" t="s">
        <v>260</v>
      </c>
      <c r="K187" s="14"/>
      <c r="L187" s="14">
        <v>1150906</v>
      </c>
    </row>
    <row r="188" spans="1:12" x14ac:dyDescent="0.3">
      <c r="A188" s="115">
        <v>46057</v>
      </c>
      <c r="B188" t="s">
        <v>50</v>
      </c>
      <c r="C188" s="11">
        <v>1500</v>
      </c>
      <c r="D188" s="11"/>
      <c r="E188" t="s">
        <v>243</v>
      </c>
      <c r="F188" s="111" t="s">
        <v>108</v>
      </c>
      <c r="J188" s="4" t="s">
        <v>198</v>
      </c>
      <c r="K188" s="14"/>
      <c r="L188" s="14">
        <v>81360</v>
      </c>
    </row>
    <row r="189" spans="1:12" x14ac:dyDescent="0.3">
      <c r="A189" s="115">
        <v>46057</v>
      </c>
      <c r="B189" t="s">
        <v>54</v>
      </c>
      <c r="C189" s="11">
        <v>2650</v>
      </c>
      <c r="D189" s="11"/>
      <c r="E189" t="s">
        <v>368</v>
      </c>
      <c r="F189" s="111" t="s">
        <v>108</v>
      </c>
      <c r="J189" s="4" t="s">
        <v>211</v>
      </c>
      <c r="K189" s="14">
        <v>2020691</v>
      </c>
      <c r="L189" s="14"/>
    </row>
    <row r="190" spans="1:12" x14ac:dyDescent="0.3">
      <c r="A190" s="38">
        <v>46057</v>
      </c>
      <c r="B190" t="s">
        <v>54</v>
      </c>
      <c r="C190" s="96">
        <v>2200</v>
      </c>
      <c r="D190" s="96"/>
      <c r="E190" t="s">
        <v>369</v>
      </c>
      <c r="F190" s="111" t="s">
        <v>108</v>
      </c>
      <c r="J190" s="4" t="s">
        <v>235</v>
      </c>
      <c r="K190" s="14">
        <v>950000</v>
      </c>
      <c r="L190" s="14"/>
    </row>
    <row r="191" spans="1:12" x14ac:dyDescent="0.3">
      <c r="A191" s="115">
        <v>46057</v>
      </c>
      <c r="B191" t="s">
        <v>212</v>
      </c>
      <c r="C191" s="96">
        <v>1360</v>
      </c>
      <c r="D191" s="96"/>
      <c r="F191" s="111" t="s">
        <v>108</v>
      </c>
      <c r="J191" s="4" t="s">
        <v>262</v>
      </c>
      <c r="K191" s="14"/>
      <c r="L191" s="14">
        <v>480200</v>
      </c>
    </row>
    <row r="192" spans="1:12" x14ac:dyDescent="0.3">
      <c r="A192" s="38">
        <v>46058</v>
      </c>
      <c r="B192" t="s">
        <v>55</v>
      </c>
      <c r="C192" s="11">
        <v>1400</v>
      </c>
      <c r="D192" s="11"/>
      <c r="E192" t="s">
        <v>370</v>
      </c>
      <c r="F192" s="111" t="s">
        <v>108</v>
      </c>
      <c r="J192" s="4" t="s">
        <v>335</v>
      </c>
      <c r="K192" s="14">
        <v>300000</v>
      </c>
      <c r="L192" s="14"/>
    </row>
    <row r="193" spans="1:12" x14ac:dyDescent="0.3">
      <c r="A193" s="115">
        <v>46058</v>
      </c>
      <c r="B193" t="s">
        <v>235</v>
      </c>
      <c r="C193" s="11"/>
      <c r="D193" s="11">
        <v>140000</v>
      </c>
      <c r="E193" t="s">
        <v>371</v>
      </c>
      <c r="F193" s="111" t="s">
        <v>108</v>
      </c>
      <c r="J193" s="4" t="s">
        <v>337</v>
      </c>
      <c r="K193" s="14">
        <v>250000</v>
      </c>
      <c r="L193" s="14"/>
    </row>
    <row r="194" spans="1:12" x14ac:dyDescent="0.3">
      <c r="A194" s="38">
        <v>46058</v>
      </c>
      <c r="B194" t="s">
        <v>52</v>
      </c>
      <c r="C194" s="11">
        <v>20000</v>
      </c>
      <c r="D194" s="11"/>
      <c r="E194" t="s">
        <v>239</v>
      </c>
      <c r="F194" s="111" t="s">
        <v>108</v>
      </c>
      <c r="J194" s="4" t="s">
        <v>408</v>
      </c>
      <c r="K194" s="14"/>
      <c r="L194" s="14">
        <v>142737</v>
      </c>
    </row>
    <row r="195" spans="1:12" x14ac:dyDescent="0.3">
      <c r="A195" s="115">
        <v>46058</v>
      </c>
      <c r="B195" t="s">
        <v>54</v>
      </c>
      <c r="C195" s="11">
        <v>7000</v>
      </c>
      <c r="D195" s="11"/>
      <c r="E195" t="s">
        <v>372</v>
      </c>
      <c r="F195" s="111" t="s">
        <v>108</v>
      </c>
      <c r="J195" s="4" t="s">
        <v>28</v>
      </c>
      <c r="K195" s="14">
        <v>8988557</v>
      </c>
      <c r="L195" s="14">
        <v>8925156</v>
      </c>
    </row>
    <row r="196" spans="1:12" x14ac:dyDescent="0.3">
      <c r="A196" s="38">
        <v>46058</v>
      </c>
      <c r="B196" t="s">
        <v>55</v>
      </c>
      <c r="C196" s="11">
        <v>3300</v>
      </c>
      <c r="D196" s="11"/>
      <c r="E196" t="s">
        <v>373</v>
      </c>
      <c r="F196" s="111" t="s">
        <v>108</v>
      </c>
    </row>
    <row r="197" spans="1:12" x14ac:dyDescent="0.3">
      <c r="A197" s="115">
        <v>46058</v>
      </c>
      <c r="B197" t="s">
        <v>55</v>
      </c>
      <c r="C197" s="11">
        <v>4675</v>
      </c>
      <c r="D197" s="11"/>
      <c r="E197" t="s">
        <v>374</v>
      </c>
      <c r="F197" s="111" t="s">
        <v>108</v>
      </c>
    </row>
    <row r="198" spans="1:12" x14ac:dyDescent="0.3">
      <c r="A198" s="38">
        <v>46058</v>
      </c>
      <c r="B198" t="s">
        <v>192</v>
      </c>
      <c r="C198" s="11"/>
      <c r="D198" s="11">
        <v>100000</v>
      </c>
      <c r="E198" t="s">
        <v>375</v>
      </c>
      <c r="F198" s="111" t="s">
        <v>108</v>
      </c>
    </row>
    <row r="199" spans="1:12" x14ac:dyDescent="0.3">
      <c r="A199" s="115">
        <v>46058</v>
      </c>
      <c r="B199" t="s">
        <v>256</v>
      </c>
      <c r="C199" s="11"/>
      <c r="D199" s="11">
        <v>100000</v>
      </c>
      <c r="F199" s="111" t="s">
        <v>108</v>
      </c>
    </row>
    <row r="200" spans="1:12" x14ac:dyDescent="0.3">
      <c r="A200" s="38">
        <v>46058</v>
      </c>
      <c r="B200" t="s">
        <v>222</v>
      </c>
      <c r="C200" s="11"/>
      <c r="D200" s="11">
        <v>40000</v>
      </c>
      <c r="E200" t="s">
        <v>250</v>
      </c>
      <c r="F200" s="111" t="s">
        <v>108</v>
      </c>
    </row>
    <row r="201" spans="1:12" x14ac:dyDescent="0.3">
      <c r="A201" s="115">
        <v>46058</v>
      </c>
      <c r="B201" t="s">
        <v>250</v>
      </c>
      <c r="C201" s="11">
        <v>40000</v>
      </c>
      <c r="D201" s="11"/>
      <c r="E201" t="s">
        <v>376</v>
      </c>
      <c r="F201" s="111" t="s">
        <v>108</v>
      </c>
    </row>
    <row r="202" spans="1:12" x14ac:dyDescent="0.3">
      <c r="A202" s="38">
        <v>46058</v>
      </c>
      <c r="B202" t="s">
        <v>227</v>
      </c>
      <c r="C202" s="11">
        <v>3000</v>
      </c>
      <c r="D202" s="11"/>
      <c r="E202" t="s">
        <v>377</v>
      </c>
      <c r="F202" s="111" t="s">
        <v>108</v>
      </c>
    </row>
    <row r="203" spans="1:12" x14ac:dyDescent="0.3">
      <c r="A203" s="115">
        <v>46058</v>
      </c>
      <c r="B203" t="s">
        <v>227</v>
      </c>
      <c r="C203" s="11">
        <v>15000</v>
      </c>
      <c r="D203" s="11"/>
      <c r="E203" t="s">
        <v>303</v>
      </c>
      <c r="F203" s="111" t="s">
        <v>108</v>
      </c>
    </row>
    <row r="204" spans="1:12" x14ac:dyDescent="0.3">
      <c r="A204" s="38">
        <v>46058</v>
      </c>
      <c r="B204" t="s">
        <v>260</v>
      </c>
      <c r="C204" s="11">
        <v>200119</v>
      </c>
      <c r="D204" s="11"/>
      <c r="E204" t="s">
        <v>378</v>
      </c>
      <c r="F204" s="111" t="s">
        <v>108</v>
      </c>
    </row>
    <row r="205" spans="1:12" x14ac:dyDescent="0.3">
      <c r="A205" s="115">
        <v>46058</v>
      </c>
      <c r="B205" t="s">
        <v>224</v>
      </c>
      <c r="C205" s="11">
        <v>3310</v>
      </c>
      <c r="D205" s="11"/>
      <c r="E205" t="s">
        <v>379</v>
      </c>
      <c r="F205" s="111" t="s">
        <v>108</v>
      </c>
    </row>
    <row r="206" spans="1:12" x14ac:dyDescent="0.3">
      <c r="A206" s="38">
        <v>46058</v>
      </c>
      <c r="B206" t="s">
        <v>54</v>
      </c>
      <c r="C206" s="11">
        <v>1400</v>
      </c>
      <c r="D206" s="11"/>
      <c r="E206" t="s">
        <v>368</v>
      </c>
      <c r="F206" s="111" t="s">
        <v>108</v>
      </c>
    </row>
    <row r="207" spans="1:12" x14ac:dyDescent="0.3">
      <c r="A207" s="38">
        <v>46059</v>
      </c>
      <c r="B207" t="s">
        <v>212</v>
      </c>
      <c r="C207" s="11">
        <v>1850</v>
      </c>
      <c r="D207" s="11"/>
      <c r="E207" t="s">
        <v>403</v>
      </c>
      <c r="F207" s="111" t="s">
        <v>108</v>
      </c>
    </row>
    <row r="208" spans="1:12" x14ac:dyDescent="0.3">
      <c r="A208" s="115">
        <v>46059</v>
      </c>
      <c r="B208" t="s">
        <v>52</v>
      </c>
      <c r="C208" s="11">
        <v>20000</v>
      </c>
      <c r="D208" s="11"/>
      <c r="E208" t="s">
        <v>239</v>
      </c>
      <c r="F208" s="111" t="s">
        <v>108</v>
      </c>
    </row>
    <row r="209" spans="1:6" x14ac:dyDescent="0.3">
      <c r="A209" s="38">
        <v>46059</v>
      </c>
      <c r="B209" t="s">
        <v>54</v>
      </c>
      <c r="C209" s="11">
        <v>5000</v>
      </c>
      <c r="D209" s="11"/>
      <c r="E209" t="s">
        <v>397</v>
      </c>
      <c r="F209" s="111" t="s">
        <v>108</v>
      </c>
    </row>
    <row r="210" spans="1:6" x14ac:dyDescent="0.3">
      <c r="A210" s="115">
        <v>46059</v>
      </c>
      <c r="B210" t="s">
        <v>55</v>
      </c>
      <c r="C210" s="11">
        <v>1500</v>
      </c>
      <c r="D210" s="11"/>
      <c r="E210" t="s">
        <v>398</v>
      </c>
      <c r="F210" s="111" t="s">
        <v>108</v>
      </c>
    </row>
    <row r="211" spans="1:6" x14ac:dyDescent="0.3">
      <c r="A211" s="38">
        <v>46059</v>
      </c>
      <c r="B211" t="s">
        <v>262</v>
      </c>
      <c r="C211" s="11">
        <v>100000</v>
      </c>
      <c r="D211" s="11"/>
      <c r="E211" t="s">
        <v>399</v>
      </c>
      <c r="F211" s="111" t="s">
        <v>108</v>
      </c>
    </row>
    <row r="212" spans="1:6" x14ac:dyDescent="0.3">
      <c r="A212" s="115">
        <v>46059</v>
      </c>
      <c r="B212" t="s">
        <v>227</v>
      </c>
      <c r="C212" s="11">
        <v>20000</v>
      </c>
      <c r="D212" s="11"/>
      <c r="E212" t="s">
        <v>400</v>
      </c>
      <c r="F212" s="111" t="s">
        <v>108</v>
      </c>
    </row>
    <row r="213" spans="1:6" x14ac:dyDescent="0.3">
      <c r="A213" s="38">
        <v>46059</v>
      </c>
      <c r="B213" t="s">
        <v>169</v>
      </c>
      <c r="C213" s="11">
        <v>150500</v>
      </c>
      <c r="D213" s="11"/>
      <c r="E213" t="s">
        <v>401</v>
      </c>
      <c r="F213" s="111" t="s">
        <v>108</v>
      </c>
    </row>
    <row r="214" spans="1:6" x14ac:dyDescent="0.3">
      <c r="A214" s="115">
        <v>46059</v>
      </c>
      <c r="B214" t="s">
        <v>227</v>
      </c>
      <c r="C214" s="11">
        <v>5000</v>
      </c>
      <c r="D214" s="11"/>
      <c r="E214" t="s">
        <v>402</v>
      </c>
      <c r="F214" s="111" t="s">
        <v>108</v>
      </c>
    </row>
    <row r="215" spans="1:6" x14ac:dyDescent="0.3">
      <c r="A215" s="38">
        <v>46059</v>
      </c>
      <c r="B215" t="s">
        <v>222</v>
      </c>
      <c r="C215" s="11"/>
      <c r="D215" s="11">
        <v>65000</v>
      </c>
      <c r="E215" t="s">
        <v>404</v>
      </c>
      <c r="F215" s="111" t="s">
        <v>108</v>
      </c>
    </row>
    <row r="216" spans="1:6" x14ac:dyDescent="0.3">
      <c r="A216" s="115">
        <v>46059</v>
      </c>
      <c r="B216" t="s">
        <v>222</v>
      </c>
      <c r="C216" s="11"/>
      <c r="D216" s="11">
        <v>150000</v>
      </c>
      <c r="E216" t="s">
        <v>405</v>
      </c>
      <c r="F216" s="111" t="s">
        <v>108</v>
      </c>
    </row>
    <row r="217" spans="1:6" x14ac:dyDescent="0.3">
      <c r="A217" s="38">
        <v>46059</v>
      </c>
      <c r="B217" t="s">
        <v>289</v>
      </c>
      <c r="C217" s="11"/>
      <c r="D217" s="11">
        <v>100000</v>
      </c>
      <c r="E217" t="s">
        <v>406</v>
      </c>
      <c r="F217" s="111" t="s">
        <v>108</v>
      </c>
    </row>
    <row r="218" spans="1:6" x14ac:dyDescent="0.3">
      <c r="A218" s="115">
        <v>46060</v>
      </c>
      <c r="B218" t="s">
        <v>212</v>
      </c>
      <c r="C218" s="11">
        <v>100000</v>
      </c>
      <c r="D218" s="11"/>
      <c r="E218" t="s">
        <v>410</v>
      </c>
      <c r="F218" s="111" t="s">
        <v>108</v>
      </c>
    </row>
    <row r="219" spans="1:6" x14ac:dyDescent="0.3">
      <c r="A219" s="38">
        <v>46060</v>
      </c>
      <c r="B219" t="s">
        <v>227</v>
      </c>
      <c r="C219" s="11">
        <v>2923</v>
      </c>
      <c r="D219" s="11"/>
      <c r="E219" t="s">
        <v>411</v>
      </c>
      <c r="F219" s="111" t="s">
        <v>108</v>
      </c>
    </row>
    <row r="220" spans="1:6" x14ac:dyDescent="0.3">
      <c r="A220" s="115">
        <v>46060</v>
      </c>
      <c r="B220" t="s">
        <v>222</v>
      </c>
      <c r="C220" s="11"/>
      <c r="D220" s="11">
        <v>75000</v>
      </c>
      <c r="E220" t="s">
        <v>412</v>
      </c>
      <c r="F220" s="111" t="s">
        <v>108</v>
      </c>
    </row>
    <row r="221" spans="1:6" x14ac:dyDescent="0.3">
      <c r="A221" s="38">
        <v>46060</v>
      </c>
      <c r="B221" t="s">
        <v>222</v>
      </c>
      <c r="C221" s="11"/>
      <c r="D221" s="11">
        <v>15000</v>
      </c>
      <c r="E221" t="s">
        <v>413</v>
      </c>
      <c r="F221" s="111" t="s">
        <v>108</v>
      </c>
    </row>
    <row r="222" spans="1:6" x14ac:dyDescent="0.3">
      <c r="A222" s="115">
        <v>46060</v>
      </c>
      <c r="B222" t="s">
        <v>195</v>
      </c>
      <c r="C222" s="11">
        <v>15000</v>
      </c>
      <c r="D222" s="11"/>
      <c r="E222" t="s">
        <v>413</v>
      </c>
      <c r="F222" s="111" t="s">
        <v>108</v>
      </c>
    </row>
    <row r="223" spans="1:6" x14ac:dyDescent="0.3">
      <c r="A223" s="38">
        <v>46060</v>
      </c>
      <c r="B223" t="s">
        <v>222</v>
      </c>
      <c r="C223" s="11"/>
      <c r="D223" s="11">
        <v>349000</v>
      </c>
      <c r="E223" t="s">
        <v>414</v>
      </c>
      <c r="F223" s="111" t="s">
        <v>108</v>
      </c>
    </row>
    <row r="224" spans="1:6" x14ac:dyDescent="0.3">
      <c r="A224" s="115">
        <v>46060</v>
      </c>
      <c r="B224" t="s">
        <v>262</v>
      </c>
      <c r="C224" s="11">
        <v>100060</v>
      </c>
      <c r="D224" s="11"/>
      <c r="E224" t="s">
        <v>415</v>
      </c>
      <c r="F224" s="111" t="s">
        <v>108</v>
      </c>
    </row>
    <row r="225" spans="1:6" x14ac:dyDescent="0.3">
      <c r="A225" s="38">
        <v>46060</v>
      </c>
      <c r="B225" t="s">
        <v>260</v>
      </c>
      <c r="C225" s="11">
        <v>100000</v>
      </c>
      <c r="D225" s="11"/>
      <c r="E225" t="s">
        <v>416</v>
      </c>
      <c r="F225" s="111" t="s">
        <v>108</v>
      </c>
    </row>
    <row r="226" spans="1:6" x14ac:dyDescent="0.3">
      <c r="A226" s="115">
        <v>46060</v>
      </c>
      <c r="B226" t="s">
        <v>169</v>
      </c>
      <c r="C226" s="11">
        <v>64000</v>
      </c>
      <c r="D226" s="11"/>
      <c r="E226" t="s">
        <v>417</v>
      </c>
      <c r="F226" s="111" t="s">
        <v>108</v>
      </c>
    </row>
    <row r="227" spans="1:6" x14ac:dyDescent="0.3">
      <c r="A227" s="38">
        <v>46060</v>
      </c>
      <c r="B227" t="s">
        <v>169</v>
      </c>
      <c r="C227" s="11">
        <v>100808</v>
      </c>
      <c r="D227" s="11"/>
      <c r="E227" t="s">
        <v>418</v>
      </c>
      <c r="F227" s="111" t="s">
        <v>108</v>
      </c>
    </row>
    <row r="228" spans="1:6" x14ac:dyDescent="0.3">
      <c r="A228" s="115">
        <v>46060</v>
      </c>
      <c r="B228" t="s">
        <v>165</v>
      </c>
      <c r="C228" s="11">
        <v>60000</v>
      </c>
      <c r="D228" s="11"/>
      <c r="E228" t="s">
        <v>419</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420</v>
      </c>
      <c r="F230" s="111" t="s">
        <v>108</v>
      </c>
    </row>
    <row r="231" spans="1:6" x14ac:dyDescent="0.3">
      <c r="A231" s="38">
        <v>46060</v>
      </c>
      <c r="B231" t="s">
        <v>227</v>
      </c>
      <c r="C231" s="11">
        <v>2000</v>
      </c>
      <c r="D231" s="11"/>
      <c r="E231" t="s">
        <v>421</v>
      </c>
      <c r="F231" s="111" t="s">
        <v>108</v>
      </c>
    </row>
    <row r="232" spans="1:6" x14ac:dyDescent="0.3">
      <c r="A232" s="115">
        <v>46061</v>
      </c>
      <c r="B232" t="s">
        <v>50</v>
      </c>
      <c r="C232" s="11">
        <v>2500</v>
      </c>
      <c r="D232" s="11"/>
      <c r="E232" t="s">
        <v>422</v>
      </c>
      <c r="F232" s="111" t="s">
        <v>108</v>
      </c>
    </row>
    <row r="233" spans="1:6" x14ac:dyDescent="0.3">
      <c r="A233" s="38">
        <v>46061</v>
      </c>
      <c r="B233" t="s">
        <v>227</v>
      </c>
      <c r="C233" s="11">
        <v>5000</v>
      </c>
      <c r="D233" s="11"/>
      <c r="E233" t="s">
        <v>245</v>
      </c>
      <c r="F233" s="111" t="s">
        <v>108</v>
      </c>
    </row>
    <row r="234" spans="1:6" x14ac:dyDescent="0.3">
      <c r="A234" s="115">
        <v>46061</v>
      </c>
      <c r="C234" s="11"/>
      <c r="D234" s="11"/>
      <c r="F234" s="111"/>
    </row>
    <row r="235" spans="1:6" x14ac:dyDescent="0.3">
      <c r="A235" s="38">
        <v>46061</v>
      </c>
      <c r="C235" s="11"/>
      <c r="D235" s="11"/>
      <c r="F235" s="111"/>
    </row>
    <row r="236" spans="1:6" x14ac:dyDescent="0.3">
      <c r="A236" s="115">
        <v>46061</v>
      </c>
      <c r="C236" s="11"/>
      <c r="D236" s="11"/>
      <c r="F236" s="111"/>
    </row>
    <row r="237" spans="1:6" x14ac:dyDescent="0.3">
      <c r="A237" s="38"/>
      <c r="C237" s="14">
        <f>SUBTOTAL(109,Table14[Debit])</f>
        <v>9388687</v>
      </c>
      <c r="D237" s="14">
        <f>SUBTOTAL(109,Table14[Credit])</f>
        <v>9408907</v>
      </c>
      <c r="F237" s="54">
        <f>(Table14[[#Totals],[Credit]]-Table14[[#Totals],[Debit]])</f>
        <v>20220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E8" sqref="E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381</v>
      </c>
    </row>
    <row r="9" spans="1:14" x14ac:dyDescent="0.3">
      <c r="A9" s="1">
        <v>46053</v>
      </c>
      <c r="B9" t="s">
        <v>64</v>
      </c>
      <c r="E9">
        <v>86250</v>
      </c>
      <c r="F9" t="s">
        <v>115</v>
      </c>
      <c r="G9">
        <f>SUMIFS(Table14[Debit], Table14[Date], Table8[[#This Row],[Date]], Table14[Party], Table8[[#This Row],[Party]])</f>
        <v>0</v>
      </c>
      <c r="H9">
        <f>Table8[[#This Row],[Price]]-Table8[[#This Row],[Paid]]</f>
        <v>86250</v>
      </c>
      <c r="I9" t="s">
        <v>382</v>
      </c>
      <c r="K9" s="3" t="s">
        <v>6</v>
      </c>
      <c r="L9" t="s">
        <v>127</v>
      </c>
      <c r="M9" t="s">
        <v>128</v>
      </c>
    </row>
    <row r="10" spans="1:14" x14ac:dyDescent="0.3">
      <c r="A10" s="1">
        <v>46056</v>
      </c>
      <c r="B10" t="s">
        <v>64</v>
      </c>
      <c r="F10" t="s">
        <v>383</v>
      </c>
      <c r="G10">
        <f>SUMIFS(Table14[Debit], Table14[Date], Table8[[#This Row],[Date]], Table14[Party], Table8[[#This Row],[Party]])</f>
        <v>0</v>
      </c>
      <c r="H10">
        <f>Table8[[#This Row],[Price]]-Table8[[#This Row],[Paid]]</f>
        <v>0</v>
      </c>
      <c r="K10" s="26">
        <v>46008</v>
      </c>
      <c r="M10">
        <v>0</v>
      </c>
    </row>
    <row r="11" spans="1:14" x14ac:dyDescent="0.3">
      <c r="A11" s="1">
        <v>46058</v>
      </c>
      <c r="F11" t="s">
        <v>423</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413</v>
      </c>
      <c r="E12">
        <v>15000</v>
      </c>
      <c r="F12" t="s">
        <v>176</v>
      </c>
      <c r="G12">
        <f>SUMIFS(Table14[Debit], Table14[Date], Table8[[#This Row],[Date]], Table14[Party], Table8[[#This Row],[Party]])</f>
        <v>15000</v>
      </c>
      <c r="H12">
        <f>Table8[[#This Row],[Price]]-Table8[[#This Row],[Paid]]</f>
        <v>0</v>
      </c>
      <c r="K12" s="26">
        <v>46048</v>
      </c>
      <c r="M12">
        <v>-159250</v>
      </c>
    </row>
    <row r="13" spans="1:14" x14ac:dyDescent="0.3">
      <c r="G13">
        <f>SUMIFS(Table14[Debit], Table14[Date], Table8[[#This Row],[Date]], Table14[Party], Table8[[#This Row],[Party]])</f>
        <v>0</v>
      </c>
      <c r="H13">
        <f>Table8[[#This Row],[Price]]-Table8[[#This Row],[Paid]]</f>
        <v>0</v>
      </c>
      <c r="K13" s="26">
        <v>46051</v>
      </c>
      <c r="L13">
        <v>423000</v>
      </c>
      <c r="M13">
        <v>423000</v>
      </c>
    </row>
    <row r="14" spans="1:14" x14ac:dyDescent="0.3">
      <c r="G14">
        <f>SUMIFS(Table14[Debit], Table14[Date], Table8[[#This Row],[Date]], Table14[Party], Table8[[#This Row],[Party]])</f>
        <v>0</v>
      </c>
      <c r="H14">
        <f>Table8[[#This Row],[Price]]-Table8[[#This Row],[Paid]]</f>
        <v>0</v>
      </c>
      <c r="K14" s="26">
        <v>46053</v>
      </c>
      <c r="L14">
        <v>86250</v>
      </c>
      <c r="M14">
        <v>86250</v>
      </c>
    </row>
    <row r="15" spans="1:14" x14ac:dyDescent="0.3">
      <c r="G15">
        <f>SUMIFS(Table14[Debit], Table14[Date], Table8[[#This Row],[Date]], Table14[Party], Table8[[#This Row],[Party]])</f>
        <v>0</v>
      </c>
      <c r="H15">
        <f>Table8[[#This Row],[Price]]-Table8[[#This Row],[Paid]]</f>
        <v>0</v>
      </c>
      <c r="K15" s="26">
        <v>46056</v>
      </c>
      <c r="M15">
        <v>0</v>
      </c>
    </row>
    <row r="16" spans="1:14" x14ac:dyDescent="0.3">
      <c r="E16">
        <f>SUBTOTAL(109,Table8[Price])</f>
        <v>938500</v>
      </c>
      <c r="H16">
        <f>SUBTOTAL(109,Table8[Balance])</f>
        <v>764250</v>
      </c>
      <c r="K16" s="4" t="s">
        <v>103</v>
      </c>
      <c r="M16">
        <v>0</v>
      </c>
    </row>
    <row r="17" spans="1:13" x14ac:dyDescent="0.3">
      <c r="K17" s="4" t="s">
        <v>28</v>
      </c>
      <c r="L17">
        <v>764250</v>
      </c>
      <c r="M17">
        <v>605000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8" sqref="D1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20400</v>
      </c>
      <c r="L7">
        <v>20400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0</v>
      </c>
      <c r="M8">
        <v>240000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660600</v>
      </c>
      <c r="L12">
        <v>69600</v>
      </c>
      <c r="M12">
        <v>591000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c r="B18" s="1"/>
      <c r="F18">
        <f>Table2[[#This Row],[Quantity]]*200*Table2[[#This Row],[Boxes]]</f>
        <v>0</v>
      </c>
      <c r="G18">
        <f>SUMIFS(Table14[Debit], Table14[Date], Table2[[#This Row],[Date]], Table14[Party], Table2[[#This Row],[Party Name]])</f>
        <v>0</v>
      </c>
      <c r="H18">
        <f>Table2[[#This Row],[Price]]-Table2[[#This Row],[Paid]]</f>
        <v>0</v>
      </c>
    </row>
    <row r="19" spans="1:11" x14ac:dyDescent="0.3">
      <c r="A19" s="1"/>
      <c r="B19" s="1"/>
      <c r="F19">
        <f>Table2[[#This Row],[Quantity]]*200*Table2[[#This Row],[Boxes]]</f>
        <v>0</v>
      </c>
      <c r="G19">
        <f>SUMIFS(Table14[Debit], Table14[Date], Table2[[#This Row],[Date]], Table14[Party], Table2[[#This Row],[Party Name]])</f>
        <v>0</v>
      </c>
      <c r="H19">
        <f>Table2[[#This Row],[Price]]-Table2[[#This Row],[Paid]]</f>
        <v>0</v>
      </c>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660600</v>
      </c>
      <c r="G23">
        <f>SUBTOTAL(109,Table2[Paid])</f>
        <v>129600</v>
      </c>
      <c r="H23">
        <f>SUBTOTAL(109,Table2[Balance])</f>
        <v>531000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C28" sqref="C28"/>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1477330</v>
      </c>
      <c r="C2" s="32">
        <f>GETPIVOTDATA("Sum of Tiyaar/gaz",$A$3)</f>
        <v>1206762</v>
      </c>
      <c r="D2" s="31">
        <f>((B2*48)+((C2/1.0936)*10))/C2</f>
        <v>67.906186895803373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41523</v>
      </c>
      <c r="D16" s="28">
        <f t="shared" si="1"/>
        <v>53.078508996019004</v>
      </c>
      <c r="E16" s="11">
        <f t="shared" si="2"/>
        <v>41563.361599999997</v>
      </c>
      <c r="F16" s="11">
        <f t="shared" si="0"/>
        <v>41523</v>
      </c>
      <c r="G16" s="78">
        <f t="shared" si="4"/>
        <v>9.7108603458096354E-2</v>
      </c>
      <c r="H16" s="28">
        <f t="shared" si="3"/>
        <v>37969.092904169716</v>
      </c>
      <c r="I16" s="28">
        <f>((B16*48)+(H16*10))/C16</f>
        <v>53.078508996019004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53292</v>
      </c>
      <c r="D25" s="28">
        <f t="shared" si="1"/>
        <v>64.436162532180433</v>
      </c>
      <c r="E25" s="11">
        <f t="shared" si="2"/>
        <v>67133.916799999992</v>
      </c>
      <c r="F25" s="11">
        <f t="shared" si="0"/>
        <v>53292</v>
      </c>
      <c r="G25" s="78">
        <f t="shared" si="6"/>
        <v>20.618366184765776</v>
      </c>
      <c r="H25" s="28">
        <f t="shared" si="3"/>
        <v>48730.797366495979</v>
      </c>
      <c r="I25" s="28">
        <f t="shared" si="5"/>
        <v>64.436162532180433</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76125</v>
      </c>
      <c r="D44" s="28">
        <f t="shared" si="13"/>
        <v>53.866554542145792</v>
      </c>
      <c r="E44" s="11">
        <f t="shared" si="14"/>
        <v>77565.767199999987</v>
      </c>
      <c r="F44" s="11">
        <f t="shared" si="15"/>
        <v>76125</v>
      </c>
      <c r="G44" s="78">
        <f t="shared" si="16"/>
        <v>1.8574781788530856</v>
      </c>
      <c r="H44" s="28">
        <f t="shared" si="17"/>
        <v>69609.546452084862</v>
      </c>
      <c r="I44" s="28">
        <f t="shared" si="18"/>
        <v>53.866554542145792</v>
      </c>
    </row>
    <row r="45" spans="1:9" x14ac:dyDescent="0.3">
      <c r="A45" s="16">
        <v>2049</v>
      </c>
      <c r="B45" s="14">
        <v>55052</v>
      </c>
      <c r="C45" s="14">
        <v>23989</v>
      </c>
      <c r="D45" s="28">
        <f t="shared" ref="D45:D58" si="19">I45</f>
        <v>119.29859866581742</v>
      </c>
      <c r="E45" s="11">
        <f t="shared" ref="E45:E58" si="20">B45 * 1.0936</f>
        <v>60204.867199999993</v>
      </c>
      <c r="F45" s="11">
        <f t="shared" ref="F45:F58" si="21">C45</f>
        <v>23989</v>
      </c>
      <c r="G45" s="78">
        <f t="shared" ref="G45:G58" si="22">100- (F45/E45 *100)</f>
        <v>60.154384328581322</v>
      </c>
      <c r="H45" s="28">
        <f t="shared" ref="H45:H58" si="23">F45/1.0936</f>
        <v>21935.808339429408</v>
      </c>
      <c r="I45" s="28">
        <f t="shared" ref="I45:I58" si="24">((B45*48)+(H45*10))/C45</f>
        <v>119.29859866581742</v>
      </c>
    </row>
    <row r="46" spans="1:9" x14ac:dyDescent="0.3">
      <c r="A46" s="16">
        <v>2055</v>
      </c>
      <c r="B46" s="14">
        <v>47813</v>
      </c>
      <c r="C46" s="14">
        <v>50450</v>
      </c>
      <c r="D46" s="28">
        <f t="shared" si="19"/>
        <v>54.635171648289031</v>
      </c>
      <c r="E46" s="11">
        <f t="shared" si="20"/>
        <v>52288.296799999996</v>
      </c>
      <c r="F46" s="11">
        <f t="shared" si="21"/>
        <v>50450</v>
      </c>
      <c r="G46" s="78">
        <f t="shared" si="22"/>
        <v>3.5156945483066409</v>
      </c>
      <c r="H46" s="28">
        <f t="shared" si="23"/>
        <v>46132.040965618144</v>
      </c>
      <c r="I46" s="28">
        <f t="shared" si="24"/>
        <v>54.635171648289031</v>
      </c>
    </row>
    <row r="47" spans="1:9" x14ac:dyDescent="0.3">
      <c r="A47" s="16" t="s">
        <v>28</v>
      </c>
      <c r="B47" s="30">
        <v>100417</v>
      </c>
      <c r="C47" s="30">
        <v>1206762</v>
      </c>
      <c r="D47" s="28">
        <f t="shared" si="19"/>
        <v>13.138284028460852</v>
      </c>
      <c r="E47" s="11">
        <f t="shared" si="20"/>
        <v>109816.0312</v>
      </c>
      <c r="F47" s="11">
        <f t="shared" si="21"/>
        <v>1206762</v>
      </c>
      <c r="G47" s="78">
        <f t="shared" si="22"/>
        <v>-998.89420225195681</v>
      </c>
      <c r="H47" s="28">
        <f t="shared" si="23"/>
        <v>1103476.5910753475</v>
      </c>
      <c r="I47" s="28">
        <f t="shared" si="24"/>
        <v>13.138284028460852</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H23" sqref="H23"/>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13161566.497439656</v>
      </c>
    </row>
    <row r="3" spans="1:3" ht="21" x14ac:dyDescent="0.4">
      <c r="A3" s="102" t="str">
        <f>Billing!Q6</f>
        <v>Ejaz Sahab</v>
      </c>
      <c r="B3" s="105">
        <f>Billing!AD6</f>
        <v>5710319</v>
      </c>
      <c r="C3" s="103">
        <f>Billing!AE6</f>
        <v>57803.713972202502</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3072531.5069495253</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2986197</v>
      </c>
      <c r="C22" s="103">
        <f>Billing!AE25</f>
        <v>632266.78931967821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1290500</v>
      </c>
      <c r="C24" s="103">
        <f>Billing!AE27</f>
        <v>127993.050475494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2026-02-08T22:05:59Z</dcterms:modified>
  <cp:category/>
  <cp:contentStatus/>
</cp:coreProperties>
</file>