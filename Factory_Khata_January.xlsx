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388" documentId="8_{EB9B3F02-843B-43AB-9D1E-44A7B86FB663}" xr6:coauthVersionLast="47" xr6:coauthVersionMax="47" xr10:uidLastSave="{DBDBBB8F-627C-4772-96DE-4ADCDF97C070}"/>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H119" i="6"/>
  <c r="G141" i="6"/>
  <c r="G142" i="6"/>
  <c r="H129" i="6"/>
  <c r="I129" i="6" s="1"/>
  <c r="H130" i="6"/>
  <c r="I130" i="6" s="1"/>
  <c r="H131" i="6"/>
  <c r="I131" i="6" s="1"/>
  <c r="H132" i="6"/>
  <c r="I132" i="6" s="1"/>
  <c r="H133" i="6"/>
  <c r="I133" i="6" s="1"/>
  <c r="H134" i="6"/>
  <c r="I134" i="6" s="1"/>
  <c r="H135" i="6"/>
  <c r="I135" i="6" s="1"/>
  <c r="H136" i="6"/>
  <c r="I136" i="6" s="1"/>
  <c r="H137" i="6"/>
  <c r="I137" i="6" s="1"/>
  <c r="H138" i="6"/>
  <c r="I138" i="6" s="1"/>
  <c r="H139" i="6"/>
  <c r="I139" i="6" s="1"/>
  <c r="H140" i="6"/>
  <c r="I140" i="6" s="1"/>
  <c r="H141" i="6"/>
  <c r="I141" i="6" s="1"/>
  <c r="H142" i="6"/>
  <c r="I142" i="6" s="1"/>
  <c r="G137" i="6"/>
  <c r="G138" i="6"/>
  <c r="G139" i="6"/>
  <c r="G140" i="6"/>
  <c r="G129" i="6"/>
  <c r="G130" i="6"/>
  <c r="G131" i="6"/>
  <c r="G132" i="6"/>
  <c r="G133" i="6"/>
  <c r="G134" i="6"/>
  <c r="G135" i="6"/>
  <c r="G136" i="6"/>
  <c r="G123" i="6"/>
  <c r="G124" i="6"/>
  <c r="G125" i="6"/>
  <c r="G126" i="6"/>
  <c r="G127" i="6"/>
  <c r="G128" i="6"/>
  <c r="H120" i="6"/>
  <c r="I120" i="6" s="1"/>
  <c r="H121" i="6"/>
  <c r="I121" i="6" s="1"/>
  <c r="H122" i="6"/>
  <c r="I122" i="6" s="1"/>
  <c r="H123" i="6"/>
  <c r="I123" i="6" s="1"/>
  <c r="H124" i="6"/>
  <c r="I124" i="6" s="1"/>
  <c r="H125" i="6"/>
  <c r="I125" i="6" s="1"/>
  <c r="H126" i="6"/>
  <c r="I126" i="6" s="1"/>
  <c r="H127" i="6"/>
  <c r="I127" i="6" s="1"/>
  <c r="H128" i="6"/>
  <c r="I128" i="6" s="1"/>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71" i="6"/>
  <c r="H72" i="6"/>
  <c r="H73" i="6"/>
  <c r="H74" i="6"/>
  <c r="H75" i="6"/>
  <c r="H76" i="6"/>
  <c r="H77" i="6"/>
  <c r="H78" i="6"/>
  <c r="H79" i="6"/>
  <c r="H80" i="6"/>
  <c r="H81" i="6"/>
  <c r="H82" i="6"/>
  <c r="H83" i="6"/>
  <c r="H84" i="6"/>
  <c r="H85" i="6"/>
  <c r="H86" i="6"/>
  <c r="H87" i="6"/>
  <c r="H88" i="6"/>
  <c r="H89" i="6"/>
  <c r="H90" i="6"/>
  <c r="H70" i="6"/>
  <c r="G22" i="7" l="1"/>
  <c r="H22" i="7" s="1"/>
  <c r="G23" i="7"/>
  <c r="H23" i="7" s="1"/>
  <c r="G24" i="7"/>
  <c r="H24" i="7" s="1"/>
  <c r="G25" i="7"/>
  <c r="H25" i="7" s="1"/>
  <c r="I198" i="1"/>
  <c r="J198" i="1" s="1" a="1"/>
  <c r="J198" i="1" s="1"/>
  <c r="E21" i="7"/>
  <c r="E20" i="7"/>
  <c r="E19" i="7"/>
  <c r="C5" i="8" s="1"/>
  <c r="G20" i="7"/>
  <c r="G21" i="7"/>
  <c r="H182" i="1"/>
  <c r="I191" i="1"/>
  <c r="J191" i="1" a="1"/>
  <c r="J191" i="1" s="1"/>
  <c r="I192" i="1"/>
  <c r="J192" i="1" s="1" a="1"/>
  <c r="J192" i="1" s="1"/>
  <c r="I193" i="1"/>
  <c r="J193" i="1" s="1" a="1"/>
  <c r="J193" i="1" s="1"/>
  <c r="I194" i="1"/>
  <c r="J194" i="1" s="1" a="1"/>
  <c r="J194" i="1" s="1"/>
  <c r="I195" i="1"/>
  <c r="J195" i="1" s="1" a="1"/>
  <c r="J195" i="1" s="1"/>
  <c r="I196" i="1"/>
  <c r="J196" i="1" s="1" a="1"/>
  <c r="J196" i="1" s="1"/>
  <c r="I197" i="1"/>
  <c r="J197" i="1" s="1" a="1"/>
  <c r="J197" i="1" s="1"/>
  <c r="C133" i="17"/>
  <c r="C16" i="10" s="1"/>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76" i="1"/>
  <c r="J176" i="1" s="1" a="1"/>
  <c r="J176" i="1" s="1"/>
  <c r="I177" i="1"/>
  <c r="J177" i="1" s="1" a="1"/>
  <c r="J177" i="1" s="1"/>
  <c r="I178" i="1"/>
  <c r="J178" i="1" s="1" a="1"/>
  <c r="J178" i="1" s="1"/>
  <c r="I179" i="1"/>
  <c r="J179" i="1" s="1" a="1"/>
  <c r="J179" i="1" s="1"/>
  <c r="I180" i="1"/>
  <c r="J180" i="1" s="1" a="1"/>
  <c r="J180" i="1" s="1"/>
  <c r="I181" i="1"/>
  <c r="J181" i="1" s="1" a="1"/>
  <c r="J181" i="1" s="1"/>
  <c r="I183" i="1"/>
  <c r="J183" i="1" s="1" a="1"/>
  <c r="J183" i="1" s="1"/>
  <c r="I184" i="1"/>
  <c r="J184" i="1" s="1" a="1"/>
  <c r="J184" i="1" s="1"/>
  <c r="I185" i="1"/>
  <c r="J185" i="1" s="1" a="1"/>
  <c r="J185" i="1" s="1"/>
  <c r="I186" i="1"/>
  <c r="J186" i="1" s="1" a="1"/>
  <c r="J186" i="1" s="1"/>
  <c r="I187" i="1"/>
  <c r="J187" i="1" s="1" a="1"/>
  <c r="J187" i="1" s="1"/>
  <c r="I188" i="1"/>
  <c r="J188" i="1" s="1" a="1"/>
  <c r="J188" i="1" s="1"/>
  <c r="I189" i="1"/>
  <c r="J189" i="1" s="1" a="1"/>
  <c r="J189" i="1" s="1"/>
  <c r="I190" i="1"/>
  <c r="J190" i="1" s="1" a="1"/>
  <c r="J190" i="1" s="1"/>
  <c r="F190" i="1"/>
  <c r="I172" i="1"/>
  <c r="J172" i="1" s="1" a="1"/>
  <c r="J172" i="1" s="1"/>
  <c r="I173" i="1"/>
  <c r="J173" i="1" s="1" a="1"/>
  <c r="J173" i="1" s="1"/>
  <c r="I174" i="1"/>
  <c r="J174" i="1" s="1" a="1"/>
  <c r="J174" i="1" s="1"/>
  <c r="I175" i="1"/>
  <c r="J175" i="1" s="1" a="1"/>
  <c r="J175" i="1" s="1"/>
  <c r="G16" i="7"/>
  <c r="H16" i="7" s="1"/>
  <c r="G17" i="7"/>
  <c r="H17" i="7" s="1"/>
  <c r="G18" i="7"/>
  <c r="H18" i="7" s="1"/>
  <c r="G19" i="7"/>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s="1" a="1"/>
  <c r="J160" i="1" s="1"/>
  <c r="I161" i="1"/>
  <c r="J161" i="1" s="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F16" i="15"/>
  <c r="F17" i="15"/>
  <c r="F18" i="15"/>
  <c r="F19" i="15"/>
  <c r="F21" i="15"/>
  <c r="G16" i="15"/>
  <c r="H16" i="15" s="1"/>
  <c r="G17" i="15"/>
  <c r="H17" i="15" s="1"/>
  <c r="G18" i="15"/>
  <c r="H18" i="15" s="1"/>
  <c r="G19" i="15"/>
  <c r="G20" i="15"/>
  <c r="H20" i="15" s="1"/>
  <c r="G21" i="15"/>
  <c r="H21"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a="1"/>
  <c r="J101" i="1" s="1"/>
  <c r="I102" i="1"/>
  <c r="J102" i="1" s="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G91"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H196" i="1" s="1"/>
  <c r="F75" i="2"/>
  <c r="E76" i="2"/>
  <c r="F76" i="2"/>
  <c r="E77" i="2"/>
  <c r="F77" i="2"/>
  <c r="E78" i="2"/>
  <c r="F78" i="2"/>
  <c r="H78" i="2" s="1"/>
  <c r="I78" i="2" s="1"/>
  <c r="D78" i="2" s="1"/>
  <c r="E79" i="2"/>
  <c r="F79" i="2"/>
  <c r="H79" i="2" s="1"/>
  <c r="I79" i="2" s="1"/>
  <c r="D79" i="2" s="1"/>
  <c r="E80" i="2"/>
  <c r="F80" i="2"/>
  <c r="G80" i="2" s="1"/>
  <c r="H80" i="2"/>
  <c r="I80" i="2" s="1"/>
  <c r="D80" i="2" s="1"/>
  <c r="E81" i="2"/>
  <c r="G81" i="2" s="1"/>
  <c r="F81" i="2"/>
  <c r="H81" i="2"/>
  <c r="I81" i="2" s="1"/>
  <c r="D81" i="2" s="1"/>
  <c r="E82" i="2"/>
  <c r="F82" i="2"/>
  <c r="G82" i="2" s="1"/>
  <c r="H82" i="2"/>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H82" i="1"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H124" i="1"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H103" i="1"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43" i="6"/>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H75" i="2"/>
  <c r="I75" i="2"/>
  <c r="D75" i="2"/>
  <c r="G84" i="2"/>
  <c r="G19" i="2"/>
  <c r="H75" i="1"/>
  <c r="G54" i="2"/>
  <c r="H47" i="1"/>
  <c r="H17" i="1"/>
  <c r="H44" i="1"/>
  <c r="H31" i="1"/>
  <c r="H12" i="1"/>
  <c r="H35" i="1"/>
  <c r="H37" i="1"/>
  <c r="H10" i="1"/>
  <c r="H48"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1" i="1"/>
  <c r="H33" i="1"/>
  <c r="H3" i="1"/>
  <c r="H13" i="1"/>
  <c r="H14" i="1"/>
  <c r="H56" i="1"/>
  <c r="H18" i="1"/>
  <c r="H45" i="1"/>
  <c r="H19" i="1"/>
  <c r="H39" i="1"/>
  <c r="H26" i="1"/>
  <c r="H23" i="1"/>
  <c r="H55" i="1"/>
  <c r="G18" i="2"/>
  <c r="H175" i="1" s="1"/>
  <c r="G73" i="2"/>
  <c r="H188" i="1" s="1"/>
  <c r="G43" i="2"/>
  <c r="H128" i="1"/>
  <c r="G55" i="2"/>
  <c r="H152" i="1"/>
  <c r="G49" i="2"/>
  <c r="H143" i="1" s="1"/>
  <c r="G77" i="2"/>
  <c r="G37" i="2"/>
  <c r="H112" i="1"/>
  <c r="G57" i="2"/>
  <c r="G72" i="2"/>
  <c r="H185" i="1"/>
  <c r="G76" i="2"/>
  <c r="H197" i="1" s="1"/>
  <c r="G48" i="2"/>
  <c r="H140" i="1" s="1"/>
  <c r="G6" i="2"/>
  <c r="H100" i="1"/>
  <c r="G70" i="2"/>
  <c r="H180" i="1"/>
  <c r="G69" i="2"/>
  <c r="H179" i="1"/>
  <c r="G14" i="2"/>
  <c r="H72" i="1" s="1"/>
  <c r="G25" i="2"/>
  <c r="H86" i="1"/>
  <c r="H77" i="2"/>
  <c r="I77" i="2"/>
  <c r="D77" i="2" s="1"/>
  <c r="G66" i="2"/>
  <c r="H176" i="1"/>
  <c r="G40" i="2"/>
  <c r="G50" i="2"/>
  <c r="H145" i="1" s="1"/>
  <c r="H76" i="2"/>
  <c r="I76" i="2"/>
  <c r="D76" i="2" s="1"/>
  <c r="G74" i="2"/>
  <c r="H190" i="1" s="1"/>
  <c r="G30" i="2"/>
  <c r="H184" i="1"/>
  <c r="G10" i="2"/>
  <c r="G34" i="2"/>
  <c r="H19" i="2"/>
  <c r="I19" i="2" s="1"/>
  <c r="D19" i="2" s="1"/>
  <c r="G7" i="2"/>
  <c r="H71" i="1" s="1"/>
  <c r="G67" i="2"/>
  <c r="H189" i="1"/>
  <c r="G28" i="2"/>
  <c r="H93" i="1"/>
  <c r="H6" i="2"/>
  <c r="I6" i="2" s="1"/>
  <c r="D6" i="2" s="1"/>
  <c r="G68" i="2"/>
  <c r="G15" i="2"/>
  <c r="H63" i="1" s="1"/>
  <c r="H72" i="2"/>
  <c r="I72" i="2"/>
  <c r="D72" i="2" s="1"/>
  <c r="H57" i="2"/>
  <c r="I57" i="2" s="1"/>
  <c r="D57" i="2" s="1"/>
  <c r="G12" i="2"/>
  <c r="H66" i="1" s="1"/>
  <c r="G8" i="2"/>
  <c r="H186" i="1" s="1"/>
  <c r="G46" i="2"/>
  <c r="H132" i="1"/>
  <c r="G21" i="2"/>
  <c r="H77" i="1"/>
  <c r="G47" i="2"/>
  <c r="G51" i="2"/>
  <c r="H146" i="1" s="1"/>
  <c r="G4" i="2"/>
  <c r="G45" i="2"/>
  <c r="H130" i="1" s="1"/>
  <c r="G59" i="2"/>
  <c r="H163" i="1"/>
  <c r="G44" i="2"/>
  <c r="H129" i="1" s="1"/>
  <c r="G23" i="2"/>
  <c r="H81" i="1" s="1"/>
  <c r="G17" i="2"/>
  <c r="H70" i="1"/>
  <c r="G16" i="2"/>
  <c r="H65" i="1"/>
  <c r="G35" i="2"/>
  <c r="H108" i="1"/>
  <c r="G52" i="2"/>
  <c r="H158" i="1" s="1"/>
  <c r="G61" i="2"/>
  <c r="H160" i="1" s="1"/>
  <c r="G13" i="2"/>
  <c r="H64" i="1" s="1"/>
  <c r="H35" i="2"/>
  <c r="I35" i="2" s="1"/>
  <c r="D35" i="2" s="1"/>
  <c r="H25" i="2"/>
  <c r="I25" i="2"/>
  <c r="D25" i="2" s="1"/>
  <c r="G56" i="2"/>
  <c r="G20" i="2"/>
  <c r="H84" i="1" s="1"/>
  <c r="G9" i="2"/>
  <c r="H14" i="2"/>
  <c r="I14" i="2" s="1"/>
  <c r="D14" i="2" s="1"/>
  <c r="G63" i="2"/>
  <c r="H173" i="1"/>
  <c r="H16" i="2"/>
  <c r="I16" i="2"/>
  <c r="D16" i="2" s="1"/>
  <c r="G32" i="2"/>
  <c r="H104" i="1"/>
  <c r="G38" i="2"/>
  <c r="H113" i="1"/>
  <c r="H40" i="2"/>
  <c r="I40" i="2"/>
  <c r="D40" i="2" s="1"/>
  <c r="G58" i="2"/>
  <c r="G5" i="2"/>
  <c r="H149" i="1" s="1"/>
  <c r="H50" i="2"/>
  <c r="I50" i="2" s="1"/>
  <c r="D50" i="2" s="1"/>
  <c r="H12" i="2"/>
  <c r="I12" i="2" s="1"/>
  <c r="D12" i="2" s="1"/>
  <c r="H54" i="2"/>
  <c r="I54" i="2" s="1"/>
  <c r="D54" i="2" s="1"/>
  <c r="H118" i="1"/>
  <c r="H18" i="2"/>
  <c r="I18" i="2" s="1"/>
  <c r="D18" i="2" s="1"/>
  <c r="H46" i="2"/>
  <c r="I46" i="2" s="1"/>
  <c r="D46" i="2" s="1"/>
  <c r="G62" i="2"/>
  <c r="H153" i="1"/>
  <c r="H151" i="1"/>
  <c r="H37" i="2"/>
  <c r="I37" i="2"/>
  <c r="D37" i="2" s="1"/>
  <c r="G33" i="2"/>
  <c r="H31" i="2"/>
  <c r="I31" i="2" s="1"/>
  <c r="D31" i="2" s="1"/>
  <c r="H102" i="1"/>
  <c r="H123" i="1"/>
  <c r="H73" i="1"/>
  <c r="H156" i="1"/>
  <c r="H68" i="1"/>
  <c r="H161" i="1"/>
  <c r="H127" i="1"/>
  <c r="H106" i="1"/>
  <c r="H121" i="1"/>
  <c r="H138" i="1"/>
  <c r="H165" i="1"/>
  <c r="H116" i="1"/>
  <c r="H133" i="1"/>
  <c r="H141" i="1"/>
  <c r="H107" i="1"/>
  <c r="H69" i="1"/>
  <c r="H115" i="1"/>
  <c r="H89" i="1"/>
  <c r="H148" i="1"/>
  <c r="H126" i="1"/>
  <c r="H177" i="1"/>
  <c r="H134" i="1"/>
  <c r="H154" i="1"/>
  <c r="H131" i="1"/>
  <c r="H170" i="1"/>
  <c r="H155" i="1"/>
  <c r="H168" i="1"/>
  <c r="H83" i="1"/>
  <c r="H80" i="1"/>
  <c r="H167" i="1"/>
  <c r="H178" i="1"/>
  <c r="H187" i="1"/>
  <c r="H162" i="1"/>
  <c r="H159" i="1"/>
  <c r="H85" i="1"/>
  <c r="H105" i="1"/>
  <c r="H74" i="1"/>
  <c r="H78" i="1"/>
  <c r="H181" i="1"/>
  <c r="H109" i="1"/>
  <c r="H67" i="1"/>
  <c r="H157" i="1"/>
  <c r="H166" i="1"/>
  <c r="C2" i="2"/>
  <c r="C6" i="8" l="1"/>
  <c r="H12" i="15"/>
  <c r="K6" i="6"/>
  <c r="G143" i="6"/>
  <c r="I143" i="6"/>
  <c r="E26" i="7"/>
  <c r="I199" i="1" a="1"/>
  <c r="I199" i="1" s="1"/>
  <c r="H119" i="1"/>
  <c r="H120" i="1"/>
  <c r="H194" i="1"/>
  <c r="H174" i="1"/>
  <c r="H172" i="1"/>
  <c r="H192" i="1"/>
  <c r="H117" i="1"/>
  <c r="H122" i="1"/>
  <c r="H114" i="1"/>
  <c r="H125" i="1"/>
  <c r="H110" i="1"/>
  <c r="H111" i="1"/>
  <c r="H183" i="1"/>
  <c r="H195" i="1"/>
  <c r="H193" i="1"/>
  <c r="H191" i="1"/>
  <c r="H198" i="1"/>
  <c r="H99" i="1"/>
  <c r="H98" i="1"/>
  <c r="H90" i="1"/>
  <c r="H136" i="1"/>
  <c r="H142" i="1"/>
  <c r="H71" i="2"/>
  <c r="I71" i="2" s="1"/>
  <c r="D71" i="2" s="1"/>
  <c r="G79" i="2"/>
  <c r="H147" i="1"/>
  <c r="H144" i="1"/>
  <c r="G29" i="2"/>
  <c r="G11" i="2"/>
  <c r="G60" i="2"/>
  <c r="H139" i="1"/>
  <c r="G53" i="2"/>
  <c r="H150" i="1" s="1"/>
  <c r="H171" i="1"/>
  <c r="H76" i="1"/>
  <c r="G22" i="2"/>
  <c r="H137" i="1"/>
  <c r="G26" i="2"/>
  <c r="G78" i="2"/>
  <c r="A33" i="20"/>
  <c r="K115" i="9"/>
  <c r="Z36" i="9" s="1" a="1"/>
  <c r="Z36" i="9" s="1"/>
  <c r="L115" i="9"/>
  <c r="AA36" i="9" s="1" a="1"/>
  <c r="AA36" i="9" s="1"/>
  <c r="I115" i="9"/>
  <c r="X36" i="9" s="1" a="1"/>
  <c r="X36" i="9" s="1"/>
  <c r="E115" i="9"/>
  <c r="D115" i="9"/>
  <c r="M115" i="9"/>
  <c r="AB36" i="9" s="1" a="1"/>
  <c r="AB36" i="9" s="1"/>
  <c r="J115" i="9"/>
  <c r="Y36" i="9" s="1" a="1"/>
  <c r="Y36" i="9" s="1"/>
  <c r="O115" i="9"/>
  <c r="AD36" i="9" s="1"/>
  <c r="B33" i="20" s="1"/>
  <c r="F115" i="9"/>
  <c r="H115" i="9"/>
  <c r="W36" i="9" s="1" a="1"/>
  <c r="W36" i="9" s="1"/>
  <c r="C115" i="9"/>
  <c r="G115" i="9"/>
  <c r="V36" i="9" s="1" a="1"/>
  <c r="V36" i="9" s="1"/>
  <c r="C111" i="9"/>
  <c r="R32" i="9" s="1" a="1"/>
  <c r="R32" i="9" s="1"/>
  <c r="M91" i="9"/>
  <c r="AB12" i="9" s="1" a="1"/>
  <c r="AB12" i="9" s="1"/>
  <c r="L110" i="9"/>
  <c r="AA31" i="9" s="1" a="1"/>
  <c r="AA31" i="9" s="1"/>
  <c r="M109" i="9"/>
  <c r="AB30" i="9" s="1" a="1"/>
  <c r="AB30" i="9" s="1"/>
  <c r="J98" i="9"/>
  <c r="Y19" i="9" s="1" a="1"/>
  <c r="Y19" i="9" s="1"/>
  <c r="M88" i="9"/>
  <c r="AB9" i="9" s="1" a="1"/>
  <c r="AB9" i="9" s="1"/>
  <c r="O86" i="9"/>
  <c r="AD7" i="9" s="1"/>
  <c r="L69" i="9" a="1"/>
  <c r="L69" i="9" s="1"/>
  <c r="A20" i="20"/>
  <c r="E89" i="9"/>
  <c r="T10" i="9" s="1" a="1"/>
  <c r="T10" i="9" s="1"/>
  <c r="I59" i="9" a="1"/>
  <c r="I59" i="9" s="1"/>
  <c r="O92" i="9"/>
  <c r="AD13" i="9" s="1"/>
  <c r="A9" i="20"/>
  <c r="L91" i="9"/>
  <c r="AA12" i="9" s="1" a="1"/>
  <c r="AA12" i="9" s="1"/>
  <c r="I98" i="9"/>
  <c r="X19" i="9" s="1" a="1"/>
  <c r="X19" i="9" s="1"/>
  <c r="G88" i="9"/>
  <c r="V9" i="9" s="1" a="1"/>
  <c r="V9" i="9" s="1"/>
  <c r="A27" i="20"/>
  <c r="M61" i="9" a="1"/>
  <c r="M61" i="9" s="1"/>
  <c r="A12" i="20"/>
  <c r="I66" i="9" a="1"/>
  <c r="I66" i="9" s="1"/>
  <c r="K50" i="9" a="1"/>
  <c r="K50" i="9" s="1"/>
  <c r="G61" i="9" a="1"/>
  <c r="G61" i="9" s="1"/>
  <c r="I63" i="9" a="1"/>
  <c r="I63" i="9" s="1"/>
  <c r="K59" i="9" a="1"/>
  <c r="K59" i="9" s="1"/>
  <c r="C101" i="9"/>
  <c r="R22" i="9" s="1" a="1"/>
  <c r="R22" i="9" s="1"/>
  <c r="M54" i="9" a="1"/>
  <c r="M54" i="9" s="1"/>
  <c r="O97" i="9"/>
  <c r="AD18" i="9" s="1"/>
  <c r="E103" i="9"/>
  <c r="T24" i="9" s="1" a="1"/>
  <c r="T24" i="9" s="1"/>
  <c r="M85" i="9"/>
  <c r="AB6" i="9" s="1" a="1"/>
  <c r="AB6" i="9" s="1"/>
  <c r="F98" i="9"/>
  <c r="U19" i="9" s="1" a="1"/>
  <c r="U19" i="9" s="1"/>
  <c r="E97" i="9"/>
  <c r="T18" i="9" s="1" a="1"/>
  <c r="T18" i="9" s="1"/>
  <c r="O90" i="9"/>
  <c r="AD11" i="9" s="1"/>
  <c r="K94" i="9"/>
  <c r="Z15" i="9" s="1" a="1"/>
  <c r="Z15" i="9" s="1"/>
  <c r="J57" i="9" a="1"/>
  <c r="J57" i="9" s="1"/>
  <c r="I75" i="9" a="1"/>
  <c r="I75" i="9" s="1"/>
  <c r="L63" i="9" a="1"/>
  <c r="L63" i="9" s="1"/>
  <c r="B7" i="9"/>
  <c r="C7" i="9" s="1"/>
  <c r="A30" i="20"/>
  <c r="I85" i="9"/>
  <c r="X6" i="9" s="1" a="1"/>
  <c r="X6" i="9" s="1"/>
  <c r="H101" i="9"/>
  <c r="W22" i="9" s="1" a="1"/>
  <c r="W22" i="9" s="1"/>
  <c r="J50" i="9" a="1"/>
  <c r="J50" i="9" s="1"/>
  <c r="E101" i="9"/>
  <c r="T22" i="9" s="1" a="1"/>
  <c r="T22" i="9" s="1"/>
  <c r="D106" i="9"/>
  <c r="S27" i="9" s="1" a="1"/>
  <c r="S27" i="9" s="1"/>
  <c r="I58" i="9" a="1"/>
  <c r="I58" i="9" s="1"/>
  <c r="A22" i="20"/>
  <c r="C91" i="9"/>
  <c r="R12" i="9" s="1" a="1"/>
  <c r="R12" i="9" s="1"/>
  <c r="H105" i="9"/>
  <c r="W26" i="9" s="1" a="1"/>
  <c r="W26" i="9" s="1"/>
  <c r="G51" i="9" a="1"/>
  <c r="G51" i="9" s="1"/>
  <c r="I56" i="9" a="1"/>
  <c r="I56" i="9" s="1"/>
  <c r="H95" i="9"/>
  <c r="W16" i="9" s="1" a="1"/>
  <c r="W16" i="9" s="1"/>
  <c r="F105" i="9"/>
  <c r="U26" i="9" s="1" a="1"/>
  <c r="U26" i="9" s="1"/>
  <c r="D114" i="9"/>
  <c r="S35" i="9" s="1" a="1"/>
  <c r="S35" i="9" s="1"/>
  <c r="K101" i="9"/>
  <c r="Z22" i="9" s="1" a="1"/>
  <c r="Z22" i="9" s="1"/>
  <c r="G110" i="9"/>
  <c r="V31" i="9" s="1" a="1"/>
  <c r="V31" i="9" s="1"/>
  <c r="G54" i="9" a="1"/>
  <c r="G54" i="9" s="1"/>
  <c r="O107" i="9"/>
  <c r="AD28" i="9" s="1"/>
  <c r="H100" i="9"/>
  <c r="W21" i="9" s="1" a="1"/>
  <c r="W21" i="9" s="1"/>
  <c r="M94" i="9"/>
  <c r="AB15" i="9" s="1" a="1"/>
  <c r="AB15" i="9" s="1"/>
  <c r="G63" i="9" a="1"/>
  <c r="G63" i="9" s="1"/>
  <c r="A5" i="20"/>
  <c r="M90" i="9"/>
  <c r="AB11" i="9" s="1" a="1"/>
  <c r="AB11" i="9" s="1"/>
  <c r="K199" i="1"/>
  <c r="H64" i="9" a="1"/>
  <c r="H64" i="9" s="1"/>
  <c r="O61" i="9"/>
  <c r="H63" i="9" a="1"/>
  <c r="H63" i="9" s="1"/>
  <c r="J71" i="9" a="1"/>
  <c r="J71" i="9" s="1"/>
  <c r="J69" i="9" a="1"/>
  <c r="J69" i="9" s="1"/>
  <c r="G98" i="9"/>
  <c r="V19" i="9" s="1" a="1"/>
  <c r="V19" i="9" s="1"/>
  <c r="A15" i="20"/>
  <c r="A14" i="20"/>
  <c r="K85" i="9"/>
  <c r="Z6" i="9" s="1" a="1"/>
  <c r="Z6" i="9" s="1"/>
  <c r="D100" i="9"/>
  <c r="S21" i="9" s="1" a="1"/>
  <c r="S21" i="9" s="1"/>
  <c r="D112" i="9"/>
  <c r="S33" i="9" s="1" a="1"/>
  <c r="S33" i="9" s="1"/>
  <c r="O70" i="9"/>
  <c r="G56" i="9" a="1"/>
  <c r="G56" i="9" s="1"/>
  <c r="B4" i="9"/>
  <c r="M55" i="9" a="1"/>
  <c r="M55" i="9" s="1"/>
  <c r="J86" i="9"/>
  <c r="Y7" i="9" s="1" a="1"/>
  <c r="Y7" i="9" s="1"/>
  <c r="I61" i="9" a="1"/>
  <c r="I61" i="9" s="1"/>
  <c r="D107" i="9"/>
  <c r="S28" i="9" s="1" a="1"/>
  <c r="S28" i="9" s="1"/>
  <c r="O66" i="9"/>
  <c r="H78" i="9" a="1"/>
  <c r="H78" i="9" s="1"/>
  <c r="G79" i="9" a="1"/>
  <c r="G79" i="9" s="1"/>
  <c r="L103" i="9"/>
  <c r="AA24" i="9" s="1" a="1"/>
  <c r="AA24" i="9" s="1"/>
  <c r="D103" i="9"/>
  <c r="S24" i="9" s="1" a="1"/>
  <c r="S24" i="9" s="1"/>
  <c r="M75" i="9" a="1"/>
  <c r="M75" i="9" s="1"/>
  <c r="B18" i="9"/>
  <c r="E18" i="9" s="1"/>
  <c r="I105" i="9"/>
  <c r="X26" i="9" s="1" a="1"/>
  <c r="X26" i="9" s="1"/>
  <c r="A29" i="20"/>
  <c r="O51" i="9"/>
  <c r="J65" i="9" a="1"/>
  <c r="J65" i="9" s="1"/>
  <c r="A23" i="20"/>
  <c r="J93" i="9"/>
  <c r="Y14" i="9" s="1" a="1"/>
  <c r="Y14" i="9" s="1"/>
  <c r="I89" i="9"/>
  <c r="X10" i="9" s="1" a="1"/>
  <c r="X10" i="9" s="1"/>
  <c r="I52" i="9" a="1"/>
  <c r="I52" i="9" s="1"/>
  <c r="J101" i="9"/>
  <c r="Y22" i="9" s="1" a="1"/>
  <c r="Y22" i="9" s="1"/>
  <c r="E93" i="9"/>
  <c r="T14" i="9" s="1" a="1"/>
  <c r="T14" i="9" s="1"/>
  <c r="D88" i="9"/>
  <c r="S9" i="9" s="1" a="1"/>
  <c r="S9" i="9" s="1"/>
  <c r="K65" i="9" a="1"/>
  <c r="K65" i="9" s="1"/>
  <c r="M72" i="9" a="1"/>
  <c r="M72" i="9" s="1"/>
  <c r="L86" i="9"/>
  <c r="AA7" i="9" s="1" a="1"/>
  <c r="AA7" i="9" s="1"/>
  <c r="G59" i="9" a="1"/>
  <c r="G59" i="9" s="1"/>
  <c r="O105" i="9"/>
  <c r="AD26" i="9" s="1"/>
  <c r="I70" i="9" a="1"/>
  <c r="I70" i="9" s="1"/>
  <c r="H55" i="9" a="1"/>
  <c r="H55" i="9" s="1"/>
  <c r="J199" i="1" a="1"/>
  <c r="J199" i="1" s="1"/>
  <c r="O87" i="9"/>
  <c r="AD8" i="9" s="1"/>
  <c r="M93" i="9"/>
  <c r="AB14" i="9" s="1" a="1"/>
  <c r="AB14" i="9" s="1"/>
  <c r="J52" i="9" a="1"/>
  <c r="J52" i="9" s="1"/>
  <c r="L60" i="9" a="1"/>
  <c r="L60" i="9" s="1"/>
  <c r="M67" i="9" a="1"/>
  <c r="M67" i="9" s="1"/>
  <c r="J59" i="9" a="1"/>
  <c r="J59" i="9" s="1"/>
  <c r="J66" i="9" a="1"/>
  <c r="J66" i="9" s="1"/>
  <c r="B5" i="9"/>
  <c r="I110" i="9"/>
  <c r="X31" i="9" s="1" a="1"/>
  <c r="X31" i="9" s="1"/>
  <c r="C105" i="9"/>
  <c r="O69" i="9"/>
  <c r="D101" i="9"/>
  <c r="S22" i="9" s="1" a="1"/>
  <c r="S22" i="9" s="1"/>
  <c r="C98" i="9"/>
  <c r="R19" i="9" s="1" a="1"/>
  <c r="R19" i="9" s="1"/>
  <c r="G67" i="9" a="1"/>
  <c r="G67" i="9" s="1"/>
  <c r="D105" i="9"/>
  <c r="S26" i="9" s="1" a="1"/>
  <c r="S26" i="9" s="1"/>
  <c r="M111" i="9"/>
  <c r="AB32" i="9" s="1" a="1"/>
  <c r="AB32" i="9" s="1"/>
  <c r="I79" i="9" a="1"/>
  <c r="I79" i="9" s="1"/>
  <c r="M56" i="9" a="1"/>
  <c r="M56" i="9" s="1"/>
  <c r="D110" i="9"/>
  <c r="S31" i="9" s="1" a="1"/>
  <c r="S31" i="9" s="1"/>
  <c r="H113" i="9"/>
  <c r="W34" i="9" s="1" a="1"/>
  <c r="W34" i="9" s="1"/>
  <c r="G108" i="9"/>
  <c r="V29" i="9" s="1" a="1"/>
  <c r="V29" i="9" s="1"/>
  <c r="H111" i="9"/>
  <c r="W32" i="9" s="1" a="1"/>
  <c r="W32" i="9" s="1"/>
  <c r="I109" i="9"/>
  <c r="X30" i="9" s="1" a="1"/>
  <c r="X30" i="9" s="1"/>
  <c r="O78" i="9"/>
  <c r="C87" i="9"/>
  <c r="R8" i="9" s="1" a="1"/>
  <c r="R8" i="9" s="1"/>
  <c r="J96" i="9"/>
  <c r="Y17" i="9" s="1" a="1"/>
  <c r="Y17" i="9" s="1"/>
  <c r="G57" i="9" a="1"/>
  <c r="G57" i="9" s="1"/>
  <c r="K114" i="9"/>
  <c r="Z35" i="9" s="1" a="1"/>
  <c r="Z35" i="9" s="1"/>
  <c r="B15" i="9"/>
  <c r="D93" i="9"/>
  <c r="S14" i="9" s="1" a="1"/>
  <c r="S14" i="9" s="1"/>
  <c r="L100" i="9"/>
  <c r="AA21" i="9" s="1" a="1"/>
  <c r="AA21" i="9" s="1"/>
  <c r="K77" i="9" a="1"/>
  <c r="K77" i="9" s="1"/>
  <c r="O106" i="9"/>
  <c r="AD27" i="9" s="1"/>
  <c r="F93" i="9"/>
  <c r="U14" i="9" s="1" a="1"/>
  <c r="U14" i="9" s="1"/>
  <c r="B14" i="9"/>
  <c r="G99" i="9"/>
  <c r="E87" i="9"/>
  <c r="T8" i="9" s="1" a="1"/>
  <c r="T8" i="9" s="1"/>
  <c r="K71" i="9" a="1"/>
  <c r="K71" i="9" s="1"/>
  <c r="L104" i="9"/>
  <c r="AA25" i="9" s="1" a="1"/>
  <c r="AA25" i="9" s="1"/>
  <c r="C112" i="9"/>
  <c r="R33" i="9" s="1" a="1"/>
  <c r="R33" i="9" s="1"/>
  <c r="L94" i="9"/>
  <c r="AA15" i="9" s="1" a="1"/>
  <c r="AA15" i="9" s="1"/>
  <c r="G76" i="9" a="1"/>
  <c r="G76" i="9" s="1"/>
  <c r="K90" i="9"/>
  <c r="Z11" i="9" s="1" a="1"/>
  <c r="Z11" i="9" s="1"/>
  <c r="O109" i="9"/>
  <c r="AD30" i="9" s="1"/>
  <c r="K57" i="9" a="1"/>
  <c r="K57" i="9" s="1"/>
  <c r="M97" i="9"/>
  <c r="AB18" i="9" s="1" a="1"/>
  <c r="AB18" i="9" s="1"/>
  <c r="O103" i="9"/>
  <c r="AD24" i="9" s="1"/>
  <c r="I108" i="9"/>
  <c r="X29" i="9" s="1" a="1"/>
  <c r="X29" i="9" s="1"/>
  <c r="L89" i="9"/>
  <c r="AA10" i="9" s="1" a="1"/>
  <c r="AA10" i="9" s="1"/>
  <c r="I106" i="9"/>
  <c r="X27" i="9" s="1" a="1"/>
  <c r="X27" i="9" s="1"/>
  <c r="F92" i="9"/>
  <c r="U13" i="9" s="1" a="1"/>
  <c r="U13" i="9" s="1"/>
  <c r="H108" i="9"/>
  <c r="W29" i="9" s="1" a="1"/>
  <c r="W29" i="9" s="1"/>
  <c r="G53" i="9" a="1"/>
  <c r="G53" i="9" s="1"/>
  <c r="L77" i="9" a="1"/>
  <c r="L77" i="9" s="1"/>
  <c r="O60" i="9"/>
  <c r="K106" i="9"/>
  <c r="Z27" i="9" s="1" a="1"/>
  <c r="Z27" i="9" s="1"/>
  <c r="M57" i="9" a="1"/>
  <c r="M57" i="9" s="1"/>
  <c r="G65" i="9" a="1"/>
  <c r="G65" i="9" s="1"/>
  <c r="J92" i="9"/>
  <c r="Y13" i="9" s="1" a="1"/>
  <c r="Y13" i="9" s="1"/>
  <c r="L62" i="9" a="1"/>
  <c r="L62" i="9" s="1"/>
  <c r="E102" i="9"/>
  <c r="T23" i="9" s="1" a="1"/>
  <c r="T23" i="9" s="1"/>
  <c r="D99" i="9"/>
  <c r="S20" i="9" s="1" a="1"/>
  <c r="S20" i="9" s="1"/>
  <c r="J108" i="9"/>
  <c r="Y29" i="9" s="1" a="1"/>
  <c r="Y29" i="9" s="1"/>
  <c r="L59" i="9" a="1"/>
  <c r="L59" i="9" s="1"/>
  <c r="L92" i="9"/>
  <c r="AA13" i="9" s="1" a="1"/>
  <c r="AA13" i="9" s="1"/>
  <c r="I50" i="9" a="1"/>
  <c r="I50" i="9" s="1"/>
  <c r="K70" i="9" a="1"/>
  <c r="K70" i="9" s="1"/>
  <c r="F101" i="9"/>
  <c r="U22" i="9" s="1" a="1"/>
  <c r="U22" i="9" s="1"/>
  <c r="G107" i="9"/>
  <c r="V28" i="9" s="1" a="1"/>
  <c r="V28" i="9" s="1"/>
  <c r="K64" i="9" a="1"/>
  <c r="K64" i="9" s="1"/>
  <c r="C96" i="9"/>
  <c r="R17" i="9" s="1" a="1"/>
  <c r="R17" i="9" s="1"/>
  <c r="L105" i="9"/>
  <c r="AA26" i="9" s="1" a="1"/>
  <c r="AA26" i="9" s="1"/>
  <c r="I65" i="9" a="1"/>
  <c r="I65" i="9" s="1"/>
  <c r="M66" i="9" a="1"/>
  <c r="M66" i="9" s="1"/>
  <c r="K96" i="9"/>
  <c r="Z17" i="9" s="1" a="1"/>
  <c r="Z17" i="9" s="1"/>
  <c r="M104" i="9"/>
  <c r="AB25" i="9" s="1" a="1"/>
  <c r="AB25" i="9" s="1"/>
  <c r="G86" i="9"/>
  <c r="V7" i="9" s="1" a="1"/>
  <c r="V7" i="9" s="1"/>
  <c r="H73" i="9" a="1"/>
  <c r="H73" i="9" s="1"/>
  <c r="G102" i="9"/>
  <c r="V23" i="9" s="1" a="1"/>
  <c r="V23" i="9" s="1"/>
  <c r="F109" i="9"/>
  <c r="U30" i="9" s="1" a="1"/>
  <c r="U30" i="9" s="1"/>
  <c r="B3" i="9"/>
  <c r="E112" i="9"/>
  <c r="T33" i="9" s="1" a="1"/>
  <c r="T33" i="9" s="1"/>
  <c r="K99" i="9"/>
  <c r="Z20" i="9" s="1" a="1"/>
  <c r="Z20" i="9" s="1"/>
  <c r="O53" i="9"/>
  <c r="E85" i="9"/>
  <c r="T6" i="9" s="1" a="1"/>
  <c r="T6" i="9" s="1"/>
  <c r="H69" i="9" a="1"/>
  <c r="H69" i="9" s="1"/>
  <c r="L71" i="9" a="1"/>
  <c r="L71" i="9" s="1"/>
  <c r="J79" i="9" a="1"/>
  <c r="J79" i="9" s="1"/>
  <c r="H74" i="9" a="1"/>
  <c r="H74" i="9" s="1"/>
  <c r="O57" i="9"/>
  <c r="K102" i="9"/>
  <c r="Z23" i="9" s="1" a="1"/>
  <c r="Z23" i="9" s="1"/>
  <c r="K54" i="9" a="1"/>
  <c r="K54" i="9" s="1"/>
  <c r="L101" i="9"/>
  <c r="AA22" i="9" s="1" a="1"/>
  <c r="AA22" i="9" s="1"/>
  <c r="L99" i="9"/>
  <c r="AA20" i="9" s="1" a="1"/>
  <c r="AA20" i="9" s="1"/>
  <c r="M68" i="9" a="1"/>
  <c r="M68" i="9" s="1"/>
  <c r="J58" i="9" a="1"/>
  <c r="J58" i="9" s="1"/>
  <c r="H60" i="9" a="1"/>
  <c r="H60" i="9" s="1"/>
  <c r="H52" i="9" a="1"/>
  <c r="H52" i="9" s="1"/>
  <c r="K67" i="9" a="1"/>
  <c r="K67" i="9" s="1"/>
  <c r="I99" i="9"/>
  <c r="X20" i="9" s="1" a="1"/>
  <c r="X20" i="9" s="1"/>
  <c r="I95" i="9"/>
  <c r="X16" i="9" s="1" a="1"/>
  <c r="X16" i="9" s="1"/>
  <c r="F88" i="9"/>
  <c r="U9" i="9" s="1" a="1"/>
  <c r="U9" i="9" s="1"/>
  <c r="F112" i="9"/>
  <c r="U33" i="9" s="1" a="1"/>
  <c r="U33" i="9" s="1"/>
  <c r="J95" i="9"/>
  <c r="Y16" i="9" s="1" a="1"/>
  <c r="Y16" i="9" s="1"/>
  <c r="H76" i="9" a="1"/>
  <c r="H76" i="9" s="1"/>
  <c r="H53" i="9" a="1"/>
  <c r="H53" i="9" s="1"/>
  <c r="G93" i="9"/>
  <c r="V14" i="9" s="1" a="1"/>
  <c r="V14" i="9" s="1"/>
  <c r="E110" i="9"/>
  <c r="T31" i="9" s="1" a="1"/>
  <c r="T31" i="9" s="1"/>
  <c r="G103" i="9"/>
  <c r="F107" i="9"/>
  <c r="U28" i="9" s="1" a="1"/>
  <c r="U28" i="9" s="1"/>
  <c r="L72" i="9" a="1"/>
  <c r="L72" i="9" s="1"/>
  <c r="E100" i="9"/>
  <c r="T21" i="9" s="1" a="1"/>
  <c r="T21" i="9" s="1"/>
  <c r="K113" i="9"/>
  <c r="Z34" i="9" s="1" a="1"/>
  <c r="Z34" i="9" s="1"/>
  <c r="F110" i="9"/>
  <c r="U31" i="9" s="1" a="1"/>
  <c r="U31" i="9" s="1"/>
  <c r="L106" i="9"/>
  <c r="AA27" i="9" s="1" a="1"/>
  <c r="AA27" i="9" s="1"/>
  <c r="O73" i="9"/>
  <c r="G75" i="9" a="1"/>
  <c r="G75" i="9" s="1"/>
  <c r="I64" i="9" a="1"/>
  <c r="I64" i="9" s="1"/>
  <c r="E108" i="9"/>
  <c r="T29" i="9" s="1" a="1"/>
  <c r="T29" i="9" s="1"/>
  <c r="G71" i="9" a="1"/>
  <c r="G71" i="9" s="1"/>
  <c r="L87" i="9"/>
  <c r="AA8" i="9" s="1" a="1"/>
  <c r="AA8" i="9" s="1"/>
  <c r="L114" i="9"/>
  <c r="AA35" i="9" s="1" a="1"/>
  <c r="AA35" i="9" s="1"/>
  <c r="G68" i="9" a="1"/>
  <c r="G68" i="9" s="1"/>
  <c r="F99" i="9"/>
  <c r="U20" i="9" s="1" a="1"/>
  <c r="U20" i="9" s="1"/>
  <c r="O67" i="9"/>
  <c r="G70" i="9" a="1"/>
  <c r="G70" i="9" s="1"/>
  <c r="J104" i="9"/>
  <c r="Y25" i="9" s="1" a="1"/>
  <c r="Y25" i="9" s="1"/>
  <c r="H70" i="9" a="1"/>
  <c r="H70" i="9" s="1"/>
  <c r="B16" i="9"/>
  <c r="K110" i="9"/>
  <c r="Z31" i="9" s="1" a="1"/>
  <c r="Z31" i="9" s="1"/>
  <c r="O56" i="9"/>
  <c r="J97" i="9"/>
  <c r="Y18" i="9" s="1" a="1"/>
  <c r="Y18" i="9" s="1"/>
  <c r="H97" i="9"/>
  <c r="W18" i="9" s="1" a="1"/>
  <c r="W18" i="9" s="1"/>
  <c r="B17" i="9"/>
  <c r="G92" i="9"/>
  <c r="V13" i="9" s="1" a="1"/>
  <c r="V13" i="9" s="1"/>
  <c r="J106" i="9"/>
  <c r="Y27" i="9" s="1" a="1"/>
  <c r="Y27" i="9" s="1"/>
  <c r="D85" i="9"/>
  <c r="S6" i="9" s="1" a="1"/>
  <c r="S6" i="9" s="1"/>
  <c r="M53" i="9" a="1"/>
  <c r="M53" i="9" s="1"/>
  <c r="H89" i="9"/>
  <c r="W10" i="9" s="1" a="1"/>
  <c r="W10" i="9" s="1"/>
  <c r="H77" i="9" a="1"/>
  <c r="H77" i="9" s="1"/>
  <c r="O50" i="9"/>
  <c r="K89" i="9"/>
  <c r="Z10" i="9" s="1" a="1"/>
  <c r="Z10" i="9" s="1"/>
  <c r="H99" i="9"/>
  <c r="W20" i="9" s="1" a="1"/>
  <c r="W20" i="9" s="1"/>
  <c r="H93" i="9"/>
  <c r="W14" i="9" s="1" a="1"/>
  <c r="W14" i="9" s="1"/>
  <c r="F91" i="9"/>
  <c r="U12" i="9" s="1" a="1"/>
  <c r="U12" i="9" s="1"/>
  <c r="L56" i="9" a="1"/>
  <c r="L56" i="9" s="1"/>
  <c r="O89" i="9"/>
  <c r="AD10" i="9" s="1"/>
  <c r="J75" i="9" a="1"/>
  <c r="J75" i="9" s="1"/>
  <c r="E98" i="9"/>
  <c r="T19" i="9" s="1" a="1"/>
  <c r="T19" i="9" s="1"/>
  <c r="H67" i="9" a="1"/>
  <c r="H67" i="9" s="1"/>
  <c r="D98" i="9"/>
  <c r="S19" i="9" s="1" a="1"/>
  <c r="S19" i="9" s="1"/>
  <c r="O99" i="9"/>
  <c r="AD20" i="9" s="1"/>
  <c r="I103" i="9"/>
  <c r="X24" i="9" s="1" a="1"/>
  <c r="X24" i="9" s="1"/>
  <c r="K86" i="9"/>
  <c r="Z7" i="9" s="1" a="1"/>
  <c r="Z7" i="9" s="1"/>
  <c r="L57" i="9" a="1"/>
  <c r="L57" i="9" s="1"/>
  <c r="G90" i="9"/>
  <c r="V11" i="9" s="1" a="1"/>
  <c r="V11" i="9" s="1"/>
  <c r="I90" i="9"/>
  <c r="X11" i="9" s="1" a="1"/>
  <c r="X11" i="9" s="1"/>
  <c r="J103" i="9"/>
  <c r="Y24" i="9" s="1" a="1"/>
  <c r="Y24" i="9" s="1"/>
  <c r="G100" i="9"/>
  <c r="V21" i="9" s="1" a="1"/>
  <c r="V21" i="9" s="1"/>
  <c r="O58" i="9"/>
  <c r="I102" i="9"/>
  <c r="X23" i="9" s="1" a="1"/>
  <c r="X23" i="9" s="1"/>
  <c r="O110" i="9"/>
  <c r="AD31" i="9" s="1"/>
  <c r="F102" i="9"/>
  <c r="U23" i="9" s="1" a="1"/>
  <c r="U23" i="9" s="1"/>
  <c r="L58" i="9" a="1"/>
  <c r="L58" i="9" s="1"/>
  <c r="M64" i="9" a="1"/>
  <c r="M64" i="9" s="1"/>
  <c r="L111" i="9"/>
  <c r="AA32" i="9" s="1" a="1"/>
  <c r="AA32" i="9" s="1"/>
  <c r="E91" i="9"/>
  <c r="T12" i="9" s="1" a="1"/>
  <c r="T12" i="9" s="1"/>
  <c r="D89" i="9"/>
  <c r="S10" i="9" s="1" a="1"/>
  <c r="S10" i="9" s="1"/>
  <c r="M65" i="9" a="1"/>
  <c r="M65" i="9" s="1"/>
  <c r="O93" i="9"/>
  <c r="AD14" i="9" s="1"/>
  <c r="E106" i="9"/>
  <c r="T27" i="9" s="1" a="1"/>
  <c r="T27" i="9" s="1"/>
  <c r="H88" i="9"/>
  <c r="K97" i="9"/>
  <c r="Z18" i="9" s="1" a="1"/>
  <c r="Z18" i="9" s="1"/>
  <c r="O76" i="9"/>
  <c r="L97" i="9"/>
  <c r="AA18" i="9" s="1" a="1"/>
  <c r="AA18" i="9" s="1"/>
  <c r="C102" i="9"/>
  <c r="R23" i="9" s="1" a="1"/>
  <c r="R23" i="9" s="1"/>
  <c r="O102" i="9"/>
  <c r="AD23" i="9" s="1"/>
  <c r="O85" i="9"/>
  <c r="AD6" i="9" s="1"/>
  <c r="L73" i="9" a="1"/>
  <c r="L73" i="9" s="1"/>
  <c r="J87" i="9"/>
  <c r="Y8" i="9" s="1" a="1"/>
  <c r="Y8" i="9" s="1"/>
  <c r="G112" i="9"/>
  <c r="L70" i="9" a="1"/>
  <c r="L70" i="9" s="1"/>
  <c r="D86" i="9"/>
  <c r="S7" i="9" s="1" a="1"/>
  <c r="S7" i="9" s="1"/>
  <c r="M110" i="9"/>
  <c r="AB31" i="9" s="1" a="1"/>
  <c r="AB31" i="9" s="1"/>
  <c r="H114" i="9"/>
  <c r="W35" i="9" s="1" a="1"/>
  <c r="W35" i="9" s="1"/>
  <c r="M76" i="9" a="1"/>
  <c r="M76" i="9" s="1"/>
  <c r="G94" i="9"/>
  <c r="K62" i="9" a="1"/>
  <c r="K62" i="9" s="1"/>
  <c r="D111" i="9"/>
  <c r="S32" i="9" s="1" a="1"/>
  <c r="S32" i="9" s="1"/>
  <c r="F114" i="9"/>
  <c r="U35" i="9" s="1" a="1"/>
  <c r="U35" i="9" s="1"/>
  <c r="H110" i="9"/>
  <c r="W31" i="9" s="1" a="1"/>
  <c r="W31" i="9" s="1"/>
  <c r="I87" i="9"/>
  <c r="X8" i="9" s="1" a="1"/>
  <c r="X8" i="9" s="1"/>
  <c r="C86" i="9"/>
  <c r="R7" i="9" s="1" a="1"/>
  <c r="R7" i="9" s="1"/>
  <c r="M50" i="9" a="1"/>
  <c r="M50" i="9" s="1"/>
  <c r="M70" i="9" a="1"/>
  <c r="M70" i="9" s="1"/>
  <c r="J88" i="9"/>
  <c r="Y9" i="9" s="1" a="1"/>
  <c r="Y9" i="9" s="1"/>
  <c r="H71" i="9" a="1"/>
  <c r="H71" i="9" s="1"/>
  <c r="O94" i="9"/>
  <c r="O72" i="9"/>
  <c r="F96" i="9"/>
  <c r="U17" i="9" s="1" a="1"/>
  <c r="U17" i="9" s="1"/>
  <c r="L75" i="9" a="1"/>
  <c r="L75" i="9" s="1"/>
  <c r="I88" i="9"/>
  <c r="X9" i="9" s="1" a="1"/>
  <c r="X9" i="9" s="1"/>
  <c r="B12" i="9"/>
  <c r="C85" i="9"/>
  <c r="R6" i="9" s="1" a="1"/>
  <c r="R6" i="9" s="1"/>
  <c r="M77" i="9" a="1"/>
  <c r="M77" i="9" s="1"/>
  <c r="H59" i="9" a="1"/>
  <c r="H59" i="9" s="1"/>
  <c r="I67" i="9" a="1"/>
  <c r="I67" i="9" s="1"/>
  <c r="K87" i="9"/>
  <c r="Z8" i="9" s="1" a="1"/>
  <c r="Z8" i="9" s="1"/>
  <c r="H91" i="9"/>
  <c r="W12" i="9" s="1" a="1"/>
  <c r="W12" i="9" s="1"/>
  <c r="K105" i="9"/>
  <c r="Z26" i="9" s="1" a="1"/>
  <c r="Z26" i="9" s="1"/>
  <c r="I94" i="9"/>
  <c r="X15" i="9" s="1" a="1"/>
  <c r="X15" i="9" s="1"/>
  <c r="K55" i="9" a="1"/>
  <c r="K55" i="9" s="1"/>
  <c r="M63" i="9" a="1"/>
  <c r="M63" i="9" s="1"/>
  <c r="J85" i="9"/>
  <c r="Y6" i="9" s="1" a="1"/>
  <c r="Y6" i="9" s="1"/>
  <c r="M113" i="9"/>
  <c r="AB34" i="9" s="1" a="1"/>
  <c r="AB34" i="9" s="1"/>
  <c r="E99" i="9"/>
  <c r="T20" i="9" s="1" a="1"/>
  <c r="T20" i="9" s="1"/>
  <c r="C104" i="9"/>
  <c r="R25" i="9" s="1" a="1"/>
  <c r="R25" i="9" s="1"/>
  <c r="O112" i="9"/>
  <c r="AD33" i="9" s="1"/>
  <c r="L61" i="9" a="1"/>
  <c r="L61" i="9" s="1"/>
  <c r="G87" i="9"/>
  <c r="V8" i="9" s="1" a="1"/>
  <c r="V8" i="9" s="1"/>
  <c r="D94" i="9"/>
  <c r="S15" i="9" s="1" a="1"/>
  <c r="S15" i="9" s="1"/>
  <c r="G74" i="9" a="1"/>
  <c r="G74" i="9" s="1"/>
  <c r="G101" i="9"/>
  <c r="I96" i="9"/>
  <c r="X17" i="9" s="1" a="1"/>
  <c r="X17" i="9" s="1"/>
  <c r="I60" i="9" a="1"/>
  <c r="I60" i="9" s="1"/>
  <c r="H98" i="9"/>
  <c r="K56" i="9" a="1"/>
  <c r="K56" i="9" s="1"/>
  <c r="L107" i="9"/>
  <c r="AA28" i="9" s="1" a="1"/>
  <c r="AA28" i="9" s="1"/>
  <c r="C90" i="9"/>
  <c r="R11" i="9" s="1" a="1"/>
  <c r="R11" i="9" s="1"/>
  <c r="G78" i="9" a="1"/>
  <c r="G78" i="9" s="1"/>
  <c r="J62" i="9" a="1"/>
  <c r="J62" i="9" s="1"/>
  <c r="F100" i="9"/>
  <c r="U21" i="9" s="1" a="1"/>
  <c r="U21" i="9" s="1"/>
  <c r="O113" i="9"/>
  <c r="AD34" i="9" s="1"/>
  <c r="M106" i="9"/>
  <c r="AB27" i="9" s="1" a="1"/>
  <c r="AB27" i="9" s="1"/>
  <c r="M71" i="9" a="1"/>
  <c r="M71" i="9" s="1"/>
  <c r="F85" i="9"/>
  <c r="U6" i="9" s="1" a="1"/>
  <c r="U6" i="9" s="1"/>
  <c r="H109" i="9"/>
  <c r="W30" i="9" s="1" a="1"/>
  <c r="W30" i="9" s="1"/>
  <c r="H86" i="9"/>
  <c r="W7" i="9" s="1" a="1"/>
  <c r="W7" i="9" s="1"/>
  <c r="I76" i="9" a="1"/>
  <c r="I76" i="9" s="1"/>
  <c r="L93" i="9"/>
  <c r="AA14" i="9" s="1" a="1"/>
  <c r="AA14" i="9" s="1"/>
  <c r="L54" i="9" a="1"/>
  <c r="L54" i="9" s="1"/>
  <c r="M87" i="9"/>
  <c r="AB8" i="9" s="1" a="1"/>
  <c r="AB8" i="9" s="1"/>
  <c r="M92" i="9"/>
  <c r="AB13" i="9" s="1" a="1"/>
  <c r="AB13" i="9" s="1"/>
  <c r="H61" i="9" a="1"/>
  <c r="H61" i="9" s="1"/>
  <c r="O111" i="9"/>
  <c r="AD32" i="9" s="1"/>
  <c r="H56" i="9" a="1"/>
  <c r="H56" i="9" s="1"/>
  <c r="O52" i="9"/>
  <c r="H66" i="9" a="1"/>
  <c r="H66" i="9" s="1"/>
  <c r="G55" i="9" a="1"/>
  <c r="G55" i="9" s="1"/>
  <c r="K107" i="9"/>
  <c r="Z28" i="9" s="1" a="1"/>
  <c r="Z28" i="9" s="1"/>
  <c r="D87" i="9"/>
  <c r="S8" i="9" s="1" a="1"/>
  <c r="S8" i="9" s="1"/>
  <c r="G104" i="9"/>
  <c r="V25" i="9" s="1" a="1"/>
  <c r="V25" i="9" s="1"/>
  <c r="K68" i="9" a="1"/>
  <c r="K68" i="9" s="1"/>
  <c r="L112" i="9"/>
  <c r="AA33" i="9" s="1" a="1"/>
  <c r="AA33" i="9" s="1"/>
  <c r="G96" i="9"/>
  <c r="G52" i="9" a="1"/>
  <c r="G52" i="9" s="1"/>
  <c r="K104" i="9"/>
  <c r="Z25" i="9" s="1" a="1"/>
  <c r="Z25" i="9" s="1"/>
  <c r="H103" i="9"/>
  <c r="W24" i="9" s="1" a="1"/>
  <c r="W24" i="9" s="1"/>
  <c r="I111" i="9"/>
  <c r="X32" i="9" s="1" a="1"/>
  <c r="X32" i="9" s="1"/>
  <c r="B49" i="9"/>
  <c r="F111" i="9"/>
  <c r="U32" i="9" s="1" a="1"/>
  <c r="U32" i="9" s="1"/>
  <c r="O63" i="9"/>
  <c r="M73" i="9" a="1"/>
  <c r="M73" i="9" s="1"/>
  <c r="B10" i="9"/>
  <c r="K100" i="9"/>
  <c r="Z21" i="9" s="1" a="1"/>
  <c r="Z21" i="9" s="1"/>
  <c r="I104" i="9"/>
  <c r="X25" i="9" s="1" a="1"/>
  <c r="X25" i="9" s="1"/>
  <c r="K76" i="9" a="1"/>
  <c r="K76" i="9" s="1"/>
  <c r="M74" i="9" a="1"/>
  <c r="M74" i="9" s="1"/>
  <c r="C93" i="9"/>
  <c r="R14" i="9" s="1" a="1"/>
  <c r="R14" i="9" s="1"/>
  <c r="G50" i="9" a="1"/>
  <c r="G50" i="9" s="1"/>
  <c r="L88" i="9"/>
  <c r="AA9" i="9" s="1" a="1"/>
  <c r="AA9" i="9" s="1"/>
  <c r="L76" i="9" a="1"/>
  <c r="L76" i="9" s="1"/>
  <c r="G73" i="9" a="1"/>
  <c r="G73" i="9" s="1"/>
  <c r="I51" i="9" a="1"/>
  <c r="I51" i="9" s="1"/>
  <c r="J68" i="9" a="1"/>
  <c r="J68" i="9" s="1"/>
  <c r="B9" i="9"/>
  <c r="J51" i="9" a="1"/>
  <c r="J51" i="9" s="1"/>
  <c r="L98" i="9"/>
  <c r="AA19" i="9" s="1" a="1"/>
  <c r="AA19" i="9" s="1"/>
  <c r="I72" i="9" a="1"/>
  <c r="I72" i="9" s="1"/>
  <c r="M103" i="9"/>
  <c r="AB24" i="9" s="1" a="1"/>
  <c r="AB24" i="9" s="1"/>
  <c r="O88" i="9"/>
  <c r="AD9" i="9" s="1"/>
  <c r="J61" i="9" a="1"/>
  <c r="J61" i="9" s="1"/>
  <c r="L50" i="9" a="1"/>
  <c r="L50" i="9" s="1"/>
  <c r="H79" i="9" a="1"/>
  <c r="H79" i="9" s="1"/>
  <c r="H106" i="9"/>
  <c r="W27" i="9" s="1" a="1"/>
  <c r="W27" i="9" s="1"/>
  <c r="H54" i="9" a="1"/>
  <c r="H54" i="9" s="1"/>
  <c r="H94" i="9"/>
  <c r="W15" i="9" s="1" a="1"/>
  <c r="W15" i="9" s="1"/>
  <c r="L85" i="9"/>
  <c r="AA6" i="9" s="1" a="1"/>
  <c r="AA6" i="9" s="1"/>
  <c r="C100" i="9"/>
  <c r="R21" i="9" s="1" a="1"/>
  <c r="R21" i="9" s="1"/>
  <c r="L108" i="9"/>
  <c r="AA29" i="9" s="1" a="1"/>
  <c r="AA29" i="9" s="1"/>
  <c r="J102" i="9"/>
  <c r="Y23" i="9" s="1" a="1"/>
  <c r="Y23" i="9" s="1"/>
  <c r="M107" i="9"/>
  <c r="AB28" i="9" s="1" a="1"/>
  <c r="AB28" i="9" s="1"/>
  <c r="M98" i="9"/>
  <c r="AB19" i="9" s="1" a="1"/>
  <c r="AB19" i="9" s="1"/>
  <c r="E111" i="9"/>
  <c r="T32" i="9" s="1" a="1"/>
  <c r="T32" i="9" s="1"/>
  <c r="C107" i="9"/>
  <c r="R28" i="9" s="1" a="1"/>
  <c r="R28" i="9" s="1"/>
  <c r="L55" i="9" a="1"/>
  <c r="L55" i="9" s="1"/>
  <c r="M59" i="9" a="1"/>
  <c r="M59" i="9" s="1"/>
  <c r="J56" i="9" a="1"/>
  <c r="J56" i="9" s="1"/>
  <c r="K91" i="9"/>
  <c r="Z12" i="9" s="1" a="1"/>
  <c r="Z12" i="9" s="1"/>
  <c r="J73" i="9" a="1"/>
  <c r="J73" i="9" s="1"/>
  <c r="K88" i="9"/>
  <c r="Z9" i="9" s="1" a="1"/>
  <c r="Z9" i="9" s="1"/>
  <c r="G114" i="9"/>
  <c r="V35" i="9" s="1" a="1"/>
  <c r="V35" i="9" s="1"/>
  <c r="K69" i="9" a="1"/>
  <c r="K69" i="9" s="1"/>
  <c r="M52" i="9" a="1"/>
  <c r="M52" i="9" s="1"/>
  <c r="O68" i="9"/>
  <c r="C92" i="9"/>
  <c r="R13" i="9" s="1" a="1"/>
  <c r="R13" i="9" s="1"/>
  <c r="K60" i="9" a="1"/>
  <c r="K60" i="9" s="1"/>
  <c r="I92" i="9"/>
  <c r="X13" i="9" s="1" a="1"/>
  <c r="X13" i="9" s="1"/>
  <c r="H72" i="9" a="1"/>
  <c r="H72" i="9" s="1"/>
  <c r="J100" i="9"/>
  <c r="Y21" i="9" s="1" a="1"/>
  <c r="Y21" i="9" s="1"/>
  <c r="H107" i="9"/>
  <c r="W28" i="9" s="1" a="1"/>
  <c r="W28" i="9" s="1"/>
  <c r="M58" i="9" a="1"/>
  <c r="M58" i="9" s="1"/>
  <c r="O100" i="9"/>
  <c r="AD21" i="9" s="1"/>
  <c r="F87" i="9"/>
  <c r="U8" i="9" s="1" a="1"/>
  <c r="U8" i="9" s="1"/>
  <c r="H112" i="9"/>
  <c r="W33" i="9" s="1" a="1"/>
  <c r="W33" i="9" s="1"/>
  <c r="J91" i="9"/>
  <c r="Y12" i="9" s="1" a="1"/>
  <c r="Y12" i="9" s="1"/>
  <c r="H68" i="9" a="1"/>
  <c r="H68" i="9" s="1"/>
  <c r="B6" i="9"/>
  <c r="M99" i="9"/>
  <c r="AB20" i="9" s="1" a="1"/>
  <c r="AB20" i="9" s="1"/>
  <c r="I100" i="9"/>
  <c r="X21" i="9" s="1" a="1"/>
  <c r="X21" i="9" s="1"/>
  <c r="E95" i="9"/>
  <c r="T16" i="9" s="1" a="1"/>
  <c r="T16" i="9" s="1"/>
  <c r="L65" i="9" a="1"/>
  <c r="L65" i="9" s="1"/>
  <c r="C97" i="9"/>
  <c r="R18" i="9" s="1" a="1"/>
  <c r="R18" i="9" s="1"/>
  <c r="B13" i="9"/>
  <c r="K109" i="9"/>
  <c r="Z30" i="9" s="1" a="1"/>
  <c r="Z30" i="9" s="1"/>
  <c r="D109" i="9"/>
  <c r="S30" i="9" s="1" a="1"/>
  <c r="S30" i="9" s="1"/>
  <c r="I93" i="9"/>
  <c r="X14" i="9" s="1" a="1"/>
  <c r="X14" i="9" s="1"/>
  <c r="M112" i="9"/>
  <c r="AB33" i="9" s="1" a="1"/>
  <c r="AB33" i="9" s="1"/>
  <c r="L52" i="9" a="1"/>
  <c r="L52" i="9" s="1"/>
  <c r="O62" i="9"/>
  <c r="K75" i="9" a="1"/>
  <c r="K75" i="9" s="1"/>
  <c r="K92" i="9"/>
  <c r="Z13" i="9" s="1" a="1"/>
  <c r="Z13" i="9" s="1"/>
  <c r="L74" i="9" a="1"/>
  <c r="L74" i="9" s="1"/>
  <c r="M100" i="9"/>
  <c r="AB21" i="9" s="1" a="1"/>
  <c r="AB21" i="9" s="1"/>
  <c r="L66" i="9" a="1"/>
  <c r="L66" i="9" s="1"/>
  <c r="C88" i="9"/>
  <c r="R9" i="9" s="1" a="1"/>
  <c r="R9" i="9" s="1"/>
  <c r="K108" i="9"/>
  <c r="Z29" i="9" s="1" a="1"/>
  <c r="Z29" i="9" s="1"/>
  <c r="F95" i="9"/>
  <c r="U16" i="9" s="1" a="1"/>
  <c r="U16" i="9" s="1"/>
  <c r="B8" i="9"/>
  <c r="D95" i="9"/>
  <c r="S16" i="9" s="1" a="1"/>
  <c r="S16" i="9" s="1"/>
  <c r="M96" i="9"/>
  <c r="AB17" i="9" s="1" a="1"/>
  <c r="AB17" i="9" s="1"/>
  <c r="J107" i="9"/>
  <c r="Y28" i="9" s="1" a="1"/>
  <c r="Y28" i="9" s="1"/>
  <c r="G66" i="9" a="1"/>
  <c r="G66" i="9" s="1"/>
  <c r="L79" i="9" a="1"/>
  <c r="L79" i="9" s="1"/>
  <c r="F108" i="9"/>
  <c r="U29" i="9" s="1" a="1"/>
  <c r="U29" i="9" s="1"/>
  <c r="C110" i="9"/>
  <c r="R31" i="9" s="1" a="1"/>
  <c r="R31" i="9" s="1"/>
  <c r="K103" i="9"/>
  <c r="Z24" i="9" s="1" a="1"/>
  <c r="Z24" i="9" s="1"/>
  <c r="F86" i="9"/>
  <c r="U7" i="9" s="1" a="1"/>
  <c r="U7" i="9" s="1"/>
  <c r="J111" i="9"/>
  <c r="Y32" i="9" s="1" a="1"/>
  <c r="Y32" i="9" s="1"/>
  <c r="J76" i="9" a="1"/>
  <c r="J76" i="9" s="1"/>
  <c r="D102" i="9"/>
  <c r="S23" i="9" s="1" a="1"/>
  <c r="S23" i="9" s="1"/>
  <c r="O95" i="9"/>
  <c r="AD16" i="9" s="1"/>
  <c r="J77" i="9" a="1"/>
  <c r="J77" i="9" s="1"/>
  <c r="K51" i="9" a="1"/>
  <c r="K51" i="9" s="1"/>
  <c r="L113" i="9"/>
  <c r="AA34" i="9" s="1" a="1"/>
  <c r="AA34" i="9" s="1"/>
  <c r="J55" i="9" a="1"/>
  <c r="J55" i="9" s="1"/>
  <c r="M78" i="9" a="1"/>
  <c r="M78" i="9" s="1"/>
  <c r="I97" i="9"/>
  <c r="X18" i="9" s="1" a="1"/>
  <c r="X18" i="9" s="1"/>
  <c r="K63" i="9" a="1"/>
  <c r="K63" i="9" s="1"/>
  <c r="G72" i="9" a="1"/>
  <c r="G72" i="9" s="1"/>
  <c r="C114" i="9"/>
  <c r="R35" i="9" s="1" a="1"/>
  <c r="R35" i="9" s="1"/>
  <c r="F90" i="9"/>
  <c r="U11" i="9" s="1" a="1"/>
  <c r="U11" i="9" s="1"/>
  <c r="J89" i="9"/>
  <c r="Y10" i="9" s="1" a="1"/>
  <c r="Y10" i="9" s="1"/>
  <c r="G109" i="9"/>
  <c r="V30" i="9" s="1" a="1"/>
  <c r="V30" i="9" s="1"/>
  <c r="E88" i="9"/>
  <c r="T9" i="9" s="1" a="1"/>
  <c r="T9" i="9" s="1"/>
  <c r="M105" i="9"/>
  <c r="AB26" i="9" s="1" a="1"/>
  <c r="AB26" i="9" s="1"/>
  <c r="J60" i="9" a="1"/>
  <c r="J60" i="9" s="1"/>
  <c r="H96" i="9"/>
  <c r="W17" i="9" s="1" a="1"/>
  <c r="W17" i="9" s="1"/>
  <c r="C103" i="9"/>
  <c r="R24" i="9" s="1" a="1"/>
  <c r="R24" i="9" s="1"/>
  <c r="L78" i="9" a="1"/>
  <c r="L78" i="9" s="1"/>
  <c r="E113" i="9"/>
  <c r="T34" i="9" s="1" a="1"/>
  <c r="T34" i="9" s="1"/>
  <c r="O59" i="9"/>
  <c r="H65" i="9" a="1"/>
  <c r="H65" i="9" s="1"/>
  <c r="K72" i="9" a="1"/>
  <c r="K72" i="9" s="1"/>
  <c r="G105" i="9"/>
  <c r="V26" i="9" s="1" a="1"/>
  <c r="V26" i="9" s="1"/>
  <c r="H58" i="9" a="1"/>
  <c r="H58" i="9" s="1"/>
  <c r="J114" i="9"/>
  <c r="Y35" i="9" s="1" a="1"/>
  <c r="Y35" i="9" s="1"/>
  <c r="G95" i="9"/>
  <c r="V16" i="9" s="1" a="1"/>
  <c r="V16" i="9" s="1"/>
  <c r="I57" i="9" a="1"/>
  <c r="I57" i="9" s="1"/>
  <c r="G85" i="9"/>
  <c r="V6" i="9" s="1" a="1"/>
  <c r="V6" i="9" s="1"/>
  <c r="O64" i="9"/>
  <c r="F113" i="9"/>
  <c r="U34" i="9" s="1" a="1"/>
  <c r="U34" i="9" s="1"/>
  <c r="M102" i="9"/>
  <c r="AB23" i="9" s="1" a="1"/>
  <c r="AB23" i="9" s="1"/>
  <c r="G60" i="9" a="1"/>
  <c r="G60" i="9" s="1"/>
  <c r="C106" i="9"/>
  <c r="R27" i="9" s="1" a="1"/>
  <c r="R27" i="9" s="1"/>
  <c r="M51" i="9" a="1"/>
  <c r="M51" i="9" s="1"/>
  <c r="H62" i="9" a="1"/>
  <c r="H62" i="9" s="1"/>
  <c r="J67" i="9" a="1"/>
  <c r="J67" i="9" s="1"/>
  <c r="K79" i="9" a="1"/>
  <c r="K79" i="9" s="1"/>
  <c r="D97" i="9"/>
  <c r="S18" i="9" s="1" a="1"/>
  <c r="S18" i="9" s="1"/>
  <c r="I55" i="9" a="1"/>
  <c r="I55" i="9" s="1"/>
  <c r="M108" i="9"/>
  <c r="AB29" i="9" s="1" a="1"/>
  <c r="AB29" i="9" s="1"/>
  <c r="L102" i="9"/>
  <c r="AA23" i="9" s="1" a="1"/>
  <c r="AA23" i="9" s="1"/>
  <c r="K98" i="9"/>
  <c r="Z19" i="9" s="1" a="1"/>
  <c r="Z19" i="9" s="1"/>
  <c r="H102" i="9"/>
  <c r="W23" i="9" s="1" a="1"/>
  <c r="W23" i="9" s="1"/>
  <c r="E90" i="9"/>
  <c r="T11" i="9" s="1" a="1"/>
  <c r="T11" i="9" s="1"/>
  <c r="D90" i="9"/>
  <c r="S11" i="9" s="1" a="1"/>
  <c r="S11" i="9" s="1"/>
  <c r="J63" i="9" a="1"/>
  <c r="J63" i="9" s="1"/>
  <c r="G89" i="9"/>
  <c r="V10" i="9" s="1" a="1"/>
  <c r="V10" i="9" s="1"/>
  <c r="E114" i="9"/>
  <c r="T35" i="9" s="1" a="1"/>
  <c r="T35" i="9" s="1"/>
  <c r="J54" i="9" a="1"/>
  <c r="J54" i="9" s="1"/>
  <c r="K61" i="9" a="1"/>
  <c r="K61" i="9" s="1"/>
  <c r="M69" i="9" a="1"/>
  <c r="M69" i="9" s="1"/>
  <c r="I54" i="9" a="1"/>
  <c r="I54" i="9" s="1"/>
  <c r="O108" i="9"/>
  <c r="AD29" i="9" s="1"/>
  <c r="I73" i="9" a="1"/>
  <c r="I73" i="9" s="1"/>
  <c r="I112" i="9"/>
  <c r="X33" i="9" s="1" a="1"/>
  <c r="X33" i="9" s="1"/>
  <c r="G69" i="9" a="1"/>
  <c r="G69" i="9" s="1"/>
  <c r="D113" i="9"/>
  <c r="S34" i="9" s="1" a="1"/>
  <c r="S34" i="9" s="1"/>
  <c r="H92" i="9"/>
  <c r="W13" i="9" s="1" a="1"/>
  <c r="W13" i="9" s="1"/>
  <c r="F106" i="9"/>
  <c r="U27" i="9" s="1" a="1"/>
  <c r="U27" i="9" s="1"/>
  <c r="J78" i="9" a="1"/>
  <c r="J78" i="9" s="1"/>
  <c r="C108" i="9"/>
  <c r="R29" i="9" s="1" a="1"/>
  <c r="R29" i="9" s="1"/>
  <c r="F103" i="9"/>
  <c r="U24" i="9" s="1" a="1"/>
  <c r="U24" i="9" s="1"/>
  <c r="I53" i="9" a="1"/>
  <c r="I53" i="9" s="1"/>
  <c r="L96" i="9"/>
  <c r="AA17" i="9" s="1" a="1"/>
  <c r="AA17" i="9" s="1"/>
  <c r="H51" i="9" a="1"/>
  <c r="H51" i="9" s="1"/>
  <c r="O77" i="9"/>
  <c r="I77" i="9" a="1"/>
  <c r="I77" i="9" s="1"/>
  <c r="J72" i="9" a="1"/>
  <c r="J72" i="9" s="1"/>
  <c r="J112" i="9"/>
  <c r="Y33" i="9" s="1" a="1"/>
  <c r="Y33" i="9" s="1"/>
  <c r="J113" i="9"/>
  <c r="Y34" i="9" s="1" a="1"/>
  <c r="Y34" i="9" s="1"/>
  <c r="J105" i="9"/>
  <c r="Y26" i="9" s="1" a="1"/>
  <c r="Y26" i="9" s="1"/>
  <c r="E109" i="9"/>
  <c r="T30" i="9" s="1" a="1"/>
  <c r="T30" i="9" s="1"/>
  <c r="C89" i="9"/>
  <c r="R10" i="9" s="1" a="1"/>
  <c r="R10" i="9" s="1"/>
  <c r="G106" i="9"/>
  <c r="V27" i="9" s="1" a="1"/>
  <c r="V27" i="9" s="1"/>
  <c r="E94" i="9"/>
  <c r="T15" i="9" s="1" a="1"/>
  <c r="T15" i="9" s="1"/>
  <c r="O54" i="9"/>
  <c r="C113" i="9"/>
  <c r="R34" i="9" s="1" a="1"/>
  <c r="R34" i="9" s="1"/>
  <c r="J99" i="9"/>
  <c r="Y20" i="9" s="1" a="1"/>
  <c r="Y20" i="9" s="1"/>
  <c r="G62" i="9" a="1"/>
  <c r="G62" i="9" s="1"/>
  <c r="J64" i="9" a="1"/>
  <c r="J64" i="9" s="1"/>
  <c r="O71" i="9"/>
  <c r="K74" i="9" a="1"/>
  <c r="K74" i="9" s="1"/>
  <c r="L53" i="9" a="1"/>
  <c r="L53" i="9" s="1"/>
  <c r="M95" i="9"/>
  <c r="AB16" i="9" s="1" a="1"/>
  <c r="AB16" i="9" s="1"/>
  <c r="K73" i="9" a="1"/>
  <c r="K73" i="9" s="1"/>
  <c r="O91" i="9"/>
  <c r="AD12" i="9" s="1"/>
  <c r="C109" i="9"/>
  <c r="R30" i="9" s="1" a="1"/>
  <c r="R30" i="9" s="1"/>
  <c r="F89" i="9"/>
  <c r="U10" i="9" s="1" a="1"/>
  <c r="U10" i="9" s="1"/>
  <c r="K78" i="9" a="1"/>
  <c r="K78" i="9" s="1"/>
  <c r="H104" i="9"/>
  <c r="W25" i="9" s="1" a="1"/>
  <c r="W25" i="9" s="1"/>
  <c r="M62" i="9" a="1"/>
  <c r="M62" i="9" s="1"/>
  <c r="E96" i="9"/>
  <c r="T17" i="9" s="1" a="1"/>
  <c r="T17" i="9" s="1"/>
  <c r="K93" i="9"/>
  <c r="Z14" i="9" s="1" a="1"/>
  <c r="Z14" i="9" s="1"/>
  <c r="B11" i="9"/>
  <c r="L51" i="9" a="1"/>
  <c r="L51" i="9" s="1"/>
  <c r="K66" i="9" a="1"/>
  <c r="K66" i="9" s="1"/>
  <c r="E107" i="9"/>
  <c r="T28" i="9" s="1" a="1"/>
  <c r="T28" i="9" s="1"/>
  <c r="L68" i="9" a="1"/>
  <c r="L68" i="9" s="1"/>
  <c r="D92" i="9"/>
  <c r="S13" i="9" s="1" a="1"/>
  <c r="S13" i="9" s="1"/>
  <c r="F97" i="9"/>
  <c r="U18" i="9" s="1" a="1"/>
  <c r="U18" i="9" s="1"/>
  <c r="G58" i="9" a="1"/>
  <c r="G58" i="9" s="1"/>
  <c r="O114" i="9"/>
  <c r="AD35" i="9" s="1"/>
  <c r="I62" i="9" a="1"/>
  <c r="I62" i="9" s="1"/>
  <c r="G111" i="9"/>
  <c r="V32" i="9" s="1" a="1"/>
  <c r="V32" i="9" s="1"/>
  <c r="F104" i="9"/>
  <c r="U25" i="9" s="1" a="1"/>
  <c r="U25" i="9" s="1"/>
  <c r="K95" i="9"/>
  <c r="Z16" i="9" s="1" a="1"/>
  <c r="Z16" i="9" s="1"/>
  <c r="I91" i="9"/>
  <c r="X12" i="9" s="1" a="1"/>
  <c r="X12" i="9" s="1"/>
  <c r="M89" i="9"/>
  <c r="AB10" i="9" s="1" a="1"/>
  <c r="AB10" i="9" s="1"/>
  <c r="L109" i="9"/>
  <c r="AA30" i="9" s="1" a="1"/>
  <c r="AA30" i="9" s="1"/>
  <c r="J90" i="9"/>
  <c r="Y11" i="9" s="1" a="1"/>
  <c r="Y11" i="9" s="1"/>
  <c r="M114" i="9"/>
  <c r="AB35" i="9" s="1" a="1"/>
  <c r="AB35" i="9" s="1"/>
  <c r="J94" i="9"/>
  <c r="Y15" i="9" s="1" a="1"/>
  <c r="Y15" i="9" s="1"/>
  <c r="J53" i="9" a="1"/>
  <c r="J53" i="9" s="1"/>
  <c r="I69" i="9" a="1"/>
  <c r="I69" i="9" s="1"/>
  <c r="M86" i="9"/>
  <c r="AB7" i="9" s="1" a="1"/>
  <c r="AB7" i="9" s="1"/>
  <c r="L95" i="9"/>
  <c r="AA16" i="9" s="1" a="1"/>
  <c r="AA16" i="9" s="1"/>
  <c r="L67" i="9" a="1"/>
  <c r="L67" i="9" s="1"/>
  <c r="M101" i="9"/>
  <c r="AB22" i="9" s="1" a="1"/>
  <c r="AB22" i="9" s="1"/>
  <c r="I68" i="9" a="1"/>
  <c r="I68" i="9" s="1"/>
  <c r="M79" i="9" a="1"/>
  <c r="M79" i="9" s="1"/>
  <c r="O55" i="9"/>
  <c r="L64" i="9" a="1"/>
  <c r="L64" i="9" s="1"/>
  <c r="F94" i="9"/>
  <c r="U15" i="9" s="1" a="1"/>
  <c r="U15" i="9" s="1"/>
  <c r="E104" i="9"/>
  <c r="T25" i="9" s="1" a="1"/>
  <c r="T25" i="9" s="1"/>
  <c r="D96" i="9"/>
  <c r="S17" i="9" s="1" a="1"/>
  <c r="S17" i="9" s="1"/>
  <c r="I107" i="9"/>
  <c r="X28" i="9" s="1" a="1"/>
  <c r="X28" i="9" s="1"/>
  <c r="O98" i="9"/>
  <c r="AD19" i="9" s="1"/>
  <c r="H87" i="9"/>
  <c r="W8" i="9" s="1" a="1"/>
  <c r="W8" i="9" s="1"/>
  <c r="G64" i="9" a="1"/>
  <c r="G64" i="9" s="1"/>
  <c r="H57" i="9" a="1"/>
  <c r="H57" i="9" s="1"/>
  <c r="I113" i="9"/>
  <c r="X34" i="9" s="1" a="1"/>
  <c r="X34" i="9" s="1"/>
  <c r="D104" i="9"/>
  <c r="S25" i="9" s="1" a="1"/>
  <c r="S25" i="9" s="1"/>
  <c r="E92" i="9"/>
  <c r="T13" i="9" s="1" a="1"/>
  <c r="T13" i="9" s="1"/>
  <c r="D108" i="9"/>
  <c r="S29" i="9" s="1" a="1"/>
  <c r="S29" i="9" s="1"/>
  <c r="V12" i="9" a="1"/>
  <c r="V12" i="9" s="1"/>
  <c r="C95" i="9"/>
  <c r="R16" i="9" s="1" a="1"/>
  <c r="R16" i="9" s="1"/>
  <c r="I114" i="9"/>
  <c r="X35" i="9" s="1" a="1"/>
  <c r="X35" i="9" s="1"/>
  <c r="G97" i="9"/>
  <c r="E105" i="9"/>
  <c r="T26" i="9" s="1" a="1"/>
  <c r="T26" i="9" s="1"/>
  <c r="K112" i="9"/>
  <c r="Z33" i="9" s="1" a="1"/>
  <c r="Z33" i="9" s="1"/>
  <c r="K58" i="9" a="1"/>
  <c r="K58" i="9" s="1"/>
  <c r="K53" i="9" a="1"/>
  <c r="K53" i="9" s="1"/>
  <c r="O96" i="9"/>
  <c r="AD17" i="9" s="1"/>
  <c r="H90" i="9"/>
  <c r="W11" i="9" s="1" a="1"/>
  <c r="W11" i="9" s="1"/>
  <c r="I101" i="9"/>
  <c r="X22" i="9" s="1" a="1"/>
  <c r="X22" i="9" s="1"/>
  <c r="J74" i="9" a="1"/>
  <c r="J74" i="9" s="1"/>
  <c r="L90" i="9"/>
  <c r="AA11" i="9" s="1" a="1"/>
  <c r="AA11" i="9" s="1"/>
  <c r="D91" i="9"/>
  <c r="S12" i="9" s="1" a="1"/>
  <c r="S12" i="9" s="1"/>
  <c r="J109" i="9"/>
  <c r="Y30" i="9" s="1" a="1"/>
  <c r="Y30" i="9" s="1"/>
  <c r="I78" i="9" a="1"/>
  <c r="I78" i="9" s="1"/>
  <c r="O75" i="9"/>
  <c r="E86" i="9"/>
  <c r="T7" i="9" s="1" a="1"/>
  <c r="T7" i="9" s="1"/>
  <c r="H85" i="9"/>
  <c r="W6" i="9" s="1" a="1"/>
  <c r="W6" i="9" s="1"/>
  <c r="O74" i="9"/>
  <c r="C94" i="9"/>
  <c r="R15" i="9" s="1" a="1"/>
  <c r="R15" i="9" s="1"/>
  <c r="O104" i="9"/>
  <c r="AD25" i="9" s="1"/>
  <c r="C99" i="9"/>
  <c r="R20" i="9" s="1" a="1"/>
  <c r="R20" i="9" s="1"/>
  <c r="I86" i="9"/>
  <c r="X7" i="9" s="1" a="1"/>
  <c r="X7" i="9" s="1"/>
  <c r="G113" i="9"/>
  <c r="O65" i="9"/>
  <c r="O101" i="9"/>
  <c r="AD22" i="9" s="1"/>
  <c r="K52" i="9" a="1"/>
  <c r="K52" i="9" s="1"/>
  <c r="J110" i="9"/>
  <c r="Y31" i="9" s="1" a="1"/>
  <c r="Y31" i="9" s="1"/>
  <c r="K111" i="9"/>
  <c r="Z32" i="9" s="1" a="1"/>
  <c r="Z32" i="9" s="1"/>
  <c r="H75" i="9" a="1"/>
  <c r="H75" i="9" s="1"/>
  <c r="G77" i="9" a="1"/>
  <c r="G77" i="9" s="1"/>
  <c r="R26" i="9" a="1"/>
  <c r="R26" i="9" s="1"/>
  <c r="H50" i="9" a="1"/>
  <c r="H50" i="9" s="1"/>
  <c r="J70" i="9" a="1"/>
  <c r="J70" i="9" s="1"/>
  <c r="M60" i="9" a="1"/>
  <c r="M60" i="9" s="1"/>
  <c r="I71" i="9" a="1"/>
  <c r="I71" i="9" s="1"/>
  <c r="I74" i="9" a="1"/>
  <c r="I74" i="9" s="1"/>
  <c r="A24" i="20"/>
  <c r="A31" i="20"/>
  <c r="A8" i="20"/>
  <c r="A26" i="20"/>
  <c r="A13" i="20"/>
  <c r="A7" i="20"/>
  <c r="A16" i="20"/>
  <c r="A6" i="20"/>
  <c r="A3" i="20"/>
  <c r="A10" i="20"/>
  <c r="A17" i="20"/>
  <c r="A11" i="20"/>
  <c r="A18" i="20"/>
  <c r="A32" i="20"/>
  <c r="A28" i="20"/>
  <c r="A19" i="20"/>
  <c r="A25" i="20"/>
  <c r="Q5" i="9"/>
  <c r="AD15" i="9"/>
  <c r="A4" i="20"/>
  <c r="F26" i="15"/>
  <c r="H9" i="15"/>
  <c r="H19" i="15"/>
  <c r="E65" i="7"/>
  <c r="H21" i="7"/>
  <c r="D508" i="17"/>
  <c r="K5" i="17" s="1"/>
  <c r="C508" i="17"/>
  <c r="K4" i="17" s="1"/>
  <c r="N5" i="17"/>
  <c r="C12" i="10"/>
  <c r="H19" i="7"/>
  <c r="H20" i="7"/>
  <c r="I37" i="12"/>
  <c r="E44" i="18"/>
  <c r="D42" i="14"/>
  <c r="C10" i="8" s="1"/>
  <c r="C43" i="12"/>
  <c r="J43" i="14"/>
  <c r="C12" i="8" s="1"/>
  <c r="D44" i="18"/>
  <c r="G26" i="15"/>
  <c r="D2" i="2"/>
  <c r="B12" i="20" l="1"/>
  <c r="B14" i="20"/>
  <c r="B7" i="20"/>
  <c r="B30" i="20"/>
  <c r="B11" i="20"/>
  <c r="B10" i="20"/>
  <c r="B22" i="20"/>
  <c r="B18" i="20"/>
  <c r="B5" i="20"/>
  <c r="N7" i="17"/>
  <c r="C19" i="10" s="1"/>
  <c r="B16" i="20"/>
  <c r="B21" i="20"/>
  <c r="B32" i="20"/>
  <c r="B3" i="20"/>
  <c r="B25" i="20"/>
  <c r="B8" i="20"/>
  <c r="B26" i="20"/>
  <c r="B20" i="20"/>
  <c r="B24" i="20"/>
  <c r="B23" i="20"/>
  <c r="B4" i="20"/>
  <c r="B19" i="20"/>
  <c r="B17" i="20"/>
  <c r="B27" i="20"/>
  <c r="B9" i="20"/>
  <c r="B28" i="20"/>
  <c r="B6" i="20"/>
  <c r="B29" i="20"/>
  <c r="B31" i="20"/>
  <c r="B15" i="20"/>
  <c r="B13" i="20"/>
  <c r="E9" i="8"/>
  <c r="E4" i="8"/>
  <c r="C18" i="9"/>
  <c r="E10" i="8"/>
  <c r="E7" i="8"/>
  <c r="E6" i="8"/>
  <c r="E13" i="8"/>
  <c r="E8" i="8"/>
  <c r="E5" i="8"/>
  <c r="E12" i="8"/>
  <c r="E7" i="9" a="1"/>
  <c r="E7" i="9" s="1"/>
  <c r="K6" i="17"/>
  <c r="H26" i="15"/>
  <c r="H169" i="1"/>
  <c r="H164" i="1"/>
  <c r="H94" i="1"/>
  <c r="H92" i="1"/>
  <c r="H97" i="1"/>
  <c r="H101" i="1"/>
  <c r="H135" i="1"/>
  <c r="H79" i="1"/>
  <c r="H91" i="1"/>
  <c r="H87" i="1"/>
  <c r="H96" i="1"/>
  <c r="H88" i="1"/>
  <c r="H95" i="1"/>
  <c r="E18" i="19" a="1"/>
  <c r="E18" i="19" s="1"/>
  <c r="AC36" i="9"/>
  <c r="N115" i="9"/>
  <c r="P115" i="9" s="1"/>
  <c r="N59" i="9"/>
  <c r="P59" i="9" s="1"/>
  <c r="N67" i="9"/>
  <c r="P67" i="9" s="1"/>
  <c r="N97" i="9"/>
  <c r="P97" i="9" s="1"/>
  <c r="N73" i="9"/>
  <c r="P73" i="9" s="1"/>
  <c r="N65" i="9"/>
  <c r="P65" i="9" s="1"/>
  <c r="N72" i="9"/>
  <c r="P72" i="9" s="1"/>
  <c r="N78" i="9"/>
  <c r="P78" i="9" s="1"/>
  <c r="N68" i="9"/>
  <c r="P68" i="9" s="1"/>
  <c r="N63" i="9"/>
  <c r="P63" i="9" s="1"/>
  <c r="N57" i="9"/>
  <c r="P57" i="9" s="1"/>
  <c r="N79" i="9"/>
  <c r="N60" i="9"/>
  <c r="P60" i="9" s="1"/>
  <c r="N56" i="9"/>
  <c r="P56" i="9" s="1"/>
  <c r="N50" i="9"/>
  <c r="P50" i="9" s="1"/>
  <c r="N77" i="9"/>
  <c r="P77" i="9" s="1"/>
  <c r="N53" i="9"/>
  <c r="P53" i="9" s="1"/>
  <c r="N66" i="9"/>
  <c r="P66" i="9" s="1"/>
  <c r="N70" i="9"/>
  <c r="P70" i="9" s="1"/>
  <c r="N54" i="9"/>
  <c r="P54" i="9" s="1"/>
  <c r="N61" i="9"/>
  <c r="P61" i="9" s="1"/>
  <c r="D10" i="19" a="1"/>
  <c r="D10" i="19" s="1"/>
  <c r="AC28" i="9"/>
  <c r="AE28" i="9" s="1"/>
  <c r="C25" i="20" s="1"/>
  <c r="N69" i="9"/>
  <c r="P69" i="9" s="1"/>
  <c r="AC13" i="9"/>
  <c r="AE13" i="9" s="1"/>
  <c r="C10" i="20" s="1"/>
  <c r="N64" i="9"/>
  <c r="P64" i="9" s="1"/>
  <c r="N98" i="9"/>
  <c r="P98" i="9" s="1"/>
  <c r="AC8" i="9"/>
  <c r="AE8" i="9" s="1"/>
  <c r="C5" i="20" s="1"/>
  <c r="N75" i="9"/>
  <c r="P75" i="9" s="1"/>
  <c r="AC12" i="9"/>
  <c r="AE12" i="9" s="1"/>
  <c r="C9" i="20" s="1"/>
  <c r="AC26" i="9"/>
  <c r="AE26" i="9" s="1"/>
  <c r="C23" i="20" s="1"/>
  <c r="C4" i="9"/>
  <c r="E4" i="9"/>
  <c r="AC23" i="9"/>
  <c r="AE23" i="9" s="1"/>
  <c r="C20" i="20" s="1"/>
  <c r="N52" i="9"/>
  <c r="P52" i="9" s="1"/>
  <c r="N58" i="9"/>
  <c r="P58" i="9" s="1"/>
  <c r="N91" i="9"/>
  <c r="P91" i="9" s="1"/>
  <c r="N71" i="9"/>
  <c r="P71" i="9" s="1"/>
  <c r="AC31" i="9"/>
  <c r="AE31" i="9" s="1"/>
  <c r="C28" i="20" s="1"/>
  <c r="N112" i="9"/>
  <c r="P112" i="9" s="1"/>
  <c r="N62" i="9"/>
  <c r="P62" i="9" s="1"/>
  <c r="AC35" i="9"/>
  <c r="AE35" i="9" s="1"/>
  <c r="C32" i="20" s="1"/>
  <c r="N76" i="9"/>
  <c r="P76" i="9" s="1"/>
  <c r="N51" i="9"/>
  <c r="P51" i="9" s="1"/>
  <c r="AC25" i="9"/>
  <c r="AE25" i="9" s="1"/>
  <c r="C22" i="20" s="1"/>
  <c r="E5" i="9"/>
  <c r="C5" i="9"/>
  <c r="N74" i="9"/>
  <c r="P74" i="9" s="1"/>
  <c r="N55" i="9"/>
  <c r="P55" i="9" s="1"/>
  <c r="AC30" i="9"/>
  <c r="AE30" i="9" s="1"/>
  <c r="C27" i="20" s="1"/>
  <c r="AC29" i="9"/>
  <c r="AE29" i="9" s="1"/>
  <c r="C26" i="20" s="1"/>
  <c r="AC10" i="9"/>
  <c r="AE10" i="9" s="1"/>
  <c r="C7" i="20" s="1"/>
  <c r="AC27" i="9"/>
  <c r="AE27" i="9" s="1"/>
  <c r="C24" i="20" s="1"/>
  <c r="AC14" i="9"/>
  <c r="AE14" i="9" s="1"/>
  <c r="C11" i="20" s="1"/>
  <c r="AC7" i="9"/>
  <c r="AE7" i="9" s="1"/>
  <c r="C4" i="20" s="1"/>
  <c r="AC11" i="9"/>
  <c r="AE11" i="9" s="1"/>
  <c r="C8" i="20" s="1"/>
  <c r="AC6" i="9"/>
  <c r="AE6" i="9" s="1"/>
  <c r="C3" i="20" s="1"/>
  <c r="AC32" i="9"/>
  <c r="AE32" i="9" s="1"/>
  <c r="C29" i="20" s="1"/>
  <c r="AC21" i="9"/>
  <c r="AE21" i="9" s="1"/>
  <c r="E20" i="19" s="1" a="1"/>
  <c r="E20" i="19" s="1"/>
  <c r="AC16" i="9"/>
  <c r="AE16" i="9" s="1"/>
  <c r="C13" i="20" s="1"/>
  <c r="V18" i="9" a="1"/>
  <c r="V18" i="9" s="1"/>
  <c r="N94" i="9"/>
  <c r="P94" i="9" s="1"/>
  <c r="C10" i="9"/>
  <c r="E10" i="9"/>
  <c r="N101" i="9"/>
  <c r="P101" i="9" s="1"/>
  <c r="N88" i="9"/>
  <c r="P88" i="9" s="1"/>
  <c r="N99" i="9"/>
  <c r="P99" i="9" s="1"/>
  <c r="V20" i="9" a="1"/>
  <c r="V20" i="9" s="1"/>
  <c r="E15" i="9"/>
  <c r="C15" i="9"/>
  <c r="N102" i="9"/>
  <c r="P102" i="9" s="1"/>
  <c r="C14" i="9"/>
  <c r="E14" i="9"/>
  <c r="N105" i="9"/>
  <c r="P105" i="9" s="1"/>
  <c r="E6" i="9"/>
  <c r="C6" i="9"/>
  <c r="N104" i="9"/>
  <c r="P104" i="9" s="1"/>
  <c r="N107" i="9"/>
  <c r="P107" i="9" s="1"/>
  <c r="E8" i="9"/>
  <c r="C8" i="9"/>
  <c r="N90" i="9"/>
  <c r="P90" i="9" s="1"/>
  <c r="E13" i="9"/>
  <c r="C13" i="9"/>
  <c r="C84" i="9"/>
  <c r="M84" i="9"/>
  <c r="AB5" i="9" s="1" a="1"/>
  <c r="AB5" i="9" s="1"/>
  <c r="C49" i="9" a="1"/>
  <c r="C49" i="9" s="1"/>
  <c r="K49" i="9" a="1"/>
  <c r="K49" i="9" s="1"/>
  <c r="H49" i="9" a="1"/>
  <c r="H49" i="9" s="1"/>
  <c r="M49" i="9" a="1"/>
  <c r="M49" i="9" s="1"/>
  <c r="L49" i="9" a="1"/>
  <c r="L49" i="9" s="1"/>
  <c r="J49" i="9" a="1"/>
  <c r="J49" i="9" s="1"/>
  <c r="C12" i="19" a="1"/>
  <c r="C12" i="19" s="1"/>
  <c r="F84" i="9"/>
  <c r="U5" i="9" s="1" a="1"/>
  <c r="U5" i="9" s="1"/>
  <c r="O49" i="9"/>
  <c r="L84" i="9"/>
  <c r="AA5" i="9" s="1" a="1"/>
  <c r="AA5" i="9" s="1"/>
  <c r="G49" i="9" a="1"/>
  <c r="G49" i="9" s="1"/>
  <c r="K84" i="9"/>
  <c r="Z5" i="9" s="1" a="1"/>
  <c r="Z5" i="9" s="1"/>
  <c r="E49" i="9" a="1"/>
  <c r="E49" i="9" s="1"/>
  <c r="I49" i="9" a="1"/>
  <c r="I49" i="9" s="1"/>
  <c r="D84" i="9"/>
  <c r="S5" i="9" s="1" a="1"/>
  <c r="S5" i="9" s="1"/>
  <c r="F49" i="9" a="1"/>
  <c r="F49" i="9" s="1"/>
  <c r="E84" i="9"/>
  <c r="T5" i="9" s="1" a="1"/>
  <c r="T5" i="9" s="1"/>
  <c r="I84" i="9"/>
  <c r="X5" i="9" s="1" a="1"/>
  <c r="X5" i="9" s="1"/>
  <c r="G84" i="9"/>
  <c r="V5" i="9" s="1" a="1"/>
  <c r="V5" i="9" s="1"/>
  <c r="H84" i="9"/>
  <c r="W5" i="9" s="1" a="1"/>
  <c r="W5" i="9" s="1"/>
  <c r="J84" i="9"/>
  <c r="Y5" i="9" s="1" a="1"/>
  <c r="Y5" i="9" s="1"/>
  <c r="O84" i="9"/>
  <c r="AD5" i="9" s="1"/>
  <c r="R5" i="9" a="1"/>
  <c r="R5" i="9" s="1"/>
  <c r="B2" i="9"/>
  <c r="N86" i="9"/>
  <c r="P86" i="9" s="1"/>
  <c r="N113" i="9"/>
  <c r="P113" i="9" s="1"/>
  <c r="N111" i="9"/>
  <c r="P111" i="9" s="1"/>
  <c r="N106" i="9"/>
  <c r="P106" i="9" s="1"/>
  <c r="E9" i="9"/>
  <c r="C9" i="9"/>
  <c r="V34" i="9" a="1"/>
  <c r="V34" i="9" s="1"/>
  <c r="V24" i="9" a="1"/>
  <c r="V24" i="9" s="1"/>
  <c r="N103" i="9"/>
  <c r="P103" i="9" s="1"/>
  <c r="W19" i="9" a="1"/>
  <c r="W19" i="9" s="1"/>
  <c r="N96" i="9"/>
  <c r="P96" i="9" s="1"/>
  <c r="N85" i="9"/>
  <c r="P85" i="9" s="1"/>
  <c r="V33" i="9" a="1"/>
  <c r="V33" i="9" s="1"/>
  <c r="V22" i="9" a="1"/>
  <c r="V22" i="9" s="1"/>
  <c r="C3" i="9"/>
  <c r="E3" i="9"/>
  <c r="N114" i="9"/>
  <c r="P114" i="9" s="1"/>
  <c r="N110" i="9"/>
  <c r="P110" i="9" s="1"/>
  <c r="D49" i="9" a="1"/>
  <c r="D49" i="9" s="1"/>
  <c r="N92" i="9"/>
  <c r="P92" i="9" s="1"/>
  <c r="E16" i="9"/>
  <c r="C16" i="9"/>
  <c r="N93" i="9"/>
  <c r="P93" i="9" s="1"/>
  <c r="N109" i="9"/>
  <c r="P109" i="9" s="1"/>
  <c r="N87" i="9"/>
  <c r="P87" i="9" s="1"/>
  <c r="E12" i="9"/>
  <c r="C12" i="9"/>
  <c r="N100" i="9"/>
  <c r="P100" i="9" s="1"/>
  <c r="C17" i="9"/>
  <c r="E17" i="9"/>
  <c r="D8" i="19" a="1"/>
  <c r="D8" i="19" s="1"/>
  <c r="A2" i="20"/>
  <c r="D14" i="19" a="1"/>
  <c r="D14" i="19" s="1"/>
  <c r="E14" i="19" s="1"/>
  <c r="D12" i="19" a="1"/>
  <c r="D12" i="19" s="1"/>
  <c r="E11" i="9"/>
  <c r="C11" i="9"/>
  <c r="N89" i="9"/>
  <c r="P89" i="9" s="1"/>
  <c r="N95" i="9"/>
  <c r="P95" i="9" s="1"/>
  <c r="V17" i="9" a="1"/>
  <c r="V17" i="9" s="1"/>
  <c r="W9" i="9" a="1"/>
  <c r="W9" i="9" s="1"/>
  <c r="V15" i="9" a="1"/>
  <c r="V15" i="9" s="1"/>
  <c r="N108" i="9"/>
  <c r="P108" i="9" s="1"/>
  <c r="H26" i="7"/>
  <c r="F508" i="17"/>
  <c r="F44" i="18"/>
  <c r="P7" i="17"/>
  <c r="C11" i="8"/>
  <c r="AC17" i="9" l="1"/>
  <c r="AE17" i="9" s="1"/>
  <c r="C14" i="20" s="1"/>
  <c r="AC22" i="9"/>
  <c r="AE22" i="9" s="1"/>
  <c r="C19" i="20" s="1"/>
  <c r="AC33" i="9"/>
  <c r="AE33" i="9" s="1"/>
  <c r="C30" i="20" s="1"/>
  <c r="AC18" i="9"/>
  <c r="AE18" i="9" s="1"/>
  <c r="C15" i="20" s="1"/>
  <c r="AC19" i="9"/>
  <c r="AE19" i="9" s="1"/>
  <c r="C16" i="20" s="1"/>
  <c r="B2" i="20"/>
  <c r="AC24" i="9"/>
  <c r="AE24" i="9" s="1"/>
  <c r="C21" i="20" s="1"/>
  <c r="AC20" i="9"/>
  <c r="AE20" i="9" s="1"/>
  <c r="C17" i="20" s="1"/>
  <c r="AC15" i="9"/>
  <c r="AE15" i="9" s="1"/>
  <c r="C12" i="20" s="1"/>
  <c r="AC9" i="9"/>
  <c r="AE9" i="9" s="1"/>
  <c r="C6" i="20" s="1"/>
  <c r="AC34" i="9"/>
  <c r="AE34" i="9" s="1"/>
  <c r="C31" i="20" s="1"/>
  <c r="C18" i="20"/>
  <c r="N49" i="9"/>
  <c r="E12" i="19"/>
  <c r="E16" i="19" s="1"/>
  <c r="E2" i="9"/>
  <c r="C2" i="9"/>
  <c r="AC5" i="9"/>
  <c r="AE5" i="9" s="1"/>
  <c r="C2" i="20" s="1"/>
  <c r="N84" i="9"/>
  <c r="P84" i="9" s="1"/>
  <c r="C14" i="8"/>
  <c r="C4" i="10" s="1"/>
  <c r="C15" i="10" s="1"/>
  <c r="C17" i="10" s="1"/>
  <c r="E11" i="8"/>
  <c r="E14" i="8" s="1"/>
  <c r="C21" i="9" l="1"/>
  <c r="P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<sst xmlns="http://schemas.openxmlformats.org/spreadsheetml/2006/main" count="2715" uniqueCount="585">
  <si>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</si>
  <si>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</si>
  <si>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</si>
  <si>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</si>
  <si>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</si>
  <si>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</si>
  <si>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</si>
  <si>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</si>
  <si>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</si>
  <si>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</si>
  <si>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</si>
  <si>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</si>
  <si>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</si>
  <si>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</si>
  <si>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</si>
  <si>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</si>
  <si>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</si>
  <si>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</si>
  <si>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</si>
  <si>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</si>
  <si>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</si>
  <si>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</si>
  <si>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</si>
  <si>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</si>
  <si>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</si>
  <si>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</si>
  <si>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</si>
  <si>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</si>
  <si>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</si>
  <si>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</si>
  <si>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</si>
  <si>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</si>
  <si>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</si>
  <si>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</si>
  <si>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</si>
  <si>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</si>
  <si>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</si>
  <si>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</si>
  <si>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</si>
  <si>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</si>
  <si>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</si>
  <si>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</si>
  <si>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</si>
  <si>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</si>
  <si>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</si>
  <si>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</si>
  <si>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</si>
  <si>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</si>
  <si>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</si>
  <si>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</si>
  <si>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</si>
  <si>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</si>
  <si>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</si>
  <si>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</si>
  <si>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</si>
  <si>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</si>
  <si>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</si>
  <si>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</si>
  <si>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</si>
  <si>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</si>
  <si>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</si>
  <si>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</si>
  <si>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</si>
  <si>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</si>
  <si>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</si>
  <si>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</si>
  <si>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</si>
  <si>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</si>
  <si>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</si>
  <si>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</si>
  <si>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</si>
  <si>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</si>
  <si>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</si>
  <si>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</si>
  <si>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</si>
  <si>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</si>
  <si>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</si>
  <si>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</si>
  <si>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</si>
  <si>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</si>
  <si>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</si>
  <si>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</si>
  <si>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</si>
  <si>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</si>
  <si>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</si>
  <si>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</si>
  <si>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</si>
  <si>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</si>
  <si>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</si>
  <si>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</si>
  <si>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</si>
  <si>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</si>
  <si>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</si>
  <si>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</si>
  <si>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</si>
  <si>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</si>
  <si>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</si>
  <si>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</si>
  <si>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</si>
  <si>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</si>
  <si>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</si>
  <si>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</si>
  <si>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</si>
  <si>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</si>
  <si>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</si>
  <si>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</si>
  <si>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</si>
  <si>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</si>
  <si>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</si>
  <si>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</si>
  <si>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</si>
  <si>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</si>
  <si>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</si>
  <si>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</si>
  <si>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</si>
  <si>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</si>
  <si>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</si>
  <si>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</si>
  <si>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</si>
  <si>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</si>
  <si>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</si>
  <si>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</si>
  <si>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</si>
  <si>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</si>
  <si>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</si>
  <si>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</si>
  <si>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</si>
  <si>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</si>
  <si>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</si>
  <si>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</si>
  <si>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</si>
  <si>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</si>
  <si>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</si>
  <si>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</si>
  <si>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</si>
  <si>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</si>
  <si>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</si>
  <si>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</si>
  <si>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</si>
  <si>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</si>
  <si>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</si>
  <si>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</si>
  <si>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</si>
  <si>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</si>
  <si>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</si>
  <si>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</si>
  <si>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</si>
  <si>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</si>
  <si>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</si>
  <si>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</si>
  <si>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</si>
  <si>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</si>
  <si>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</si>
  <si>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</si>
  <si>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</si>
  <si>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</si>
  <si>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</si>
  <si>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</si>
  <si>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</si>
  <si>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</si>
  <si>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</si>
  <si>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</si>
  <si>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</si>
  <si>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</si>
  <si>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</si>
  <si>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</si>
  <si>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</si>
  <si>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</si>
  <si>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</si>
  <si>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</si>
  <si>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</si>
  <si>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</si>
  <si>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</si>
  <si>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</si>
  <si>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</si>
  <si>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</si>
  <si>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</si>
  <si>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</si>
  <si>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</si>
  <si>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</si>
  <si>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</si>
  <si>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</si>
  <si>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</si>
  <si>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</si>
  <si>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</si>
  <si>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</si>
  <si>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</si>
  <si>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</si>
  <si>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</si>
  <si>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</si>
  <si>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</si>
  <si>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</si>
  <si>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</si>
  <si>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</si>
  <si>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</si>
  <si>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</si>
  <si>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</si>
  <si>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</si>
  <si>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</si>
  <si>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</si>
  <si>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</si>
  <si>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</si>
  <si>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</si>
  <si>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</si>
  <si>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</si>
  <si>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</si>
  <si>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</si>
  <si>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</si>
  <si>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</si>
  <si>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</si>
  <si>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</si>
  <si>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</si>
  <si>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</si>
  <si>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</si>
  <si>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</si>
  <si>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</si>
  <si>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</si>
  <si>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</si>
  <si>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</si>
  <si>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</si>
  <si>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</si>
  <si>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</si>
  <si>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</si>
  <si>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</si>
  <si>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</si>
  <si>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</si>
  <si>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</si>
  <si>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</si>
  <si>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</si>
  <si>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</si>
  <si>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</si>
  <si>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</si>
  <si>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</si>
  <si>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</si>
  <si>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</si>
  <si>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</si>
  <si>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</si>
  <si>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</si>
  <si>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</si>
  <si>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</si>
  <si>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</si>
  <si>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</si>
  <si>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</si>
  <si>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</si>
  <si>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</si>
  <si>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</si>
  <si>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</si>
  <si>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</si>
  <si>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</si>
  <si>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</si>
  <si>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</si>
  <si>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</si>
  <si>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</si>
  <si>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</si>
  <si>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</si>
  <si>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</si>
  <si>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</si>
  <si>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</si>
  <si>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</si>
  <si>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</si>
  <si>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</si>
  <si>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</si>
  <si>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</si>
  <si>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</si>
  <si>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</si>
  <si>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</si>
  <si>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</si>
  <si>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</si>
  <si>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</si>
  <si>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</si>
  <si>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</si>
  <si>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</si>
  <si>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</si>
  <si>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</si>
  <si>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</si>
  <si>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</si>
  <si>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</si>
  <si>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</si>
  <si>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</si>
  <si>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</si>
  <si>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</si>
  <si>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</si>
  <si>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</si>
  <si>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</si>
  <si>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</si>
  <si>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</si>
  <si>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</si>
  <si>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</si>
  <si>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</si>
  <si>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</si>
  <si>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</si>
  <si>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</si>
  <si>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</si>
  <si>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</si>
  <si>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</si>
  <si>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</si>
  <si>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</si>
  <si>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</si>
  <si>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</si>
  <si>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</si>
  <si>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</si>
  <si>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</si>
  <si>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</si>
  <si>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</si>
  <si>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</si>
  <si>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</si>
  <si>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</si>
  <si>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</si>
  <si>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</si>
  <si>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</si>
  <si>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</si>
  <si>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</si>
  <si>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</si>
  <si>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</si>
  <si>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</si>
  <si>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</si>
  <si>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</si>
  <si>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</si>
  <si>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</si>
  <si>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</si>
  <si>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</si>
  <si>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</si>
  <si>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</si>
  <si>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</si>
  <si>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</si>
  <si>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</si>
  <si>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</si>
  <si>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</si>
  <si>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</si>
  <si>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</si>
  <si>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</si>
  <si>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</si>
  <si>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</si>
  <si>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</si>
  <si>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</si>
  <si>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</si>
  <si>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</si>
  <si>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</si>
  <si>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</si>
  <si>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</si>
  <si>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</si>
  <si>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</si>
  <si>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</si>
  <si>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</si>
  <si>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</si>
  <si>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</si>
  <si>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</si>
  <si>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</si>
  <si>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</si>
  <si>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</si>
  <si>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</si>
  <si>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</si>
  <si>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</si>
  <si>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</si>
  <si>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</si>
  <si>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</si>
  <si>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</si>
  <si>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</si>
  <si>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</si>
  <si>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</si>
  <si>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</si>
  <si>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</si>
  <si>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</si>
  <si>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</si>
  <si>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</si>
  <si>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</si>
  <si>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</si>
  <si>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</si>
  <si>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</si>
  <si>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</si>
  <si>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</si>
  <si>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</si>
  <si>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</si>
  <si>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</si>
  <si>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</si>
  <si>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</si>
  <si>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</si>
  <si>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</si>
  <si>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</si>
  <si>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</si>
  <si>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</si>
  <si>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</si>
  <si>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</si>
  <si>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</si>
  <si>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</si>
  <si>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</si>
  <si>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</si>
  <si>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</si>
  <si>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</si>
  <si>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</si>
  <si>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</si>
  <si>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</si>
  <si>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</si>
  <si>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</si>
  <si>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</si>
  <si>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</si>
  <si>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</si>
  <si>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</si>
  <si>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</si>
  <si>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</si>
  <si>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</si>
  <si>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</si>
  <si>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</si>
  <si>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</si>
  <si>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</si>
  <si>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</si>
  <si>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</si>
  <si>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</si>
  <si>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</si>
  <si>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</si>
  <si>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</si>
  <si>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</si>
  <si>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</si>
  <si>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</si>
  <si>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</si>
  <si>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</si>
  <si>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</si>
  <si>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</si>
  <si>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</si>
  <si>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</si>
  <si>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</si>
  <si>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</si>
  <si>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</si>
  <si>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</si>
  <si>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</si>
  <si>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</si>
  <si>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</si>
  <si>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</si>
  <si>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</si>
  <si>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</si>
  <si>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</si>
  <si>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</si>
  <si>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</si>
  <si>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</si>
  <si>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</si>
  <si>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</si>
  <si>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</si>
  <si>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</si>
  <si>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</si>
  <si>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</si>
  <si>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</si>
  <si>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</si>
  <si>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</si>
  <si>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</si>
  <si>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</si>
  <si>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</si>
  <si>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</si>
  <si>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</si>
  <si>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</si>
  <si>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</si>
  <si>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</si>
  <si>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</si>
  <si>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</si>
  <si>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</si>
  <si>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</si>
  <si>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</si>
  <si>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</si>
  <si>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</si>
  <si>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</si>
  <si>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</si>
  <si>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</si>
  <si>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</si>
  <si>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</si>
  <si>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</si>
  <si>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</si>
  <si>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</si>
  <si>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</si>
  <si>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</si>
  <si>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</si>
  <si>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</si>
  <si>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</si>
  <si>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</si>
  <si>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</si>
  <si>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</si>
  <si>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</si>
  <si>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</si>
  <si>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</si>
  <si>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</si>
  <si>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</si>
  <si>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</si>
  <si>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</si>
  <si>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</si>
  <si>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</si>
  <si>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</si>
  <si>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</si>
  <si>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</si>
  <si>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</si>
  <si>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</si>
  <si>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</si>
  <si>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</si>
  <si>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</si>
  <si>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</si>
  <si>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</si>
  <si>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</si>
  <si>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</si>
  <si>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</si>
  <si>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</si>
  <si>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</si>
  <si>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</si>
  <si>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</si>
  <si>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</si>
  <si>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</si>
  <si>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</si>
  <si>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</si>
  <si>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</si>
  <si>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</si>
  <si>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</si>
  <si>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</si>
  <si>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</si>
  <si>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</si>
  <si>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</si>
  <si>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</si>
  <si>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</si>
  <si>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</si>
  <si>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</si>
  <si>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</si>
  <si>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</si>
  <si>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</si>
  <si>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</si>
  <si>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</si>
  <si>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</si>
  <si>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</si>
  <si>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</si>
  <si>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</si>
  <si>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</si>
  <si>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</si>
  <si>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</si>
  <si>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</si>
  <si>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</si>
  <si>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</si>
  <si>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</si>
  <si>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</si>
  <si>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</si>
  <si>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</si>
  <si>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</si>
  <si>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</si>
  <si>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</si>
  <si>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</si>
  <si>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</si>
  <si>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</si>
  <si>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</si>
  <si>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</si>
  <si>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</si>
  <si>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</si>
  <si>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</si>
  <si>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</si>
  <si>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</si>
  <si>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</si>
  <si>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</si>
  <si>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</si>
  <si>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</si>
  <si>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</si>
  <si>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</si>
  <si>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</si>
  <si>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</si>
  <si>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</si>
  <si>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</si>
  <si>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</si>
  <si>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</si>
  <si>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</si>
  <si>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</si>
  <si>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</si>
  <si>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</si>
  <si>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</si>
  <si>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</si>
  <si>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</si>
  <si>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</si>
  <si>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</si>
  <si>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</si>
  <si>
    <t>Raksha</t>
  </si>
  <si>
    <t>TID:270488</t>
  </si>
  <si>
    <t>TID:521261</t>
  </si>
  <si>
    <t>TID:6109299</t>
  </si>
  <si>
    <t>Boiler bricks</t>
  </si>
  <si>
    <t>mandi</t>
  </si>
  <si>
    <t>valves etc</t>
  </si>
  <si>
    <t>TID:910064</t>
  </si>
  <si>
    <t>wazir dyes</t>
  </si>
  <si>
    <t>Orange H3r</t>
  </si>
  <si>
    <t>shaft</t>
  </si>
  <si>
    <t>Crescent dyes</t>
  </si>
  <si>
    <t>TID:854863</t>
  </si>
  <si>
    <t>Zaheer shah wood</t>
  </si>
  <si>
    <t>Kora transport</t>
  </si>
  <si>
    <t>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</si>
</sst>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6" fontId="0" fillId="1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5" formatCode="_-* #,##0.0_-;\-* #,##0.0_-;_-* &quot;-&quot;??_-;_-@_-"/>
    </dxf>
    <dxf>
      <numFmt numFmtId="0" formatCode="General"/>
    </dxf>
    <dxf>
      <numFmt numFmtId="164" formatCode="_-* #,##0_-;\-* #,##0_-;_-* &quot;-&quot;??_-;_-@_-"/>
    </dxf>
    <dxf>
      <numFmt numFmtId="164" formatCode="_-* #,##0_-;\-* #,##0_-;_-* &quot;-&quot;??_-;_-@_-"/>
    </dxf>
    <dxf>
      <numFmt numFmtId="19" formatCode="dd/mm/yyyy"/>
    </dxf>
    <dxf>
      <numFmt numFmtId="19" formatCode="dd/mm/yyyy"/>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3">
      <pivotArea dataOnly="0" labelOnly="1" outline="0" fieldPosition="0">
        <references count="1">
          <reference field="1" count="1">
            <x v="1"/>
          </reference>
        </references>
      </pivotArea>
    </format>
    <format dxfId="7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5">
      <pivotArea type="all" dataOnly="0" outline="0" fieldPosition="0"/>
    </format>
    <format dxfId="44">
      <pivotArea outline="0" collapsedLevelsAreSubtotals="1" fieldPosition="0"/>
    </format>
    <format dxfId="43">
      <pivotArea field="4" type="button" dataOnly="0" labelOnly="1" outline="0" axis="axisRow" fieldPosition="0"/>
    </format>
    <format dxfId="42">
      <pivotArea dataOnly="0" labelOnly="1" fieldPosition="0">
        <references count="1">
          <reference field="4" count="0"/>
        </references>
      </pivotArea>
    </format>
    <format dxfId="41">
      <pivotArea dataOnly="0" labelOnly="1" grandRow="1" outline="0" fieldPosition="0"/>
    </format>
    <format dxfId="40">
      <pivotArea dataOnly="0" labelOnly="1" outline="0" fieldPosition="0">
        <references count="1">
          <reference field="4294967294" count="2">
            <x v="0"/>
            <x v="1"/>
          </reference>
        </references>
      </pivotArea>
    </format>
    <format dxfId="39">
      <pivotArea grandRow="1" outline="0" collapsedLevelsAreSubtotals="1" fieldPosition="0"/>
    </format>
    <format dxfId="38">
      <pivotArea field="4" type="button" dataOnly="0" labelOnly="1" outline="0" axis="axisRow" fieldPosition="0"/>
    </format>
    <format dxfId="3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startItem="4"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5"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3" totalsRowDxfId="2" dataCellStyle="Comma">
      <totalsRowFormula>SUM(Table12[Amount])</totalsRowFormula>
    </tableColumn>
    <tableColumn id="3" xr3:uid="{12F975D1-A51D-47BD-82DF-F0C35A709016}" name="Description"/>
    <tableColumn id="4" xr3:uid="{96712812-B120-49C2-B905-59FC86A743E8}" name="cost per meter" totalsRowFunction="custom" dataDxfId="1" totalsRowDxfId="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2" dataDxfId="101" headerRowCellStyle="Comma" dataCellStyle="Comma">
  <autoFilter ref="B2:C5" xr:uid="{136E8F7F-D03F-4198-8335-91A003EA9E45}"/>
  <tableColumns count="2">
    <tableColumn id="1" xr3:uid="{279FA697-9952-479A-AC05-0D4992B41374}" name="Column1" dataDxfId="100" dataCellStyle="Comma"/>
    <tableColumn id="2" xr3:uid="{8A64998B-65EF-41CD-BCB0-3DDB7B359C54}" name="Column2" dataDxfId="9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8"/>
    <tableColumn id="2" xr3:uid="{51D27FA2-8DDF-4369-BAF7-7D1FE90E16A0}" name="Column2" dataDxfId="9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6" totalsRowDxfId="9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9" totalsRowCount="1" headerRowDxfId="93" dataDxfId="92" headerRowCellStyle="Comma" dataCellStyle="Comma">
  <autoFilter ref="A1:K198" xr:uid="{11DACEC6-751B-4B1D-817F-5C5BCD38EF6D}"/>
  <tableColumns count="11">
    <tableColumn id="1" xr3:uid="{2FCE3FA8-A48C-4685-8919-AE44C6C71FD9}" name="Date" dataDxfId="91" dataCellStyle="Comma"/>
    <tableColumn id="2" xr3:uid="{5780FD5F-0890-44E6-B59C-8E37A559FE36}" name="Party Name" dataDxfId="90" dataCellStyle="Comma"/>
    <tableColumn id="3" xr3:uid="{5B3ECD85-9174-40AC-BFBD-49CAC97A83D3}" name="Bill Number" dataDxfId="89" dataCellStyle="Comma"/>
    <tableColumn id="4" xr3:uid="{11B50761-04B6-4262-AD4D-7182450037D1}" name="Quality" dataDxfId="88" dataCellStyle="Comma"/>
    <tableColumn id="5" xr3:uid="{2C556969-B713-4967-BD24-466AACCBE5F5}" name="Shipment Number" dataDxfId="87" totalsRowDxfId="86" dataCellStyle="Comma"/>
    <tableColumn id="6" xr3:uid="{F4E1FD2B-9017-4DEB-B772-BF447ECE56F7}" name="Kora/metre" dataDxfId="85" totalsRowDxfId="84" dataCellStyle="Comma"/>
    <tableColumn id="7" xr3:uid="{52ACC1DA-7A76-4A90-B809-3A1AE728E7EA}" name="Tiyaar/gaz" dataDxfId="83" totalsRowDxfId="82" dataCellStyle="Comma"/>
    <tableColumn id="8" xr3:uid="{31A0FF5E-56F0-44D1-9865-73256B964660}" name="shortage %" dataDxfId="81" totalsRowDxfId="80" dataCellStyle="Comma">
      <calculatedColumnFormula>_xlfn.XLOOKUP(Table1[[#This Row],[Shipment Number]], 'pivot '!A:A,'pivot '!G:G, "NF")</calculatedColumnFormula>
    </tableColumn>
    <tableColumn id="9" xr3:uid="{F99075E0-AC8E-094D-BB85-272AD2C6C568}" name="tiyar/meters" totalsRowFunction="custom" dataDxfId="79" totalsRowDxfId="78"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77" totalsRowDxfId="76"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5" totalsRowDxfId="74"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43" totalsRowCount="1" headerRowDxfId="71" headerRowBorderDxfId="70" tableBorderDxfId="69">
  <autoFilter ref="A1:I142" xr:uid="{F8E8C957-ABE7-4E4F-8D4E-7D44E26B334F}"/>
  <tableColumns count="9">
    <tableColumn id="1" xr3:uid="{C2E817D6-AB98-4DDD-8890-736B27F261CD}" name="Date" dataDxfId="30" totalsRowDxfId="14"/>
    <tableColumn id="2" xr3:uid="{CFB51890-CCDC-463C-81C9-3F8BD7469CB9}" name="Party Name"/>
    <tableColumn id="3" xr3:uid="{A113D971-1C9D-4733-99C4-BD0CC4333209}" name="Vehicle Number"/>
    <tableColumn id="4" xr3:uid="{49780304-3DD1-4AE9-98EE-2BC7EB8F3B57}" name="Weight" dataDxfId="29" totalsRowDxfId="13" dataCellStyle="Comma"/>
    <tableColumn id="5" xr3:uid="{FCAF1BC6-1D8C-42AD-8BBC-F924BF2DC7FE}" name="Rate" dataDxfId="28" totalsRowDxfId="12" dataCellStyle="Comma"/>
    <tableColumn id="6" xr3:uid="{8C70A624-4134-410C-9C45-9FDEB51D51BF}" name="Rent" dataDxfId="27" totalsRowDxfId="11" dataCellStyle="Comma"/>
    <tableColumn id="7" xr3:uid="{EBCE10AE-9634-4982-9C95-37ABC8A7078C}" name="Total" totalsRowFunction="sum" dataDxfId="26" totalsRowDxfId="10" dataCellStyle="Comma">
      <calculatedColumnFormula>D2*E2</calculatedColumnFormula>
    </tableColumn>
    <tableColumn id="9" xr3:uid="{D4788559-C94A-44D9-B9AE-E72B214355AC}" name="Paid" totalsRowFunction="sum" dataDxfId="25" totalsRowDxfId="9" dataCellStyle="Comma"/>
    <tableColumn id="8" xr3:uid="{E26F5BF0-1875-4FC6-994D-49F202ED562B}" name="balance" totalsRowFunction="sum" dataDxfId="24" totalsRowDxfId="8"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08" totalsRowCount="1">
  <autoFilter ref="A1:G507" xr:uid="{CB032221-B416-47A8-9A76-693DE76CFD04}"/>
  <tableColumns count="7">
    <tableColumn id="1" xr3:uid="{554B1EED-65B6-4E9A-B646-82727FAC40DE}" name="Date" dataDxfId="133" totalsRowDxfId="23"/>
    <tableColumn id="2" xr3:uid="{32259059-42CF-4947-83DE-115AA430BE2B}" name="Party"/>
    <tableColumn id="3" xr3:uid="{A1320223-D55D-483C-91C3-AB19B95CC9D8}" name="Debit" totalsRowFunction="sum" dataDxfId="132" totalsRowDxfId="22" dataCellStyle="Comma"/>
    <tableColumn id="4" xr3:uid="{E9745767-9FF0-4B1C-9052-FF335D1D7588}" name="Credit" totalsRowFunction="sum" dataDxfId="131" totalsRowDxfId="21" dataCellStyle="Comma"/>
    <tableColumn id="5" xr3:uid="{5C88A48E-2467-4E6D-B626-2442B7FD0BE4}" name="Description"/>
    <tableColumn id="6" xr3:uid="{63CA4666-144E-4BE6-8B7C-7CB992BD3041}" name="Mode" totalsRowFunction="custom" dataDxfId="130" totalsRowDxfId="2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8" totalsRowDxfId="67"/>
    <tableColumn id="2" xr3:uid="{5B9D0FEE-4304-4C5C-A05C-5B27CF7841D3}" name="Type"/>
    <tableColumn id="3" xr3:uid="{6A91CA0D-C802-4C6F-9F39-CA53687E8EDE}" name="Description"/>
    <tableColumn id="4" xr3:uid="{A251D40C-AB87-4BB4-85F8-444B20E32FDF}" name="Total" totalsRowFunction="custom" dataDxfId="66" totalsRowDxfId="6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64" headerRowBorderDxfId="63">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2"/>
    <tableColumn id="4" xr3:uid="{1889A312-9B41-4EC4-BD8F-05252F27084A}" name="Price" totalsRowFunction="sum"/>
    <tableColumn id="6" xr3:uid="{8B974B20-F003-4E67-8660-024FA4F324A9}" name="Party"/>
    <tableColumn id="7" xr3:uid="{0A5A5C21-FD61-47DA-9F54-66A6479FA557}" name="Paid" dataDxfId="61">
      <calculatedColumnFormula>SUMIFS(Table14[Debit], Table14[Date], Table8[[#This Row],[Date]], Table14[Party], Table8[[#This Row],[Party]])</calculatedColumnFormula>
    </tableColumn>
    <tableColumn id="8" xr3:uid="{8DCB3B43-2161-4081-82EC-CDB0F4DE4E6F}" name="Balance" totalsRowFunction="sum" dataDxfId="6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59" headerRowBorderDxfId="58">
  <autoFilter ref="A4:H25" xr:uid="{A4C80688-A8BA-4BA7-90B4-791CD99446B4}"/>
  <sortState xmlns:xlrd2="http://schemas.microsoft.com/office/spreadsheetml/2017/richdata2" ref="A5:H6">
    <sortCondition ref="A4:A6"/>
  </sortState>
  <tableColumns count="8">
    <tableColumn id="1" xr3:uid="{4A818912-918E-4111-ACFC-BC93FEF7C1AD}" name="Date" dataDxfId="57" totalsRowDxfId="7"/>
    <tableColumn id="8" xr3:uid="{477ACFD5-62AF-4F69-974B-E9B974C11D7D}" name="Party Name" dataDxfId="5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5">
      <calculatedColumnFormula>Table2[[#This Row],[Quantity]]*200*Table2[[#This Row],[Boxes]]</calculatedColumnFormula>
    </tableColumn>
    <tableColumn id="6" xr3:uid="{30432929-CBD4-4BA8-B63F-CD0F6CF6405F}" name="Paid" totalsRowFunction="sum" dataDxfId="54">
      <calculatedColumnFormula>SUMIFS(Table14[Debit], Table14[Date], Table2[[#This Row],[Date]], Table14[Party], Table2[[#This Row],[Party Name]])</calculatedColumnFormula>
    </tableColumn>
    <tableColumn id="7" xr3:uid="{BB689DF2-5D1E-436D-84C4-9745D88E8F3D}" name="Balance" totalsRowFunction="sum" dataDxfId="5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2" totalsRowDxfId="5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0" totalsRowDxfId="49"/>
    <tableColumn id="2" xr3:uid="{053BFC14-4828-417C-9F9F-95B6E232A945}" name="Amount" totalsRowFunction="custom" dataDxfId="48" totalsRowDxfId="4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6" totalsRowDxfId="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36" totalsRowDxfId="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35" totalsRowDxfId="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34">
      <calculatedColumnFormula>Billing!Q5</calculatedColumnFormula>
    </tableColumn>
    <tableColumn id="2" xr3:uid="{7093A59E-B58F-487D-888A-9AA8156B5F9A}" name="Amount Paid" dataDxfId="3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32"/>
    <tableColumn id="2" xr3:uid="{F72CFEEB-BA11-4A49-BD19-88592EB6A27C}" name="Credit" dataDxfId="3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14" zoomScale="109" zoomScaleNormal="80" workbookViewId="0">
      <selection activeCell="AA37" sqref="AA3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492130.57790782739</v>
      </c>
      <c r="D2">
        <v>10</v>
      </c>
      <c r="E2" s="14">
        <f>(SUMIFS(ledger!G:G, ledger!B:B, B2, ledger!E:E, "&lt;&gt;*RD*",ledger!D:D, "Silky") / 1.0936)*12 + (SUMIFS(ledger!G:G, ledger!B:B, B2, ledger!E:E, "&lt;&gt;*RD*",ledger!D:D, "Chamki") / 1.0936)*10</f>
        <v>5168350.4023408927</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198</v>
      </c>
      <c r="AA4" s="23" t="s">
        <v>199</v>
      </c>
      <c r="AB4" s="23" t="s">
        <v>204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3652766.8824</v>
      </c>
      <c r="S5" s="22" cm="1">
        <f t="array" ref="S5">_xlfn.BYROW(B49, _xlfn.LAMBDA(_xlpm.party, SUMIFS(ledger!G:G, ledger!B:B, _xlpm.party, ledger!E:E, "&lt;&gt;*RD*") / 1.0936 ))+_xlfn.IFNA(D84,0)</f>
        <v>3340130.6532553039</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7205053.0358449165</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35007560.19019752</v>
      </c>
      <c r="AD5" s="22">
        <f>(SUMIF(Table14[Party],Q5,Table14[Credit]))+_xlfn.IFNA(O84,0)</f>
        <v>19750734</v>
      </c>
      <c r="AE5" s="33">
        <f>AC5-AD5</f>
        <v>15256826.19019752</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6067319</v>
      </c>
      <c r="AE6" s="33">
        <f t="shared" ref="AE6:AE34" si="2">AC6-AD6</f>
        <v>329454.04316020571</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20808859.729334313</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30000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6091484.0892465264</v>
      </c>
      <c r="AD21" s="22">
        <f>(SUMIF(Table14[Party],Q21,Table14[Credit]))+_xlfn.IFNA(O100,0)</f>
        <v>6024187</v>
      </c>
      <c r="AE21" s="33">
        <f t="shared" si="2"/>
        <v>67297.089246526361</v>
      </c>
      <c r="AF21" s="21">
        <v>10</v>
      </c>
      <c r="AG21" s="21">
        <v>13</v>
      </c>
    </row>
    <row r="22" spans="2:33" x14ac:dyDescent="0.3">
      <c r="C22" s="18"/>
      <c r="I22" t="s">
        <v>188</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20808859.729334313</v>
      </c>
      <c r="D23" t="s">
        <v>32</v>
      </c>
      <c r="I23" t="s">
        <v>191</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190</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195</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202</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1300000</v>
      </c>
      <c r="AE32" s="33">
        <f t="shared" si="2"/>
        <v>789305.96196049778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AC35-AD35</f>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198</v>
      </c>
      <c r="L48" s="23" t="s">
        <v>199</v>
      </c>
      <c r="M48" s="23" t="s">
        <v>204</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538194</v>
      </c>
      <c r="D49" s="22" cm="1">
        <f t="array" ref="D49:D78">_xlfn.BYROW(_xlfn.ANCHORARRAY(B49), _xlfn.LAMBDA(_xlpm.party, SUMIFS(ledger!G:G, ledger!B:B, _xlpm.party, ledger!E:E, "&lt;&gt;*RD*") / 1.0936 ))</f>
        <v>492130.57790782739</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181098.20775420632</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2354276.7008046815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5476115.5815654714</v>
      </c>
      <c r="O49" s="22">
        <f>(SUMIF(Table14[Party],B49,Table14[Credit]))</f>
        <v>0</v>
      </c>
      <c r="P49" s="37">
        <f>N49-O49</f>
        <v>5476115.5815654714</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872000</v>
      </c>
      <c r="P50" s="37">
        <f t="shared" ref="P50:P75" si="5">N50-O50</f>
        <v>329453.91367959045</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30000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867297.00073152897</v>
      </c>
      <c r="O65" s="22">
        <f>(SUMIF(Table14[Party],B65,Table14[Credit]))</f>
        <v>1108616</v>
      </c>
      <c r="P65" s="37">
        <f t="shared" si="5"/>
        <v>-241318.99926847103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176970.55596196052</v>
      </c>
      <c r="W68" s="18">
        <v>1769705.5596196051</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115375.82297000733</v>
      </c>
      <c r="W73" s="18">
        <v>1384509.875640088</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217</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1462918.8002926116</v>
      </c>
      <c r="W75" s="14">
        <v>14887589.612289688</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1300000</v>
      </c>
      <c r="P76" s="37">
        <f t="shared" ref="P76:P78" si="7">N76-O76</f>
        <v>789305.96196049778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206</v>
      </c>
      <c r="J83" s="23" t="s">
        <v>180</v>
      </c>
      <c r="K83" s="114" t="s">
        <v>207</v>
      </c>
      <c r="L83" s="114" t="s">
        <v>208</v>
      </c>
      <c r="M83" s="114" t="s">
        <v>204</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10"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509411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465811.08266276523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462841.07534747623</v>
      </c>
      <c r="E14" s="66">
        <f>Table21[[#This Row],[gazana]]*Table21[[#This Row],[Rate]]</f>
        <v>6016933.9795171907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6016933.9795171907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6024187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67297.089246526361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19" priority="1" operator="lessThan">
      <formula>20000</formula>
    </cfRule>
    <cfRule type="cellIs" dxfId="18"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2" sqref="G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215</v>
      </c>
    </row>
    <row r="4" spans="1:5" x14ac:dyDescent="0.3">
      <c r="B4" t="s">
        <v>47</v>
      </c>
      <c r="C4" s="11">
        <f>Wood!K6+(2000*810)-(1000*800)</f>
        <v>7632370</v>
      </c>
      <c r="E4" s="43">
        <f ca="1">Table12[[#This Row],[Amount]]/Table1[[#Totals],[tiyar/meters]]</f>
        <v>4.1162910750797188</v>
      </c>
    </row>
    <row r="5" spans="1:5" x14ac:dyDescent="0.3">
      <c r="B5" t="s">
        <v>48</v>
      </c>
      <c r="C5" s="11">
        <f>SUM(Table8[Price])+(291000)-301660</f>
        <v>1416740</v>
      </c>
      <c r="E5" s="43">
        <f ca="1">Table12[[#This Row],[Amount]]/Table1[[#Totals],[tiyar/meters]]</f>
        <v>0.76407645563677351</v>
      </c>
    </row>
    <row r="6" spans="1:5" x14ac:dyDescent="0.3">
      <c r="B6" t="s">
        <v>49</v>
      </c>
      <c r="C6" s="11">
        <f>SUM(Table2[Price])+38750</f>
        <v>777350</v>
      </c>
      <c r="E6" s="43">
        <f ca="1">Table12[[#This Row],[Amount]]/Table1[[#Totals],[tiyar/meters]]</f>
        <v>0.4192405330471688</v>
      </c>
    </row>
    <row r="7" spans="1:5" x14ac:dyDescent="0.3">
      <c r="B7" t="s">
        <v>50</v>
      </c>
      <c r="C7" s="11">
        <f>SUMIFS(Table14[Debit], Table14[Party],Table12[[#This Row],[Type]])</f>
        <v>234395</v>
      </c>
      <c r="E7" s="43">
        <f ca="1">Table12[[#This Row],[Amount]]/Table1[[#Totals],[tiyar/meters]]</f>
        <v>0.12641395091476315</v>
      </c>
    </row>
    <row r="8" spans="1:5" x14ac:dyDescent="0.3">
      <c r="B8" t="s">
        <v>51</v>
      </c>
      <c r="C8" s="11">
        <f>Electricity!E3</f>
        <v>2222081</v>
      </c>
      <c r="E8" s="43">
        <f ca="1">Table12[[#This Row],[Amount]]/Table1[[#Totals],[tiyar/meters]]</f>
        <v>1.1984130995227193</v>
      </c>
    </row>
    <row r="9" spans="1:5" x14ac:dyDescent="0.3">
      <c r="B9" t="s">
        <v>52</v>
      </c>
      <c r="C9" s="11">
        <f>SUMIFS(Table14[Debit], Table14[Party],Table12[[#This Row],[Type]])+SUMIFS(Table14[Debit], Table14[Party],"Advance Salary")</f>
        <v>1966993</v>
      </c>
      <c r="E9" s="43">
        <f ca="1">Table12[[#This Row],[Amount]]/Table1[[#Totals],[tiyar/meters]]</f>
        <v>1.0608389963594902</v>
      </c>
    </row>
    <row r="10" spans="1:5" x14ac:dyDescent="0.3">
      <c r="B10" t="s">
        <v>53</v>
      </c>
      <c r="C10" s="11">
        <f>Table5[[#Totals],[Amount]]</f>
        <v>142730</v>
      </c>
      <c r="E10" s="43">
        <f ca="1">Table12[[#This Row],[Amount]]/Table1[[#Totals],[tiyar/meters]]</f>
        <v>7.6977167661699875E-2</v>
      </c>
    </row>
    <row r="11" spans="1:5" x14ac:dyDescent="0.3">
      <c r="B11" t="s">
        <v>54</v>
      </c>
      <c r="C11" s="11">
        <f>Table13[[#Totals],[Debit]]</f>
        <v>156730</v>
      </c>
      <c r="E11" s="43">
        <f ca="1">Table12[[#This Row],[Amount]]/Table1[[#Totals],[tiyar/meters]]</f>
        <v>8.4527650021846992E-2</v>
      </c>
    </row>
    <row r="12" spans="1:5" x14ac:dyDescent="0.3">
      <c r="B12" t="s">
        <v>55</v>
      </c>
      <c r="C12" s="11">
        <f>Table15[[#Totals],[Amount]]</f>
        <v>307771</v>
      </c>
      <c r="E12" s="43">
        <f ca="1">Table12[[#This Row],[Amount]]/Table1[[#Totals],[tiyar/meters]]</f>
        <v>0.16598710760463134</v>
      </c>
    </row>
    <row r="13" spans="1:5" x14ac:dyDescent="0.3">
      <c r="C13" s="11"/>
      <c r="E13" s="43">
        <f ca="1">Table12[[#This Row],[Amount]]/Table1[[#Totals],[tiyar/meters]]</f>
        <v>0</v>
      </c>
    </row>
    <row r="14" spans="1:5" x14ac:dyDescent="0.3">
      <c r="C14" s="14">
        <f>SUM(Table12[Amount])</f>
        <v>14857160</v>
      </c>
      <c r="E14" s="43">
        <f ca="1">SUM(Table12[cost per meter])</f>
        <v>8.0127660358488129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8" sqref="G18"/>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20808859.729334313</v>
      </c>
    </row>
    <row r="4" spans="1:3" x14ac:dyDescent="0.3">
      <c r="B4" s="11" t="s">
        <v>44</v>
      </c>
      <c r="C4" s="11">
        <f>Table12[[#Totals],[Amount]]</f>
        <v>14857160</v>
      </c>
    </row>
    <row r="5" spans="1:3" x14ac:dyDescent="0.3">
      <c r="A5" s="6"/>
      <c r="B5" s="15" t="s">
        <v>68</v>
      </c>
      <c r="C5" s="15">
        <f>C3-C4</f>
        <v>5951699.7293343134</v>
      </c>
    </row>
    <row r="10" spans="1:3" ht="15" thickBot="1" x14ac:dyDescent="0.35">
      <c r="B10" t="s">
        <v>66</v>
      </c>
      <c r="C10" s="14" t="s">
        <v>67</v>
      </c>
    </row>
    <row r="11" spans="1:3" x14ac:dyDescent="0.3">
      <c r="B11" s="56" t="s">
        <v>0</v>
      </c>
      <c r="C11" s="57">
        <f>C3</f>
        <v>20808859.729334313</v>
      </c>
    </row>
    <row r="12" spans="1:3" x14ac:dyDescent="0.3">
      <c r="B12" s="58" t="s">
        <v>69</v>
      </c>
      <c r="C12" s="59">
        <f>SUM(Table14[Credit])</f>
        <v>31270241.203986831</v>
      </c>
    </row>
    <row r="13" spans="1:3" ht="15" thickBot="1" x14ac:dyDescent="0.35">
      <c r="B13" s="74" t="s">
        <v>93</v>
      </c>
      <c r="C13" s="73">
        <f>(C11-C12)</f>
        <v>-10461381.474652518</v>
      </c>
    </row>
    <row r="14" spans="1:3" ht="15" thickBot="1" x14ac:dyDescent="0.35">
      <c r="B14" s="58"/>
      <c r="C14" s="59"/>
    </row>
    <row r="15" spans="1:3" x14ac:dyDescent="0.3">
      <c r="B15" s="56" t="s">
        <v>44</v>
      </c>
      <c r="C15" s="57">
        <f>C4</f>
        <v>14857160</v>
      </c>
    </row>
    <row r="16" spans="1:3" x14ac:dyDescent="0.3">
      <c r="B16" s="58" t="s">
        <v>70</v>
      </c>
      <c r="C16" s="59">
        <f>SUM(Table14[Debit])</f>
        <v>24260975.203986831</v>
      </c>
    </row>
    <row r="17" spans="2:6" ht="15" thickBot="1" x14ac:dyDescent="0.35">
      <c r="B17" s="74" t="s">
        <v>71</v>
      </c>
      <c r="C17" s="73">
        <f>C15-C16</f>
        <v>-9403815.203986831</v>
      </c>
    </row>
    <row r="18" spans="2:6" ht="15" thickBot="1" x14ac:dyDescent="0.35">
      <c r="B18" s="58"/>
      <c r="C18" s="59"/>
    </row>
    <row r="19" spans="2:6" ht="15" thickBot="1" x14ac:dyDescent="0.35">
      <c r="B19" s="75" t="s">
        <v>72</v>
      </c>
      <c r="C19" s="76">
        <f>Table18[[#Totals],[amount]]</f>
        <v>7009266</v>
      </c>
    </row>
    <row r="20" spans="2:6" ht="15" thickBot="1" x14ac:dyDescent="0.35">
      <c r="B20" s="71"/>
      <c r="C20" s="72"/>
    </row>
    <row r="21" spans="2:6" ht="15" thickBot="1" x14ac:dyDescent="0.35">
      <c r="B21" s="60" t="s">
        <v>73</v>
      </c>
      <c r="C21" s="61">
        <f>(C13-C17)+C19</f>
        <v>5951699.7293343134</v>
      </c>
      <c r="E21" s="79" t="s">
        <v>74</v>
      </c>
      <c r="F21" s="80">
        <f>C5*0.05</f>
        <v>297584.98646671569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J32" sqref="J3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2400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156730</v>
      </c>
      <c r="E44">
        <f>SUBTOTAL(109,Table13[Credit])</f>
        <v>0</v>
      </c>
      <c r="F44">
        <f>Table13[[#Totals],[Debit]]-Table13[[#Totals],[Credit]]</f>
        <v>156730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opLeftCell="A64" zoomScale="107" zoomScaleNormal="107" workbookViewId="0">
      <selection activeCell="J2" sqref="J2:J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219</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1">_xlfn.UNIQUE(Table1[Party Name])</f>
        <v>BSC</v>
      </c>
    </row>
    <row r="3" spans="1:28" x14ac:dyDescent="0.3">
      <c r="A3" s="107">
        <v>46042</v>
      </c>
      <c r="B3" s="81" t="s">
        <v>22</v>
      </c>
      <c r="C3" s="108" t="s">
        <v>219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219</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219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219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219</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219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219</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219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219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219</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219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217</v>
      </c>
      <c r="C14" s="108" t="s">
        <v>219</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219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219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219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219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219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219</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219</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188</v>
      </c>
      <c r="C22" s="108" t="s">
        <v>219</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191</v>
      </c>
      <c r="C23" s="108" t="s">
        <v>219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190</v>
      </c>
      <c r="C24" s="108" t="s">
        <v>219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195</v>
      </c>
      <c r="C25" s="108" t="s">
        <v>219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200</v>
      </c>
      <c r="C26" s="108" t="s">
        <v>219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202</v>
      </c>
      <c r="C27" s="108" t="s">
        <v>219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219</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219</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219</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219</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219</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219</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219</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219</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219</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219</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219</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219</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217</v>
      </c>
      <c r="C40" s="108" t="s">
        <v>219</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219</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219</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219</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219</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219</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219</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219</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188</v>
      </c>
      <c r="C48" s="108" t="s">
        <v>219</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191</v>
      </c>
      <c r="C49" s="108" t="s">
        <v>219</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190</v>
      </c>
      <c r="C50" s="108" t="s">
        <v>219</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195</v>
      </c>
      <c r="C51" s="108" t="s">
        <v>219</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200</v>
      </c>
      <c r="C52" s="108" t="s">
        <v>219</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202</v>
      </c>
      <c r="C53" s="108" t="s">
        <v>219</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219</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219</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219</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219</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219</v>
      </c>
      <c r="D58" s="108" t="s">
        <v>197</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219</v>
      </c>
      <c r="D59" s="108" t="s">
        <v>205</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188</v>
      </c>
      <c r="C60" s="108" t="s">
        <v>219</v>
      </c>
      <c r="D60" s="108" t="s">
        <v>205</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188</v>
      </c>
      <c r="C61" s="108" t="s">
        <v>219</v>
      </c>
      <c r="D61" s="108" t="s">
        <v>197</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202</v>
      </c>
      <c r="C62" s="108" t="s">
        <v>219</v>
      </c>
      <c r="D62" s="108" t="s">
        <v>203</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218</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218</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498</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2.3629283599976247</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498</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217</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217</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302</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205</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205</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205</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217</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217</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302</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302</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333</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333</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333</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334</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334</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335</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335</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190</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190</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335</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335</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205</v>
      </c>
      <c r="E128" s="11">
        <v>2080</v>
      </c>
      <c r="F128" s="11">
        <v>53024</v>
      </c>
      <c r="G128" s="11">
        <v>4154</v>
      </c>
      <c r="H128" s="119">
        <f>_xlfn.XLOOKUP(Table1[[#This Row],[Shipment Number]], 'pivot '!A:A,'pivot '!G:G, "NF")</f>
        <v>8.0777461360749641</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188</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188</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39.034829396650508</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302</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39.034829396650508</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335</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335</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335</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438</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438</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197</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197</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188</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205</v>
      </c>
      <c r="E156" s="11">
        <v>2080</v>
      </c>
      <c r="F156" s="11">
        <v>53024</v>
      </c>
      <c r="G156" s="11">
        <v>8439</v>
      </c>
      <c r="H156" s="119">
        <f>_xlfn.XLOOKUP(Table1[[#This Row],[Shipment Number]], 'pivot '!A:A,'pivot '!G:G, "NF")</f>
        <v>8.0777461360749641</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519</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2.4389859618344332</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513</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438</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335</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519</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335</v>
      </c>
      <c r="C172" s="118">
        <v>1484</v>
      </c>
      <c r="D172" s="118" t="s">
        <v>86</v>
      </c>
      <c r="E172" s="11">
        <v>1977</v>
      </c>
      <c r="F172" s="11">
        <v>27995</v>
      </c>
      <c r="G172" s="11">
        <v>19687</v>
      </c>
      <c r="H172" s="119">
        <f>_xlfn.XLOOKUP(Table1[[#This Row],[Shipment Number]], 'pivot '!A:A,'pivot '!G:G, "NF")</f>
        <v>5.8935568622937069</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3.5226949968149341</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2.1832714289227937</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40">
        <v>46069</v>
      </c>
      <c r="B182" s="122" t="s">
        <v>175</v>
      </c>
      <c r="C182" s="118" t="s">
        <v>583</v>
      </c>
      <c r="D182" s="118" t="s">
        <v>85</v>
      </c>
      <c r="E182" s="11"/>
      <c r="F182" s="11"/>
      <c r="G182" s="11"/>
      <c r="H182" s="119" t="e">
        <f>_xlfn.XLOOKUP(Table1[[#This Row],[Shipment Number]], 'pivot '!A:A,'pivot '!G:G, "NF")</f>
        <v>#DIV/0!</v>
      </c>
      <c r="I182" s="120"/>
      <c r="J182" s="120">
        <v>30000</v>
      </c>
      <c r="K182" s="118"/>
    </row>
    <row r="183" spans="1:11" x14ac:dyDescent="0.3">
      <c r="A183" s="121">
        <v>46069</v>
      </c>
      <c r="B183" s="122" t="s">
        <v>21</v>
      </c>
      <c r="C183" s="118">
        <v>1494</v>
      </c>
      <c r="D183" s="118" t="s">
        <v>86</v>
      </c>
      <c r="E183" s="11">
        <v>2099</v>
      </c>
      <c r="F183" s="11">
        <v>96074</v>
      </c>
      <c r="G183" s="11">
        <v>3063</v>
      </c>
      <c r="H183" s="119">
        <f>_xlfn.XLOOKUP(Table1[[#This Row],[Shipment Number]], 'pivot '!A:A,'pivot '!G:G, "NF")</f>
        <v>13.709910181250635</v>
      </c>
      <c r="I183" s="120">
        <f>Table1[[#This Row],[Tiyaar/gaz]]/1.0936</f>
        <v>2800.8412582297001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3" s="118"/>
    </row>
    <row r="184" spans="1:11" x14ac:dyDescent="0.3">
      <c r="A184" s="121">
        <v>46069</v>
      </c>
      <c r="B184" s="122" t="s">
        <v>21</v>
      </c>
      <c r="C184" s="118">
        <v>1494</v>
      </c>
      <c r="D184" s="118" t="s">
        <v>86</v>
      </c>
      <c r="E184" s="11">
        <v>1978</v>
      </c>
      <c r="F184" s="11"/>
      <c r="G184" s="11">
        <v>460</v>
      </c>
      <c r="H184" s="119">
        <f>_xlfn.XLOOKUP(Table1[[#This Row],[Shipment Number]], 'pivot '!A:A,'pivot '!G:G, "NF")</f>
        <v>4.6294839246745028</v>
      </c>
      <c r="I184" s="120">
        <f>Table1[[#This Row],[Tiyaar/gaz]]/1.0936</f>
        <v>420.62911485003661</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4" s="118"/>
    </row>
    <row r="185" spans="1:11" x14ac:dyDescent="0.3">
      <c r="A185" s="121">
        <v>46069</v>
      </c>
      <c r="B185" s="122" t="s">
        <v>335</v>
      </c>
      <c r="C185" s="118">
        <v>1495</v>
      </c>
      <c r="D185" s="118" t="s">
        <v>85</v>
      </c>
      <c r="E185" s="11">
        <v>1979</v>
      </c>
      <c r="F185" s="11">
        <v>24922</v>
      </c>
      <c r="G185" s="11">
        <v>26640</v>
      </c>
      <c r="H185" s="119">
        <f>_xlfn.XLOOKUP(Table1[[#This Row],[Shipment Number]], 'pivot '!A:A,'pivot '!G:G, "NF")</f>
        <v>2.2553879442558582</v>
      </c>
      <c r="I185" s="120">
        <f>Table1[[#This Row],[Tiyaar/gaz]]/1.0936</f>
        <v>24359.912216532553</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5" s="118"/>
    </row>
    <row r="186" spans="1:11" x14ac:dyDescent="0.3">
      <c r="A186" s="121">
        <v>46069</v>
      </c>
      <c r="B186" s="122" t="s">
        <v>335</v>
      </c>
      <c r="C186" s="118">
        <v>1496</v>
      </c>
      <c r="D186" s="118" t="s">
        <v>85</v>
      </c>
      <c r="E186" s="11">
        <v>1976</v>
      </c>
      <c r="F186" s="11">
        <v>22604</v>
      </c>
      <c r="G186" s="11">
        <v>24110</v>
      </c>
      <c r="H186" s="119">
        <f>_xlfn.XLOOKUP(Table1[[#This Row],[Shipment Number]], 'pivot '!A:A,'pivot '!G:G, "NF")</f>
        <v>2.4665896086650321</v>
      </c>
      <c r="I186" s="120">
        <f>Table1[[#This Row],[Tiyaar/gaz]]/1.0936</f>
        <v>22046.452084857352</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6" s="118"/>
    </row>
    <row r="187" spans="1:11" x14ac:dyDescent="0.3">
      <c r="A187" s="121">
        <v>46069</v>
      </c>
      <c r="B187" s="122" t="s">
        <v>21</v>
      </c>
      <c r="C187" s="118">
        <v>1497</v>
      </c>
      <c r="D187" s="118" t="s">
        <v>85</v>
      </c>
      <c r="E187" s="11">
        <v>2045</v>
      </c>
      <c r="F187" s="11">
        <v>5552</v>
      </c>
      <c r="G187" s="11">
        <v>2101</v>
      </c>
      <c r="H187" s="119">
        <f>_xlfn.XLOOKUP(Table1[[#This Row],[Shipment Number]], 'pivot '!A:A,'pivot '!G:G, "NF")</f>
        <v>33.840247370606875</v>
      </c>
      <c r="I187" s="120">
        <f>Table1[[#This Row],[Tiyaar/gaz]]/1.0936</f>
        <v>1921.1777615215804</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7" s="118"/>
    </row>
    <row r="188" spans="1:11" x14ac:dyDescent="0.3">
      <c r="A188" s="121">
        <v>46069</v>
      </c>
      <c r="B188" s="122" t="s">
        <v>21</v>
      </c>
      <c r="C188" s="118">
        <v>1498</v>
      </c>
      <c r="D188" s="118" t="s">
        <v>85</v>
      </c>
      <c r="E188" s="11">
        <v>2096</v>
      </c>
      <c r="F188" s="11">
        <v>100801</v>
      </c>
      <c r="G188" s="11">
        <v>5331</v>
      </c>
      <c r="H188" s="119">
        <f>_xlfn.XLOOKUP(Table1[[#This Row],[Shipment Number]], 'pivot '!A:A,'pivot '!G:G, "NF")</f>
        <v>95.164010598442246</v>
      </c>
      <c r="I188" s="120">
        <f>Table1[[#This Row],[Tiyaar/gaz]]/1.0936</f>
        <v>4874.7256766642286</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8" s="118"/>
    </row>
    <row r="189" spans="1:11" x14ac:dyDescent="0.3">
      <c r="A189" s="121">
        <v>46069</v>
      </c>
      <c r="B189" s="122" t="s">
        <v>21</v>
      </c>
      <c r="C189" s="118">
        <v>1499</v>
      </c>
      <c r="D189" s="118" t="s">
        <v>85</v>
      </c>
      <c r="E189" s="11">
        <v>2079</v>
      </c>
      <c r="F189" s="11">
        <v>7968</v>
      </c>
      <c r="G189" s="11">
        <v>4913</v>
      </c>
      <c r="H189" s="119">
        <f>_xlfn.XLOOKUP(Table1[[#This Row],[Shipment Number]], 'pivot '!A:A,'pivot '!G:G, "NF")</f>
        <v>7.7211369251695885</v>
      </c>
      <c r="I189" s="120">
        <f>Table1[[#This Row],[Tiyaar/gaz]]/1.0936</f>
        <v>4492.5018288222391</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9" s="118"/>
    </row>
    <row r="190" spans="1:11" x14ac:dyDescent="0.3">
      <c r="A190" s="121">
        <v>46069</v>
      </c>
      <c r="B190" s="122" t="s">
        <v>21</v>
      </c>
      <c r="C190" s="118">
        <v>1500</v>
      </c>
      <c r="D190" s="118" t="s">
        <v>85</v>
      </c>
      <c r="E190" s="11">
        <v>2048</v>
      </c>
      <c r="F190" s="11">
        <f>58122-2159-8472</f>
        <v>47491</v>
      </c>
      <c r="G190" s="11">
        <v>4203</v>
      </c>
      <c r="H190" s="119">
        <f>_xlfn.XLOOKUP(Table1[[#This Row],[Shipment Number]], 'pivot '!A:A,'pivot '!G:G, "NF")</f>
        <v>91.907372061732957</v>
      </c>
      <c r="I190" s="120">
        <f>Table1[[#This Row],[Tiyaar/gaz]]/1.0936</f>
        <v>3843.2699341623997</v>
      </c>
      <c r="J190" s="120"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90" s="118"/>
    </row>
    <row r="191" spans="1:11" x14ac:dyDescent="0.3">
      <c r="A191" s="140">
        <v>46070</v>
      </c>
      <c r="B191" s="122" t="s">
        <v>21</v>
      </c>
      <c r="C191" s="118">
        <v>1501</v>
      </c>
      <c r="D191" s="118" t="s">
        <v>86</v>
      </c>
      <c r="E191" s="11">
        <v>2099</v>
      </c>
      <c r="F191" s="11">
        <v>96074</v>
      </c>
      <c r="G191" s="11">
        <v>37163</v>
      </c>
      <c r="H191" s="119">
        <f>_xlfn.XLOOKUP(Table1[[#This Row],[Shipment Number]], 'pivot '!A:A,'pivot '!G:G, "NF")</f>
        <v>13.709910181250635</v>
      </c>
      <c r="I191" s="120">
        <f>Table1[[#This Row],[Tiyaar/gaz]]/1.0936</f>
        <v>33982.26042428676</v>
      </c>
      <c r="J191" s="120"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1" s="118"/>
    </row>
    <row r="192" spans="1:11" x14ac:dyDescent="0.3">
      <c r="A192" s="140">
        <v>46070</v>
      </c>
      <c r="B192" s="122" t="s">
        <v>335</v>
      </c>
      <c r="C192" s="118">
        <v>1502</v>
      </c>
      <c r="D192" s="118" t="s">
        <v>86</v>
      </c>
      <c r="E192" s="11">
        <v>1977</v>
      </c>
      <c r="F192" s="11">
        <v>27995</v>
      </c>
      <c r="G192" s="11">
        <v>9124</v>
      </c>
      <c r="H192" s="119">
        <f>_xlfn.XLOOKUP(Table1[[#This Row],[Shipment Number]], 'pivot '!A:A,'pivot '!G:G, "NF")</f>
        <v>5.8935568622937069</v>
      </c>
      <c r="I192" s="120">
        <f>Table1[[#This Row],[Tiyaar/gaz]]/1.0936</f>
        <v>8343.0870519385517</v>
      </c>
      <c r="J192" s="120"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2" s="118"/>
    </row>
    <row r="193" spans="1:11" x14ac:dyDescent="0.3">
      <c r="A193" s="140">
        <v>46070</v>
      </c>
      <c r="B193" s="122" t="s">
        <v>21</v>
      </c>
      <c r="C193" s="118">
        <v>1503</v>
      </c>
      <c r="D193" s="118" t="s">
        <v>86</v>
      </c>
      <c r="E193" s="11">
        <v>2099</v>
      </c>
      <c r="F193" s="11">
        <v>96074</v>
      </c>
      <c r="G193" s="11">
        <v>17576</v>
      </c>
      <c r="H193" s="119">
        <f>_xlfn.XLOOKUP(Table1[[#This Row],[Shipment Number]], 'pivot '!A:A,'pivot '!G:G, "NF")</f>
        <v>13.709910181250635</v>
      </c>
      <c r="I193" s="120">
        <f>Table1[[#This Row],[Tiyaar/gaz]]/1.0936</f>
        <v>16071.689831748356</v>
      </c>
      <c r="J193" s="120"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3" s="118"/>
    </row>
    <row r="194" spans="1:11" x14ac:dyDescent="0.3">
      <c r="A194" s="140">
        <v>46070</v>
      </c>
      <c r="B194" s="122" t="s">
        <v>22</v>
      </c>
      <c r="C194" s="118">
        <v>1504</v>
      </c>
      <c r="D194" s="118" t="s">
        <v>86</v>
      </c>
      <c r="E194" s="11">
        <v>2094</v>
      </c>
      <c r="F194" s="11">
        <v>30340</v>
      </c>
      <c r="G194" s="11">
        <v>14297</v>
      </c>
      <c r="H194" s="119">
        <f>_xlfn.XLOOKUP(Table1[[#This Row],[Shipment Number]], 'pivot '!A:A,'pivot '!G:G, "NF")</f>
        <v>3.5226949968149341</v>
      </c>
      <c r="I194" s="120">
        <f>Table1[[#This Row],[Tiyaar/gaz]]/1.0936</f>
        <v>13073.335771762986</v>
      </c>
      <c r="J194" s="120"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4" s="118"/>
    </row>
    <row r="195" spans="1:11" x14ac:dyDescent="0.3">
      <c r="A195" s="140">
        <v>46070</v>
      </c>
      <c r="B195" s="122" t="s">
        <v>21</v>
      </c>
      <c r="C195" s="118">
        <v>1505</v>
      </c>
      <c r="D195" s="118" t="s">
        <v>86</v>
      </c>
      <c r="E195" s="11">
        <v>2099</v>
      </c>
      <c r="F195" s="11">
        <v>96074</v>
      </c>
      <c r="G195" s="11">
        <v>16430</v>
      </c>
      <c r="H195" s="119">
        <f>_xlfn.XLOOKUP(Table1[[#This Row],[Shipment Number]], 'pivot '!A:A,'pivot '!G:G, "NF")</f>
        <v>13.709910181250635</v>
      </c>
      <c r="I195" s="120">
        <f>Table1[[#This Row],[Tiyaar/gaz]]/1.0936</f>
        <v>15023.774689100221</v>
      </c>
      <c r="J195" s="120"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5" s="118"/>
    </row>
    <row r="196" spans="1:11" x14ac:dyDescent="0.3">
      <c r="A196" s="140">
        <v>46071</v>
      </c>
      <c r="B196" s="122" t="s">
        <v>190</v>
      </c>
      <c r="C196" s="118">
        <v>1507</v>
      </c>
      <c r="D196" s="118" t="s">
        <v>86</v>
      </c>
      <c r="E196" s="11">
        <v>2075</v>
      </c>
      <c r="F196" s="11">
        <v>1519</v>
      </c>
      <c r="G196" s="11">
        <v>1650</v>
      </c>
      <c r="H196" s="119">
        <f>_xlfn.XLOOKUP(Table1[[#This Row],[Shipment Number]], 'pivot '!A:A,'pivot '!G:G, "NF")</f>
        <v>0.67291989830832222</v>
      </c>
      <c r="I196" s="120">
        <f>Table1[[#This Row],[Tiyaar/gaz]]/1.0936</f>
        <v>1508.7783467446966</v>
      </c>
      <c r="J196" s="120"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6" s="118"/>
    </row>
    <row r="197" spans="1:11" x14ac:dyDescent="0.3">
      <c r="A197" s="140">
        <v>46071</v>
      </c>
      <c r="B197" s="122" t="s">
        <v>190</v>
      </c>
      <c r="C197" s="118">
        <v>1508</v>
      </c>
      <c r="D197" s="118" t="s">
        <v>86</v>
      </c>
      <c r="E197" s="11">
        <v>2074</v>
      </c>
      <c r="F197" s="11">
        <v>1308</v>
      </c>
      <c r="G197" s="11">
        <v>1408</v>
      </c>
      <c r="H197" s="119">
        <f>_xlfn.XLOOKUP(Table1[[#This Row],[Shipment Number]], 'pivot '!A:A,'pivot '!G:G, "NF")</f>
        <v>1.5679773785315234</v>
      </c>
      <c r="I197" s="120">
        <f>Table1[[#This Row],[Tiyaar/gaz]]/1.0936</f>
        <v>1287.4908558888078</v>
      </c>
      <c r="J197" s="120"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7" s="118"/>
    </row>
    <row r="198" spans="1:11" x14ac:dyDescent="0.3">
      <c r="A198" s="141">
        <v>46071</v>
      </c>
      <c r="B198" s="125" t="s">
        <v>21</v>
      </c>
      <c r="C198" s="126">
        <v>1506</v>
      </c>
      <c r="D198" s="126" t="s">
        <v>86</v>
      </c>
      <c r="E198" s="127">
        <v>2099</v>
      </c>
      <c r="F198" s="127">
        <v>96074</v>
      </c>
      <c r="G198" s="127">
        <v>16430</v>
      </c>
      <c r="H198" s="128">
        <f>_xlfn.XLOOKUP(Table1[[#This Row],[Shipment Number]], 'pivot '!A:A,'pivot '!G:G, "NF")</f>
        <v>13.709910181250635</v>
      </c>
      <c r="I198" s="120">
        <f>Table1[[#This Row],[Tiyaar/gaz]]/1.0936</f>
        <v>15023.774689100221</v>
      </c>
      <c r="J198" s="120" cm="1">
        <f t="array" ref="J1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8" s="126"/>
    </row>
    <row r="199" spans="1:11" x14ac:dyDescent="0.3">
      <c r="A199"/>
      <c r="B199"/>
      <c r="C199"/>
      <c r="D199"/>
      <c r="E199" s="14"/>
      <c r="F199" s="14"/>
      <c r="G199" s="14"/>
      <c r="H199" s="43"/>
      <c r="I199" s="94" cm="1">
        <f t="array" aca="1" ref="I199" ca="1">SUMPRODUCT( SUBTOTAL(109, OFFSET(Table1[tiyar/meters], ROW(Table1[tiyar/meters])-MIN(ROW(Table1[tiyar/meters])), 0, 1)), --(Table1[Bill Number]&lt;&gt;"December Closing CF") )</f>
        <v>1854186.1741038773</v>
      </c>
      <c r="J199" s="43" cm="1">
        <f t="array" aca="1" ref="J199" ca="1">SUMPRODUCT( SUBTOTAL(109, OFFSET(Table1[billing], ROW(Table1[billing])-MIN(ROW(Table1[billing])), 0, 1)), --(Table1[Bill Number]&lt;&gt;"December Closing CF") )</f>
        <v>20808859.72933431</v>
      </c>
      <c r="K199" s="14">
        <f>SUMIFS(Table1[billing], Table1[Bill Number], "&lt;&gt;December Closing CF")</f>
        <v>20808859.72933431</v>
      </c>
    </row>
  </sheetData>
  <phoneticPr fontId="7" alignment="center"/>
  <conditionalFormatting sqref="H2:H199">
    <cfRule type="cellIs" dxfId="17"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381</v>
      </c>
      <c r="D1" t="s">
        <v>382</v>
      </c>
      <c r="E1" t="s">
        <v>78</v>
      </c>
    </row>
    <row r="2" spans="1:5" x14ac:dyDescent="0.3">
      <c r="A2" s="1">
        <v>46046</v>
      </c>
      <c r="B2" t="s">
        <v>383</v>
      </c>
      <c r="C2">
        <v>2069</v>
      </c>
      <c r="D2">
        <v>3875</v>
      </c>
      <c r="E2" t="s">
        <v>384</v>
      </c>
    </row>
    <row r="3" spans="1:5" x14ac:dyDescent="0.3">
      <c r="A3" s="1">
        <v>46048</v>
      </c>
      <c r="B3" t="s">
        <v>385</v>
      </c>
      <c r="C3">
        <v>2070</v>
      </c>
      <c r="D3">
        <v>60945</v>
      </c>
      <c r="E3" t="s">
        <v>386</v>
      </c>
    </row>
    <row r="4" spans="1:5" x14ac:dyDescent="0.3">
      <c r="A4" s="1">
        <v>46048</v>
      </c>
      <c r="C4">
        <v>2071</v>
      </c>
    </row>
    <row r="5" spans="1:5" x14ac:dyDescent="0.3">
      <c r="A5" s="1">
        <v>46048</v>
      </c>
      <c r="B5" t="s">
        <v>385</v>
      </c>
      <c r="C5">
        <v>2072</v>
      </c>
      <c r="D5">
        <v>15104</v>
      </c>
      <c r="E5" t="s">
        <v>386</v>
      </c>
    </row>
    <row r="6" spans="1:5" x14ac:dyDescent="0.3">
      <c r="A6" s="1">
        <v>46049</v>
      </c>
      <c r="B6" t="s">
        <v>9</v>
      </c>
      <c r="C6">
        <v>2073</v>
      </c>
      <c r="D6">
        <v>20111</v>
      </c>
      <c r="E6" t="s">
        <v>386</v>
      </c>
    </row>
    <row r="7" spans="1:5" x14ac:dyDescent="0.3">
      <c r="A7" s="1">
        <v>46049</v>
      </c>
      <c r="B7" t="s">
        <v>387</v>
      </c>
      <c r="C7">
        <v>2074</v>
      </c>
      <c r="D7">
        <v>1519</v>
      </c>
      <c r="E7" t="s">
        <v>386</v>
      </c>
    </row>
    <row r="8" spans="1:5" x14ac:dyDescent="0.3">
      <c r="A8" s="1">
        <v>46049</v>
      </c>
      <c r="B8" t="s">
        <v>387</v>
      </c>
      <c r="C8">
        <v>2075</v>
      </c>
      <c r="D8">
        <v>1519</v>
      </c>
      <c r="E8" t="s">
        <v>386</v>
      </c>
    </row>
    <row r="9" spans="1:5" x14ac:dyDescent="0.3">
      <c r="A9" s="1">
        <v>46053</v>
      </c>
      <c r="B9" t="s">
        <v>388</v>
      </c>
      <c r="C9">
        <v>2076</v>
      </c>
      <c r="D9">
        <v>50784</v>
      </c>
      <c r="E9" t="s">
        <v>86</v>
      </c>
    </row>
    <row r="10" spans="1:5" x14ac:dyDescent="0.3">
      <c r="A10" s="1">
        <v>46053</v>
      </c>
      <c r="B10" t="s">
        <v>389</v>
      </c>
      <c r="C10">
        <v>2077</v>
      </c>
      <c r="D10">
        <v>62470</v>
      </c>
      <c r="E10" t="s">
        <v>86</v>
      </c>
    </row>
    <row r="11" spans="1:5" x14ac:dyDescent="0.3">
      <c r="A11" s="1">
        <v>46053</v>
      </c>
      <c r="B11" t="s">
        <v>9</v>
      </c>
      <c r="C11">
        <v>2078</v>
      </c>
      <c r="D11">
        <v>25072</v>
      </c>
      <c r="E11" t="s">
        <v>386</v>
      </c>
    </row>
    <row r="12" spans="1:5" x14ac:dyDescent="0.3">
      <c r="A12" s="1">
        <v>46053</v>
      </c>
      <c r="B12" t="s">
        <v>21</v>
      </c>
      <c r="C12">
        <v>2079</v>
      </c>
      <c r="D12">
        <v>7968</v>
      </c>
      <c r="E12" t="s">
        <v>390</v>
      </c>
    </row>
    <row r="13" spans="1:5" x14ac:dyDescent="0.3">
      <c r="A13" s="1">
        <v>46056</v>
      </c>
      <c r="B13" t="s">
        <v>21</v>
      </c>
      <c r="C13">
        <v>2080</v>
      </c>
      <c r="D13">
        <v>53024</v>
      </c>
      <c r="E13" t="s">
        <v>391</v>
      </c>
    </row>
    <row r="14" spans="1:5" x14ac:dyDescent="0.3">
      <c r="A14" s="1">
        <v>46056</v>
      </c>
      <c r="B14" t="s">
        <v>21</v>
      </c>
      <c r="C14">
        <v>2081</v>
      </c>
      <c r="D14">
        <v>68014</v>
      </c>
      <c r="E14" t="s">
        <v>391</v>
      </c>
    </row>
    <row r="15" spans="1:5" x14ac:dyDescent="0.3">
      <c r="A15" s="1">
        <v>46056</v>
      </c>
      <c r="B15" t="s">
        <v>21</v>
      </c>
      <c r="C15">
        <v>2082</v>
      </c>
      <c r="D15">
        <v>83635</v>
      </c>
      <c r="E15" t="s">
        <v>391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386</v>
      </c>
    </row>
    <row r="19" spans="1:5" x14ac:dyDescent="0.3">
      <c r="A19" s="1">
        <v>46057</v>
      </c>
      <c r="B19" t="s">
        <v>387</v>
      </c>
      <c r="C19">
        <v>2086</v>
      </c>
      <c r="D19" t="s">
        <v>392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43"/>
  <sheetViews>
    <sheetView topLeftCell="A55" zoomScale="145" zoomScaleNormal="90" workbookViewId="0">
      <selection activeCell="D60" sqref="D60:D6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274</v>
      </c>
      <c r="C3" s="82" t="s">
        <v>95</v>
      </c>
      <c r="D3" s="83"/>
      <c r="E3" s="83"/>
      <c r="F3" s="83"/>
      <c r="G3" s="83">
        <f>D3*E3</f>
        <v>0</v>
      </c>
      <c r="H3" s="11">
        <v>0</v>
      </c>
      <c r="I3" s="84">
        <v>1048490</v>
      </c>
    </row>
    <row r="4" spans="1:16" x14ac:dyDescent="0.3">
      <c r="A4" s="85">
        <v>46042</v>
      </c>
      <c r="B4" s="4" t="s">
        <v>216</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6812370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194</v>
      </c>
      <c r="C9" s="82" t="s">
        <v>95</v>
      </c>
      <c r="D9" s="11"/>
      <c r="E9" s="11"/>
      <c r="F9" s="11"/>
      <c r="G9" s="11">
        <f t="shared" si="1"/>
        <v>0</v>
      </c>
      <c r="H9" s="11"/>
      <c r="I9" s="84">
        <v>917704</v>
      </c>
      <c r="K9" s="11"/>
      <c r="L9" s="26" t="s">
        <v>103</v>
      </c>
      <c r="M9" s="14"/>
      <c r="N9" s="14">
        <v>0</v>
      </c>
      <c r="O9" s="14"/>
      <c r="P9" s="14">
        <v>0</v>
      </c>
    </row>
    <row r="10" spans="1:16" x14ac:dyDescent="0.3">
      <c r="A10" s="85">
        <v>46042</v>
      </c>
      <c r="B10" s="4" t="s">
        <v>196</v>
      </c>
      <c r="C10" s="82" t="s">
        <v>95</v>
      </c>
      <c r="D10" s="11"/>
      <c r="E10" s="11"/>
      <c r="F10" s="11"/>
      <c r="G10" s="11"/>
      <c r="H10" s="11"/>
      <c r="I10" s="84">
        <v>81306</v>
      </c>
      <c r="K10" s="11"/>
      <c r="L10" s="42" t="s">
        <v>103</v>
      </c>
      <c r="M10" s="14"/>
      <c r="N10" s="14">
        <v>0</v>
      </c>
      <c r="O10" s="14"/>
      <c r="P10" s="14">
        <v>0</v>
      </c>
    </row>
    <row r="11" spans="1:16" x14ac:dyDescent="0.3">
      <c r="A11" s="85">
        <v>46042</v>
      </c>
      <c r="B11" s="4" t="s">
        <v>211</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194</v>
      </c>
      <c r="D19" s="11">
        <v>218</v>
      </c>
      <c r="E19" s="11">
        <v>820</v>
      </c>
      <c r="F19" s="11"/>
      <c r="G19" s="11">
        <f>D19*E19</f>
        <v>178760</v>
      </c>
      <c r="H19" s="11"/>
      <c r="I19" s="11">
        <f>(D19*E19)-Table3[[#This Row],[Paid]]</f>
        <v>178760</v>
      </c>
      <c r="L19" s="26">
        <v>46050</v>
      </c>
      <c r="M19" s="14">
        <v>201</v>
      </c>
      <c r="N19" s="14">
        <v>129840</v>
      </c>
      <c r="O19" s="14"/>
      <c r="P19" s="14">
        <v>129840</v>
      </c>
    </row>
    <row r="20" spans="1:16" x14ac:dyDescent="0.3">
      <c r="A20" s="1">
        <v>46044</v>
      </c>
      <c r="B20" t="s">
        <v>216</v>
      </c>
      <c r="D20" s="11">
        <v>126</v>
      </c>
      <c r="E20" s="11">
        <v>820</v>
      </c>
      <c r="F20" s="11"/>
      <c r="G20" s="11">
        <f>D20*E20</f>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D21*E21</f>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D22*E22</f>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D23*E23</f>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D24*E24</f>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D25*E25</f>
        <v>49300</v>
      </c>
      <c r="H25" s="11"/>
      <c r="I25" s="11">
        <f>(D25*E25)-Table3[[#This Row],[Paid]]</f>
        <v>49300</v>
      </c>
      <c r="L25" s="42" t="s">
        <v>356</v>
      </c>
      <c r="M25" s="14">
        <v>242</v>
      </c>
      <c r="N25" s="14">
        <v>205700</v>
      </c>
      <c r="O25" s="14"/>
      <c r="P25" s="14">
        <v>205700</v>
      </c>
    </row>
    <row r="26" spans="1:16" x14ac:dyDescent="0.3">
      <c r="A26" s="1">
        <v>46050</v>
      </c>
      <c r="B26" t="s">
        <v>169</v>
      </c>
      <c r="D26" s="11">
        <v>45</v>
      </c>
      <c r="E26" s="11">
        <v>775</v>
      </c>
      <c r="F26" s="11"/>
      <c r="G26" s="11">
        <f>D26*E26</f>
        <v>34875</v>
      </c>
      <c r="H26" s="11"/>
      <c r="I26" s="11">
        <f>(D26*E26)-Table3[[#This Row],[Paid]]</f>
        <v>34875</v>
      </c>
      <c r="L26" s="26">
        <v>46053</v>
      </c>
      <c r="M26" s="14">
        <v>73</v>
      </c>
      <c r="N26" s="14">
        <v>56575</v>
      </c>
      <c r="O26" s="14"/>
      <c r="P26" s="14">
        <v>56575</v>
      </c>
    </row>
    <row r="27" spans="1:16" x14ac:dyDescent="0.3">
      <c r="A27" s="1">
        <v>46049</v>
      </c>
      <c r="B27" t="s">
        <v>194</v>
      </c>
      <c r="D27" s="11">
        <v>237</v>
      </c>
      <c r="E27" s="11">
        <v>820</v>
      </c>
      <c r="F27" s="11"/>
      <c r="G27" s="11">
        <f>D27*E27</f>
        <v>194340</v>
      </c>
      <c r="H27" s="11"/>
      <c r="I27" s="11">
        <f>(D27*E27)-Table3[[#This Row],[Paid]]</f>
        <v>194340</v>
      </c>
      <c r="L27" s="42" t="s">
        <v>103</v>
      </c>
      <c r="M27" s="14">
        <v>73</v>
      </c>
      <c r="N27" s="14">
        <v>56575</v>
      </c>
      <c r="O27" s="14"/>
      <c r="P27" s="14">
        <v>56575</v>
      </c>
    </row>
    <row r="28" spans="1:16" x14ac:dyDescent="0.3">
      <c r="A28" s="1">
        <v>46052</v>
      </c>
      <c r="B28" t="s">
        <v>274</v>
      </c>
      <c r="D28" s="11">
        <v>533</v>
      </c>
      <c r="E28" s="11">
        <v>925</v>
      </c>
      <c r="F28" s="11">
        <v>90000</v>
      </c>
      <c r="G28" s="11">
        <f>D28*E28</f>
        <v>493025</v>
      </c>
      <c r="H28" s="11"/>
      <c r="I28" s="11">
        <f>(D28*E28)-Table3[[#This Row],[Paid]]</f>
        <v>493025</v>
      </c>
      <c r="L28" s="26">
        <v>46055</v>
      </c>
      <c r="M28" s="14">
        <v>132</v>
      </c>
      <c r="N28" s="14">
        <v>95865</v>
      </c>
      <c r="O28" s="14"/>
      <c r="P28" s="14">
        <v>95865</v>
      </c>
    </row>
    <row r="29" spans="1:16" x14ac:dyDescent="0.3">
      <c r="A29" s="1">
        <v>46054</v>
      </c>
      <c r="B29" t="s">
        <v>194</v>
      </c>
      <c r="C29" t="s">
        <v>356</v>
      </c>
      <c r="D29" s="11">
        <v>242</v>
      </c>
      <c r="E29" s="11">
        <v>850</v>
      </c>
      <c r="F29" s="11"/>
      <c r="G29" s="11">
        <f>D29*E29</f>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D31*E31</f>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D32*E32</f>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D33*E33</f>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D34*E34</f>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D35*E35</f>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D36*E36</f>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D37*E37</f>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D38*E38</f>
        <v>19140</v>
      </c>
      <c r="H38" s="11"/>
      <c r="I38" s="11">
        <f>(D38*E38)-Table3[[#This Row],[Paid]]</f>
        <v>19140</v>
      </c>
      <c r="L38" s="26">
        <v>46061</v>
      </c>
      <c r="M38" s="14">
        <v>604</v>
      </c>
      <c r="N38" s="14">
        <v>495280</v>
      </c>
      <c r="O38" s="14"/>
      <c r="P38" s="14">
        <v>495280</v>
      </c>
    </row>
    <row r="39" spans="1:16" x14ac:dyDescent="0.3">
      <c r="A39" s="1">
        <v>46059</v>
      </c>
      <c r="B39" t="s">
        <v>194</v>
      </c>
      <c r="D39" s="11">
        <v>198</v>
      </c>
      <c r="E39" s="11">
        <v>820</v>
      </c>
      <c r="F39" s="11"/>
      <c r="G39" s="11">
        <f>D39*E39</f>
        <v>162360</v>
      </c>
      <c r="H39" s="11"/>
      <c r="I39" s="11">
        <f>(D39*E39)-Table3[[#This Row],[Paid]]</f>
        <v>162360</v>
      </c>
      <c r="L39" s="42" t="s">
        <v>103</v>
      </c>
      <c r="M39" s="14">
        <v>604</v>
      </c>
      <c r="N39" s="14">
        <v>495280</v>
      </c>
      <c r="O39" s="14"/>
      <c r="P39" s="14">
        <v>495280</v>
      </c>
    </row>
    <row r="40" spans="1:16" x14ac:dyDescent="0.3">
      <c r="A40" s="1">
        <v>46056</v>
      </c>
      <c r="B40" t="s">
        <v>194</v>
      </c>
      <c r="D40" s="11">
        <v>250</v>
      </c>
      <c r="E40" s="11">
        <v>850</v>
      </c>
      <c r="F40" s="11"/>
      <c r="G40" s="11">
        <f>D40*E40</f>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D41*E41</f>
        <v>200860</v>
      </c>
      <c r="H41" s="11"/>
      <c r="I41" s="11">
        <f>(D41*E41)-Table3[[#This Row],[Paid]]</f>
        <v>200860</v>
      </c>
      <c r="L41" s="42" t="s">
        <v>103</v>
      </c>
      <c r="M41" s="14">
        <v>215</v>
      </c>
      <c r="N41" s="14">
        <v>176300</v>
      </c>
      <c r="O41" s="14"/>
      <c r="P41" s="14">
        <v>176300</v>
      </c>
    </row>
    <row r="42" spans="1:16" x14ac:dyDescent="0.3">
      <c r="A42" s="1">
        <v>46061</v>
      </c>
      <c r="B42" t="s">
        <v>194</v>
      </c>
      <c r="D42" s="11">
        <v>206</v>
      </c>
      <c r="E42" s="11">
        <v>820</v>
      </c>
      <c r="F42" s="11"/>
      <c r="G42" s="11">
        <f>D42*E42</f>
        <v>168920</v>
      </c>
      <c r="H42" s="11"/>
      <c r="I42" s="11">
        <f>(D42*E42)-Table3[[#This Row],[Paid]]</f>
        <v>168920</v>
      </c>
      <c r="L42" s="26">
        <v>46063</v>
      </c>
      <c r="M42" s="14">
        <v>670</v>
      </c>
      <c r="N42" s="14">
        <v>455940</v>
      </c>
      <c r="O42" s="14"/>
      <c r="P42" s="14">
        <v>455940</v>
      </c>
    </row>
    <row r="43" spans="1:16" x14ac:dyDescent="0.3">
      <c r="A43" s="1">
        <v>46061</v>
      </c>
      <c r="B43" t="s">
        <v>216</v>
      </c>
      <c r="D43" s="11">
        <v>231</v>
      </c>
      <c r="E43" s="11">
        <v>820</v>
      </c>
      <c r="F43" s="11"/>
      <c r="G43" s="11">
        <f>D43*E43</f>
        <v>189420</v>
      </c>
      <c r="H43" s="11"/>
      <c r="I43" s="11">
        <f>(D43*E43)-Table3[[#This Row],[Paid]]</f>
        <v>189420</v>
      </c>
      <c r="L43" s="42" t="s">
        <v>103</v>
      </c>
      <c r="M43" s="14">
        <v>670</v>
      </c>
      <c r="N43" s="14">
        <v>455940</v>
      </c>
      <c r="O43" s="14"/>
      <c r="P43" s="14">
        <v>455940</v>
      </c>
    </row>
    <row r="44" spans="1:16" x14ac:dyDescent="0.3">
      <c r="A44" s="1">
        <v>46061</v>
      </c>
      <c r="B44" t="s">
        <v>216</v>
      </c>
      <c r="D44" s="11">
        <v>167</v>
      </c>
      <c r="E44" s="11">
        <v>820</v>
      </c>
      <c r="F44" s="11"/>
      <c r="G44" s="11">
        <f>D44*E44</f>
        <v>136940</v>
      </c>
      <c r="H44" s="11"/>
      <c r="I44" s="11">
        <f>(D44*E44)-Table3[[#This Row],[Paid]]</f>
        <v>136940</v>
      </c>
      <c r="L44" s="26">
        <v>46064</v>
      </c>
      <c r="M44" s="14">
        <v>157</v>
      </c>
      <c r="N44" s="14">
        <v>128740</v>
      </c>
      <c r="O44" s="14"/>
      <c r="P44" s="14">
        <v>128740</v>
      </c>
    </row>
    <row r="45" spans="1:16" x14ac:dyDescent="0.3">
      <c r="A45" s="1">
        <v>46062</v>
      </c>
      <c r="B45" t="s">
        <v>194</v>
      </c>
      <c r="D45" s="11">
        <v>215</v>
      </c>
      <c r="E45" s="11">
        <v>820</v>
      </c>
      <c r="F45" s="11"/>
      <c r="G45" s="11">
        <f>D45*E45</f>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D46*E46</f>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D47*E47</f>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D48*E48</f>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D49*E49</f>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D50*E50</f>
        <v>215800</v>
      </c>
      <c r="H50" s="11"/>
      <c r="I50" s="11">
        <f>(D50*E50)-Table3[[#This Row],[Paid]]</f>
        <v>215800</v>
      </c>
      <c r="L50" s="26">
        <v>46068</v>
      </c>
      <c r="M50" s="14">
        <v>634</v>
      </c>
      <c r="N50" s="14">
        <v>522330</v>
      </c>
      <c r="O50" s="14"/>
      <c r="P50" s="14">
        <v>522330</v>
      </c>
    </row>
    <row r="51" spans="1:16" x14ac:dyDescent="0.3">
      <c r="A51" s="1">
        <v>46063</v>
      </c>
      <c r="B51" t="s">
        <v>196</v>
      </c>
      <c r="D51" s="11">
        <v>154</v>
      </c>
      <c r="E51" s="11">
        <v>580</v>
      </c>
      <c r="F51" s="11"/>
      <c r="G51" s="11">
        <f>D51*E51</f>
        <v>89320</v>
      </c>
      <c r="H51" s="11"/>
      <c r="I51" s="11">
        <f>(D51*E51)-Table3[[#This Row],[Paid]]</f>
        <v>89320</v>
      </c>
      <c r="L51" s="42" t="s">
        <v>103</v>
      </c>
      <c r="M51" s="14">
        <v>634</v>
      </c>
      <c r="N51" s="14">
        <v>522330</v>
      </c>
      <c r="O51" s="14"/>
      <c r="P51" s="14">
        <v>522330</v>
      </c>
    </row>
    <row r="52" spans="1:16" x14ac:dyDescent="0.3">
      <c r="A52" s="1">
        <v>46064</v>
      </c>
      <c r="B52" t="s">
        <v>194</v>
      </c>
      <c r="D52" s="11">
        <v>157</v>
      </c>
      <c r="E52" s="11">
        <v>820</v>
      </c>
      <c r="F52" s="11"/>
      <c r="G52" s="11">
        <f>D52*E52</f>
        <v>128740</v>
      </c>
      <c r="H52" s="11"/>
      <c r="I52" s="11">
        <f>(D52*E52)-Table3[[#This Row],[Paid]]</f>
        <v>128740</v>
      </c>
      <c r="L52" s="26">
        <v>46069</v>
      </c>
      <c r="M52" s="14">
        <v>248</v>
      </c>
      <c r="N52" s="14">
        <v>203360</v>
      </c>
      <c r="O52" s="14"/>
      <c r="P52" s="14">
        <v>203360</v>
      </c>
    </row>
    <row r="53" spans="1:16" x14ac:dyDescent="0.3">
      <c r="A53" s="1">
        <v>46066</v>
      </c>
      <c r="B53" t="s">
        <v>194</v>
      </c>
      <c r="D53" s="11">
        <v>204</v>
      </c>
      <c r="E53" s="11">
        <v>820</v>
      </c>
      <c r="F53" s="11"/>
      <c r="G53" s="11">
        <f>D53*E53</f>
        <v>167280</v>
      </c>
      <c r="H53" s="11"/>
      <c r="I53" s="11">
        <f>(D53*E53)-Table3[[#This Row],[Paid]]</f>
        <v>167280</v>
      </c>
      <c r="L53" s="42" t="s">
        <v>103</v>
      </c>
      <c r="M53" s="14">
        <v>248</v>
      </c>
      <c r="N53" s="14">
        <v>203360</v>
      </c>
      <c r="O53" s="14"/>
      <c r="P53" s="14">
        <v>203360</v>
      </c>
    </row>
    <row r="54" spans="1:16" x14ac:dyDescent="0.3">
      <c r="A54" s="1">
        <v>46066</v>
      </c>
      <c r="B54" t="s">
        <v>194</v>
      </c>
      <c r="D54" s="11">
        <v>237</v>
      </c>
      <c r="E54" s="11">
        <v>820</v>
      </c>
      <c r="F54" s="11"/>
      <c r="G54" s="11">
        <f>D54*E54</f>
        <v>194340</v>
      </c>
      <c r="H54" s="11"/>
      <c r="I54" s="11">
        <f>(D54*E54)-Table3[[#This Row],[Paid]]</f>
        <v>194340</v>
      </c>
      <c r="L54" s="26">
        <v>46070</v>
      </c>
      <c r="M54" s="14">
        <v>367</v>
      </c>
      <c r="N54" s="14">
        <v>294625</v>
      </c>
      <c r="O54" s="14"/>
      <c r="P54" s="14">
        <v>294625</v>
      </c>
    </row>
    <row r="55" spans="1:16" x14ac:dyDescent="0.3">
      <c r="A55" s="1">
        <v>46067</v>
      </c>
      <c r="B55" t="s">
        <v>274</v>
      </c>
      <c r="D55" s="11">
        <v>324</v>
      </c>
      <c r="E55" s="11">
        <v>925</v>
      </c>
      <c r="F55" s="11">
        <v>54940</v>
      </c>
      <c r="G55" s="11">
        <f>D55*E55</f>
        <v>299700</v>
      </c>
      <c r="H55" s="11"/>
      <c r="I55" s="11">
        <f>(D55*E55)-Table3[[#This Row],[Paid]]</f>
        <v>299700</v>
      </c>
      <c r="L55" s="42" t="s">
        <v>103</v>
      </c>
      <c r="M55" s="14">
        <v>367</v>
      </c>
      <c r="N55" s="14">
        <v>294625</v>
      </c>
      <c r="O55" s="14"/>
      <c r="P55" s="14">
        <v>294625</v>
      </c>
    </row>
    <row r="56" spans="1:16" x14ac:dyDescent="0.3">
      <c r="A56" s="1">
        <v>46067</v>
      </c>
      <c r="B56" t="s">
        <v>194</v>
      </c>
      <c r="D56" s="11">
        <v>382</v>
      </c>
      <c r="E56" s="11">
        <v>820</v>
      </c>
      <c r="F56" s="11"/>
      <c r="G56" s="11">
        <f>D56*E56</f>
        <v>313240</v>
      </c>
      <c r="H56" s="11"/>
      <c r="I56" s="11">
        <f>(D56*E56)-Table3[[#This Row],[Paid]]</f>
        <v>313240</v>
      </c>
      <c r="L56" s="26">
        <v>46071</v>
      </c>
      <c r="M56" s="14">
        <v>494</v>
      </c>
      <c r="N56" s="14">
        <v>330440</v>
      </c>
      <c r="O56" s="14"/>
      <c r="P56" s="14">
        <v>330440</v>
      </c>
    </row>
    <row r="57" spans="1:16" x14ac:dyDescent="0.3">
      <c r="A57" s="1">
        <v>46067</v>
      </c>
      <c r="B57" t="s">
        <v>194</v>
      </c>
      <c r="D57" s="11">
        <v>316</v>
      </c>
      <c r="E57" s="11">
        <v>820</v>
      </c>
      <c r="F57" s="11"/>
      <c r="G57" s="11">
        <f>D57*E57</f>
        <v>259120</v>
      </c>
      <c r="H57" s="11"/>
      <c r="I57" s="11">
        <f>(D57*E57)-Table3[[#This Row],[Paid]]</f>
        <v>259120</v>
      </c>
      <c r="L57" s="42" t="s">
        <v>103</v>
      </c>
      <c r="M57" s="14">
        <v>494</v>
      </c>
      <c r="N57" s="14">
        <v>330440</v>
      </c>
      <c r="O57" s="14"/>
      <c r="P57" s="14">
        <v>330440</v>
      </c>
    </row>
    <row r="58" spans="1:16" x14ac:dyDescent="0.3">
      <c r="A58" s="1">
        <v>46067</v>
      </c>
      <c r="B58" t="s">
        <v>169</v>
      </c>
      <c r="D58" s="11">
        <v>237</v>
      </c>
      <c r="E58" s="11">
        <v>580</v>
      </c>
      <c r="F58" s="11"/>
      <c r="G58" s="11">
        <f>D58*E58</f>
        <v>137460</v>
      </c>
      <c r="H58" s="11"/>
      <c r="I58" s="11">
        <f>(D58*E58)-Table3[[#This Row],[Paid]]</f>
        <v>137460</v>
      </c>
      <c r="L58" s="26">
        <v>46072</v>
      </c>
      <c r="M58" s="14">
        <v>335</v>
      </c>
      <c r="N58" s="14">
        <v>236175</v>
      </c>
      <c r="O58" s="14"/>
      <c r="P58" s="14">
        <v>236175</v>
      </c>
    </row>
    <row r="59" spans="1:16" x14ac:dyDescent="0.3">
      <c r="A59" s="1">
        <v>46068</v>
      </c>
      <c r="B59" t="s">
        <v>194</v>
      </c>
      <c r="D59" s="11">
        <v>184</v>
      </c>
      <c r="E59" s="11">
        <v>820</v>
      </c>
      <c r="F59" s="11"/>
      <c r="G59" s="11">
        <f>D59*E59</f>
        <v>150880</v>
      </c>
      <c r="H59" s="11"/>
      <c r="I59" s="11">
        <f>(D59*E59)-Table3[[#This Row],[Paid]]</f>
        <v>150880</v>
      </c>
      <c r="L59" s="42" t="s">
        <v>103</v>
      </c>
      <c r="M59" s="14">
        <v>335</v>
      </c>
      <c r="N59" s="14">
        <v>236175</v>
      </c>
      <c r="O59" s="14"/>
      <c r="P59" s="14">
        <v>236175</v>
      </c>
    </row>
    <row r="60" spans="1:16" x14ac:dyDescent="0.3">
      <c r="A60" s="1">
        <v>46068</v>
      </c>
      <c r="B60" t="s">
        <v>216</v>
      </c>
      <c r="D60" s="11">
        <v>205</v>
      </c>
      <c r="E60" s="11">
        <v>820</v>
      </c>
      <c r="F60" s="11"/>
      <c r="G60" s="11">
        <f>D60*E60</f>
        <v>168100</v>
      </c>
      <c r="H60" s="11"/>
      <c r="I60" s="11">
        <f>(D60*E60)-Table3[[#This Row],[Paid]]</f>
        <v>168100</v>
      </c>
      <c r="L60" s="26">
        <v>46073</v>
      </c>
      <c r="M60" s="14">
        <v>256</v>
      </c>
      <c r="N60" s="14">
        <v>209920</v>
      </c>
      <c r="O60" s="14"/>
      <c r="P60" s="14">
        <v>209920</v>
      </c>
    </row>
    <row r="61" spans="1:16" x14ac:dyDescent="0.3">
      <c r="A61" s="1">
        <v>46068</v>
      </c>
      <c r="B61" t="s">
        <v>169</v>
      </c>
      <c r="D61" s="11">
        <v>245</v>
      </c>
      <c r="E61" s="11">
        <v>830</v>
      </c>
      <c r="F61" s="11"/>
      <c r="G61" s="11">
        <f>D61*E61</f>
        <v>203350</v>
      </c>
      <c r="H61" s="11"/>
      <c r="I61" s="11">
        <f>(D61*E61)-Table3[[#This Row],[Paid]]</f>
        <v>203350</v>
      </c>
      <c r="L61" s="42" t="s">
        <v>103</v>
      </c>
      <c r="M61" s="14">
        <v>256</v>
      </c>
      <c r="N61" s="14">
        <v>209920</v>
      </c>
      <c r="O61" s="14"/>
      <c r="P61" s="14">
        <v>209920</v>
      </c>
    </row>
    <row r="62" spans="1:16" x14ac:dyDescent="0.3">
      <c r="A62" s="1">
        <v>46069</v>
      </c>
      <c r="B62" t="s">
        <v>216</v>
      </c>
      <c r="D62" s="11">
        <v>248</v>
      </c>
      <c r="E62" s="11">
        <v>820</v>
      </c>
      <c r="F62" s="11">
        <v>34000</v>
      </c>
      <c r="G62" s="11">
        <f>D62*E62</f>
        <v>203360</v>
      </c>
      <c r="H62" s="11"/>
      <c r="I62" s="11">
        <f>(D62*E62)-Table3[[#This Row],[Paid]]</f>
        <v>203360</v>
      </c>
      <c r="L62" s="26" t="s">
        <v>28</v>
      </c>
      <c r="M62" s="14">
        <v>8955</v>
      </c>
      <c r="N62" s="14">
        <v>7022290</v>
      </c>
      <c r="O62" s="14">
        <v>0</v>
      </c>
      <c r="P62" s="14">
        <v>11228244</v>
      </c>
    </row>
    <row r="63" spans="1:16" x14ac:dyDescent="0.3">
      <c r="A63" s="1">
        <v>46070</v>
      </c>
      <c r="B63" t="s">
        <v>274</v>
      </c>
      <c r="D63" s="11">
        <v>237</v>
      </c>
      <c r="E63" s="11">
        <v>925</v>
      </c>
      <c r="F63" s="11">
        <v>41000</v>
      </c>
      <c r="G63" s="11">
        <f>D63*E63</f>
        <v>219225</v>
      </c>
      <c r="H63" s="11"/>
      <c r="I63" s="11">
        <f>(D63*E63)-Table3[[#This Row],[Paid]]</f>
        <v>219225</v>
      </c>
    </row>
    <row r="64" spans="1:16" x14ac:dyDescent="0.3">
      <c r="A64" s="1">
        <v>46070</v>
      </c>
      <c r="B64" t="s">
        <v>169</v>
      </c>
      <c r="D64" s="11">
        <v>130</v>
      </c>
      <c r="E64" s="11">
        <v>580</v>
      </c>
      <c r="F64" s="11"/>
      <c r="G64" s="11">
        <f>D64*E64</f>
        <v>75400</v>
      </c>
      <c r="H64" s="11"/>
      <c r="I64" s="11">
        <f>(D64*E64)-Table3[[#This Row],[Paid]]</f>
        <v>75400</v>
      </c>
    </row>
    <row r="65" spans="1:9" x14ac:dyDescent="0.3">
      <c r="A65" s="1">
        <v>46071</v>
      </c>
      <c r="B65" t="s">
        <v>216</v>
      </c>
      <c r="D65" s="11">
        <v>183</v>
      </c>
      <c r="E65" s="11">
        <v>820</v>
      </c>
      <c r="F65" s="11"/>
      <c r="G65" s="11">
        <f>D65*E65</f>
        <v>150060</v>
      </c>
      <c r="H65" s="11"/>
      <c r="I65" s="11">
        <f>(D65*E65)-Table3[[#This Row],[Paid]]</f>
        <v>150060</v>
      </c>
    </row>
    <row r="66" spans="1:9" x14ac:dyDescent="0.3">
      <c r="A66" s="1">
        <v>46071</v>
      </c>
      <c r="B66" t="s">
        <v>169</v>
      </c>
      <c r="D66" s="11">
        <v>311</v>
      </c>
      <c r="E66" s="11">
        <v>580</v>
      </c>
      <c r="F66" s="11"/>
      <c r="G66" s="11">
        <f>D66*E66</f>
        <v>180380</v>
      </c>
      <c r="H66" s="11"/>
      <c r="I66" s="11">
        <f>(D66*E66)-Table3[[#This Row],[Paid]]</f>
        <v>180380</v>
      </c>
    </row>
    <row r="67" spans="1:9" x14ac:dyDescent="0.3">
      <c r="A67" s="1">
        <v>46072</v>
      </c>
      <c r="B67" t="s">
        <v>274</v>
      </c>
      <c r="D67" s="11">
        <v>335</v>
      </c>
      <c r="E67" s="11">
        <v>705</v>
      </c>
      <c r="F67" s="11">
        <v>35500</v>
      </c>
      <c r="G67" s="11">
        <f>D67*E67</f>
        <v>236175</v>
      </c>
      <c r="H67" s="11"/>
      <c r="I67" s="11">
        <f>(D67*E67)-Table3[[#This Row],[Paid]]</f>
        <v>236175</v>
      </c>
    </row>
    <row r="69" spans="1:9" x14ac:dyDescent="0.3">
      <c r="A69" s="1"/>
      <c r="D69" s="11"/>
      <c r="E69" s="11"/>
      <c r="F69" s="11"/>
      <c r="G69" s="11">
        <f>D69*E69</f>
        <v>0</v>
      </c>
      <c r="H69" s="11"/>
      <c r="I69" s="11">
        <f>(D69*E69)-Table3[[#This Row],[Paid]]</f>
        <v>0</v>
      </c>
    </row>
    <row r="70" spans="1:9" x14ac:dyDescent="0.3">
      <c r="A70" s="115">
        <v>46046</v>
      </c>
      <c r="B70" t="s">
        <v>194</v>
      </c>
      <c r="D70" s="11"/>
      <c r="E70" s="11"/>
      <c r="F70" s="11"/>
      <c r="G70" s="11">
        <f>D70*E70</f>
        <v>0</v>
      </c>
      <c r="H70" s="11">
        <f>SUMIFS(Table14[Debit], Table14[Date], Table3[[#This Row],[Date]], Table14[Party], Table3[[#This Row],[Party Name]])</f>
        <v>200005</v>
      </c>
      <c r="I70" s="11">
        <f>(D70*E70)-Table3[[#This Row],[Paid]]</f>
        <v>-200005</v>
      </c>
    </row>
    <row r="71" spans="1:9" x14ac:dyDescent="0.3">
      <c r="A71" s="115">
        <v>46047</v>
      </c>
      <c r="B71" t="s">
        <v>194</v>
      </c>
      <c r="D71" s="11"/>
      <c r="E71" s="11"/>
      <c r="F71" s="11"/>
      <c r="G71" s="11">
        <f>D71*E71</f>
        <v>0</v>
      </c>
      <c r="H71" s="11">
        <f>SUMIFS(Table14[Debit], Table14[Date], Table3[[#This Row],[Date]], Table14[Party], Table3[[#This Row],[Party Name]])</f>
        <v>100000</v>
      </c>
      <c r="I71" s="11">
        <f>(D71*E71)-Table3[[#This Row],[Paid]]</f>
        <v>-100000</v>
      </c>
    </row>
    <row r="72" spans="1:9" x14ac:dyDescent="0.3">
      <c r="A72" s="115">
        <v>46048</v>
      </c>
      <c r="B72" t="s">
        <v>194</v>
      </c>
      <c r="D72" s="11"/>
      <c r="E72" s="11"/>
      <c r="F72" s="11"/>
      <c r="G72" s="11">
        <f>D72*E72</f>
        <v>0</v>
      </c>
      <c r="H72" s="11">
        <f>SUMIFS(Table14[Debit], Table14[Date], Table3[[#This Row],[Date]], Table14[Party], Table3[[#This Row],[Party Name]])</f>
        <v>100113</v>
      </c>
      <c r="I72" s="11">
        <f>(D72*E72)-Table3[[#This Row],[Paid]]</f>
        <v>-100113</v>
      </c>
    </row>
    <row r="73" spans="1:9" x14ac:dyDescent="0.3">
      <c r="A73" s="115">
        <v>46053</v>
      </c>
      <c r="B73" t="s">
        <v>194</v>
      </c>
      <c r="D73" s="11"/>
      <c r="E73" s="11"/>
      <c r="F73" s="11"/>
      <c r="G73" s="11">
        <f>D73*E73</f>
        <v>0</v>
      </c>
      <c r="H73" s="11">
        <f>SUMIFS(Table14[Debit], Table14[Date], Table3[[#This Row],[Date]], Table14[Party], Table3[[#This Row],[Party Name]])</f>
        <v>100200</v>
      </c>
      <c r="I73" s="11">
        <f>(D73*E73)-Table3[[#This Row],[Paid]]</f>
        <v>-100200</v>
      </c>
    </row>
    <row r="74" spans="1:9" x14ac:dyDescent="0.3">
      <c r="A74" s="115">
        <v>46054</v>
      </c>
      <c r="B74" t="s">
        <v>194</v>
      </c>
      <c r="D74" s="11"/>
      <c r="E74" s="11"/>
      <c r="F74" s="11"/>
      <c r="G74" s="11">
        <f>D74*E74</f>
        <v>0</v>
      </c>
      <c r="H74" s="11">
        <f>SUMIFS(Table14[Debit], Table14[Date], Table3[[#This Row],[Date]], Table14[Party], Table3[[#This Row],[Party Name]])</f>
        <v>100101</v>
      </c>
      <c r="I74" s="11">
        <f>(D74*E74)-Table3[[#This Row],[Paid]]</f>
        <v>-100101</v>
      </c>
    </row>
    <row r="75" spans="1:9" x14ac:dyDescent="0.3">
      <c r="A75" s="115">
        <v>46055</v>
      </c>
      <c r="B75" t="s">
        <v>194</v>
      </c>
      <c r="D75" s="11"/>
      <c r="E75" s="11"/>
      <c r="F75" s="11"/>
      <c r="G75" s="11">
        <f>D75*E75</f>
        <v>0</v>
      </c>
      <c r="H75" s="11">
        <f>SUMIFS(Table14[Debit], Table14[Date], Table3[[#This Row],[Date]], Table14[Party], Table3[[#This Row],[Party Name]])</f>
        <v>200144</v>
      </c>
      <c r="I75" s="11">
        <f>(D75*E75)-Table3[[#This Row],[Paid]]</f>
        <v>-200144</v>
      </c>
    </row>
    <row r="76" spans="1:9" x14ac:dyDescent="0.3">
      <c r="A76" s="115">
        <v>46056</v>
      </c>
      <c r="B76" t="s">
        <v>194</v>
      </c>
      <c r="D76" s="11"/>
      <c r="E76" s="11"/>
      <c r="F76" s="11"/>
      <c r="G76" s="11">
        <f>D76*E76</f>
        <v>0</v>
      </c>
      <c r="H76" s="11">
        <f>SUMIFS(Table14[Debit], Table14[Date], Table3[[#This Row],[Date]], Table14[Party], Table3[[#This Row],[Party Name]])</f>
        <v>150224</v>
      </c>
      <c r="I76" s="11">
        <f>(D76*E76)-Table3[[#This Row],[Paid]]</f>
        <v>-150224</v>
      </c>
    </row>
    <row r="77" spans="1:9" x14ac:dyDescent="0.3">
      <c r="A77" s="38">
        <v>46058</v>
      </c>
      <c r="B77" t="s">
        <v>194</v>
      </c>
      <c r="D77" s="11"/>
      <c r="E77" s="11"/>
      <c r="F77" s="11"/>
      <c r="G77" s="11">
        <f>D77*E77</f>
        <v>0</v>
      </c>
      <c r="H77" s="11">
        <f>SUMIFS(Table14[Debit], Table14[Date], Table3[[#This Row],[Date]], Table14[Party], Table3[[#This Row],[Party Name]])</f>
        <v>200119</v>
      </c>
      <c r="I77" s="11">
        <f>(D77*E77)-Table3[[#This Row],[Paid]]</f>
        <v>-200119</v>
      </c>
    </row>
    <row r="78" spans="1:9" x14ac:dyDescent="0.3">
      <c r="A78" s="38">
        <v>46060</v>
      </c>
      <c r="B78" t="s">
        <v>194</v>
      </c>
      <c r="D78" s="11"/>
      <c r="E78" s="11"/>
      <c r="F78" s="11"/>
      <c r="G78" s="11">
        <f>D78*E78</f>
        <v>0</v>
      </c>
      <c r="H78" s="11">
        <f>SUMIFS(Table14[Debit], Table14[Date], Table3[[#This Row],[Date]], Table14[Party], Table3[[#This Row],[Party Name]])</f>
        <v>100000</v>
      </c>
      <c r="I78" s="11">
        <f>(D78*E78)-Table3[[#This Row],[Paid]]</f>
        <v>-100000</v>
      </c>
    </row>
    <row r="79" spans="1:9" x14ac:dyDescent="0.3">
      <c r="A79" s="115">
        <v>46062</v>
      </c>
      <c r="B79" t="s">
        <v>194</v>
      </c>
      <c r="D79" s="11"/>
      <c r="E79" s="11"/>
      <c r="F79" s="11"/>
      <c r="G79" s="11">
        <f>D79*E79</f>
        <v>0</v>
      </c>
      <c r="H79" s="11">
        <f>SUMIFS(Table14[Debit], Table14[Date], Table3[[#This Row],[Date]], Table14[Party], Table3[[#This Row],[Party Name]])</f>
        <v>200153</v>
      </c>
      <c r="I79" s="11">
        <f>(D79*E79)-Table3[[#This Row],[Paid]]</f>
        <v>-200153</v>
      </c>
    </row>
    <row r="80" spans="1:9" x14ac:dyDescent="0.3">
      <c r="A80" s="115"/>
      <c r="B80" t="s">
        <v>194</v>
      </c>
      <c r="D80" s="11"/>
      <c r="E80" s="11"/>
      <c r="F80" s="11"/>
      <c r="G80" s="11">
        <f>D80*E80</f>
        <v>0</v>
      </c>
      <c r="H80" s="11">
        <f>SUMIFS(Table14[Debit], Table14[Date], Table3[[#This Row],[Date]], Table14[Party], Table3[[#This Row],[Party Name]])</f>
        <v>0</v>
      </c>
      <c r="I80" s="11">
        <f>(D80*E80)-Table3[[#This Row],[Paid]]</f>
        <v>0</v>
      </c>
    </row>
    <row r="81" spans="1:9" x14ac:dyDescent="0.3">
      <c r="A81" s="115">
        <v>46063</v>
      </c>
      <c r="B81" t="s">
        <v>194</v>
      </c>
      <c r="D81" s="11"/>
      <c r="E81" s="11"/>
      <c r="F81" s="11"/>
      <c r="G81" s="11">
        <f>D81*E81</f>
        <v>0</v>
      </c>
      <c r="H81" s="11">
        <f>SUMIFS(Table14[Debit], Table14[Date], Table3[[#This Row],[Date]], Table14[Party], Table3[[#This Row],[Party Name]])</f>
        <v>7000</v>
      </c>
      <c r="I81" s="11">
        <f>(D81*E81)-Table3[[#This Row],[Paid]]</f>
        <v>-7000</v>
      </c>
    </row>
    <row r="82" spans="1:9" x14ac:dyDescent="0.3">
      <c r="A82" s="115">
        <v>46064</v>
      </c>
      <c r="B82" t="s">
        <v>194</v>
      </c>
      <c r="D82" s="11"/>
      <c r="E82" s="11"/>
      <c r="F82" s="11"/>
      <c r="G82" s="11">
        <f>D82*E82</f>
        <v>0</v>
      </c>
      <c r="H82" s="11">
        <f>SUMIFS(Table14[Debit], Table14[Date], Table3[[#This Row],[Date]], Table14[Party], Table3[[#This Row],[Party Name]])</f>
        <v>150000</v>
      </c>
      <c r="I82" s="11">
        <f>(D82*E82)-Table3[[#This Row],[Paid]]</f>
        <v>-150000</v>
      </c>
    </row>
    <row r="83" spans="1:9" x14ac:dyDescent="0.3">
      <c r="A83" s="38">
        <v>46065</v>
      </c>
      <c r="B83" t="s">
        <v>194</v>
      </c>
      <c r="D83" s="11"/>
      <c r="E83" s="11"/>
      <c r="F83" s="11"/>
      <c r="G83" s="11">
        <f t="shared" ref="G83:G121" si="2">D83*E83</f>
        <v>0</v>
      </c>
      <c r="H83" s="11">
        <f>SUMIFS(Table14[Debit], Table14[Date], Table3[[#This Row],[Date]], Table14[Party], Table3[[#This Row],[Party Name]])</f>
        <v>400361</v>
      </c>
      <c r="I83" s="11">
        <f>(D83*E83)-Table3[[#This Row],[Paid]]</f>
        <v>-400361</v>
      </c>
    </row>
    <row r="84" spans="1:9" x14ac:dyDescent="0.3">
      <c r="A84" s="38"/>
      <c r="B84" t="s">
        <v>194</v>
      </c>
      <c r="D84" s="11"/>
      <c r="E84" s="11"/>
      <c r="F84" s="11"/>
      <c r="G84" s="11">
        <f t="shared" si="2"/>
        <v>0</v>
      </c>
      <c r="H84" s="11">
        <f>SUMIFS(Table14[Debit], Table14[Date], Table3[[#This Row],[Date]], Table14[Party], Table3[[#This Row],[Party Name]])</f>
        <v>0</v>
      </c>
      <c r="I84" s="11">
        <f>(D84*E84)-Table3[[#This Row],[Paid]]</f>
        <v>0</v>
      </c>
    </row>
    <row r="85" spans="1:9" x14ac:dyDescent="0.3">
      <c r="A85" s="38">
        <v>46066</v>
      </c>
      <c r="B85" t="s">
        <v>194</v>
      </c>
      <c r="D85" s="11"/>
      <c r="E85" s="11"/>
      <c r="F85" s="11"/>
      <c r="G85" s="11">
        <f t="shared" si="2"/>
        <v>0</v>
      </c>
      <c r="H85" s="11">
        <f>SUMIFS(Table14[Debit], Table14[Date], Table3[[#This Row],[Date]], Table14[Party], Table3[[#This Row],[Party Name]])</f>
        <v>3000</v>
      </c>
      <c r="I85" s="11">
        <f>(D85*E85)-Table3[[#This Row],[Paid]]</f>
        <v>-3000</v>
      </c>
    </row>
    <row r="86" spans="1:9" x14ac:dyDescent="0.3">
      <c r="A86" s="115">
        <v>46067</v>
      </c>
      <c r="B86" t="s">
        <v>194</v>
      </c>
      <c r="D86" s="11"/>
      <c r="E86" s="11"/>
      <c r="F86" s="11"/>
      <c r="G86" s="11">
        <f t="shared" si="2"/>
        <v>0</v>
      </c>
      <c r="H86" s="11">
        <f>SUMIFS(Table14[Debit], Table14[Date], Table3[[#This Row],[Date]], Table14[Party], Table3[[#This Row],[Party Name]])</f>
        <v>302003</v>
      </c>
      <c r="I86" s="11">
        <f>(D86*E86)-Table3[[#This Row],[Paid]]</f>
        <v>-302003</v>
      </c>
    </row>
    <row r="87" spans="1:9" x14ac:dyDescent="0.3">
      <c r="A87" s="115"/>
      <c r="B87" t="s">
        <v>194</v>
      </c>
      <c r="D87" s="11"/>
      <c r="E87" s="11"/>
      <c r="F87" s="11"/>
      <c r="G87" s="11">
        <f t="shared" si="2"/>
        <v>0</v>
      </c>
      <c r="H87" s="11">
        <f>SUMIFS(Table14[Debit], Table14[Date], Table3[[#This Row],[Date]], Table14[Party], Table3[[#This Row],[Party Name]])</f>
        <v>0</v>
      </c>
      <c r="I87" s="11">
        <f>(D87*E87)-Table3[[#This Row],[Paid]]</f>
        <v>0</v>
      </c>
    </row>
    <row r="88" spans="1:9" x14ac:dyDescent="0.3">
      <c r="A88" s="115">
        <v>46069</v>
      </c>
      <c r="B88" t="s">
        <v>194</v>
      </c>
      <c r="D88" s="11"/>
      <c r="E88" s="11"/>
      <c r="F88" s="11"/>
      <c r="G88" s="11">
        <f t="shared" si="2"/>
        <v>0</v>
      </c>
      <c r="H88" s="11">
        <f>SUMIFS(Table14[Debit], Table14[Date], Table3[[#This Row],[Date]], Table14[Party], Table3[[#This Row],[Party Name]])</f>
        <v>251000</v>
      </c>
      <c r="I88" s="11">
        <f>(D88*E88)-Table3[[#This Row],[Paid]]</f>
        <v>-251000</v>
      </c>
    </row>
    <row r="89" spans="1:9" x14ac:dyDescent="0.3">
      <c r="A89" s="115"/>
      <c r="B89" t="s">
        <v>194</v>
      </c>
      <c r="D89" s="11"/>
      <c r="E89" s="11"/>
      <c r="F89" s="11"/>
      <c r="G89" s="11">
        <f t="shared" si="2"/>
        <v>0</v>
      </c>
      <c r="H89" s="11">
        <f>SUMIFS(Table14[Debit], Table14[Date], Table3[[#This Row],[Date]], Table14[Party], Table3[[#This Row],[Party Name]])</f>
        <v>0</v>
      </c>
      <c r="I89" s="11">
        <f>(D89*E89)-Table3[[#This Row],[Paid]]</f>
        <v>0</v>
      </c>
    </row>
    <row r="90" spans="1:9" x14ac:dyDescent="0.3">
      <c r="A90" s="115">
        <v>46070</v>
      </c>
      <c r="B90" t="s">
        <v>194</v>
      </c>
      <c r="D90" s="11"/>
      <c r="E90" s="11"/>
      <c r="F90" s="11"/>
      <c r="G90" s="11">
        <f t="shared" si="2"/>
        <v>0</v>
      </c>
      <c r="H90" s="11">
        <f>SUMIFS(Table14[Debit], Table14[Date], Table3[[#This Row],[Date]], Table14[Party], Table3[[#This Row],[Party Name]])</f>
        <v>200775</v>
      </c>
      <c r="I90" s="11">
        <f>(D90*E90)-Table3[[#This Row],[Paid]]</f>
        <v>-200775</v>
      </c>
    </row>
    <row r="91" spans="1:9" x14ac:dyDescent="0.3">
      <c r="A91" s="1">
        <v>46065</v>
      </c>
      <c r="B91" t="s">
        <v>172</v>
      </c>
      <c r="D91" s="11"/>
      <c r="E91" s="11"/>
      <c r="F91" s="11"/>
      <c r="G91" s="11">
        <f t="shared" si="2"/>
        <v>0</v>
      </c>
      <c r="H91" s="11">
        <f>SUMIFS(Table14[Debit], Table14[Date], Table3[[#This Row],[Date]], Table14[Party], Table3[[#This Row],[Party Name]])</f>
        <v>97520</v>
      </c>
      <c r="I91" s="11">
        <f>(D91*E91)-Table3[[#This Row],[Paid]]</f>
        <v>-97520</v>
      </c>
    </row>
    <row r="92" spans="1:9" x14ac:dyDescent="0.3">
      <c r="A92" s="115">
        <v>46045</v>
      </c>
      <c r="B92" t="s">
        <v>169</v>
      </c>
      <c r="D92" s="11"/>
      <c r="E92" s="11"/>
      <c r="F92" s="11"/>
      <c r="G92" s="11">
        <f t="shared" si="2"/>
        <v>0</v>
      </c>
      <c r="H92" s="11">
        <f>SUMIFS(Table14[Debit], Table14[Date], Table3[[#This Row],[Date]], Table14[Party], Table3[[#This Row],[Party Name]])</f>
        <v>120000</v>
      </c>
      <c r="I92" s="11">
        <f>(D92*E92)-Table3[[#This Row],[Paid]]</f>
        <v>-120000</v>
      </c>
    </row>
    <row r="93" spans="1:9" x14ac:dyDescent="0.3">
      <c r="A93" s="115">
        <v>46050</v>
      </c>
      <c r="B93" t="s">
        <v>169</v>
      </c>
      <c r="D93" s="11"/>
      <c r="E93" s="11"/>
      <c r="F93" s="11"/>
      <c r="G93" s="11">
        <f t="shared" si="2"/>
        <v>0</v>
      </c>
      <c r="H93" s="11">
        <f>SUMIFS(Table14[Debit], Table14[Date], Table3[[#This Row],[Date]], Table14[Party], Table3[[#This Row],[Party Name]])</f>
        <v>125000</v>
      </c>
      <c r="I93" s="11">
        <f>(D93*E93)-Table3[[#This Row],[Paid]]</f>
        <v>-125000</v>
      </c>
    </row>
    <row r="94" spans="1:9" x14ac:dyDescent="0.3">
      <c r="A94" s="115">
        <v>46055</v>
      </c>
      <c r="B94" t="s">
        <v>169</v>
      </c>
      <c r="D94" s="11"/>
      <c r="E94" s="11"/>
      <c r="F94" s="11"/>
      <c r="G94" s="11">
        <f t="shared" si="2"/>
        <v>0</v>
      </c>
      <c r="H94" s="11">
        <f>SUMIFS(Table14[Debit], Table14[Date], Table3[[#This Row],[Date]], Table14[Party], Table3[[#This Row],[Party Name]])</f>
        <v>150000</v>
      </c>
      <c r="I94" s="11">
        <f>(D94*E94)-Table3[[#This Row],[Paid]]</f>
        <v>-150000</v>
      </c>
    </row>
    <row r="95" spans="1:9" x14ac:dyDescent="0.3">
      <c r="A95" s="115">
        <v>46056</v>
      </c>
      <c r="B95" t="s">
        <v>169</v>
      </c>
      <c r="D95" s="11"/>
      <c r="E95" s="11"/>
      <c r="F95" s="11"/>
      <c r="G95" s="11">
        <f t="shared" si="2"/>
        <v>0</v>
      </c>
      <c r="H95" s="11">
        <f>SUMIFS(Table14[Debit], Table14[Date], Table3[[#This Row],[Date]], Table14[Party], Table3[[#This Row],[Party Name]])</f>
        <v>100500</v>
      </c>
      <c r="I95" s="11">
        <f>(D95*E95)-Table3[[#This Row],[Paid]]</f>
        <v>-100500</v>
      </c>
    </row>
    <row r="96" spans="1:9" x14ac:dyDescent="0.3">
      <c r="A96" s="115">
        <v>46057</v>
      </c>
      <c r="B96" t="s">
        <v>169</v>
      </c>
      <c r="D96" s="11"/>
      <c r="E96" s="11"/>
      <c r="F96" s="11"/>
      <c r="G96" s="11">
        <f t="shared" si="2"/>
        <v>0</v>
      </c>
      <c r="H96" s="11">
        <f>SUMIFS(Table14[Debit], Table14[Date], Table3[[#This Row],[Date]], Table14[Party], Table3[[#This Row],[Party Name]])</f>
        <v>150000</v>
      </c>
      <c r="I96" s="11">
        <f>(D96*E96)-Table3[[#This Row],[Paid]]</f>
        <v>-150000</v>
      </c>
    </row>
    <row r="97" spans="1:9" x14ac:dyDescent="0.3">
      <c r="A97" s="38">
        <v>46059</v>
      </c>
      <c r="B97" t="s">
        <v>169</v>
      </c>
      <c r="D97" s="11"/>
      <c r="E97" s="11"/>
      <c r="F97" s="11"/>
      <c r="G97" s="11">
        <f t="shared" si="2"/>
        <v>0</v>
      </c>
      <c r="H97" s="11">
        <f>SUMIFS(Table14[Debit], Table14[Date], Table3[[#This Row],[Date]], Table14[Party], Table3[[#This Row],[Party Name]])</f>
        <v>150500</v>
      </c>
      <c r="I97" s="11">
        <f>(D97*E97)-Table3[[#This Row],[Paid]]</f>
        <v>-150500</v>
      </c>
    </row>
    <row r="98" spans="1:9" x14ac:dyDescent="0.3">
      <c r="A98" s="115">
        <v>46060</v>
      </c>
      <c r="B98" t="s">
        <v>169</v>
      </c>
      <c r="D98" s="11"/>
      <c r="E98" s="11"/>
      <c r="F98" s="11"/>
      <c r="G98" s="11">
        <f t="shared" si="2"/>
        <v>0</v>
      </c>
      <c r="H98" s="11">
        <f>SUMIFS(Table14[Debit], Table14[Date], Table3[[#This Row],[Date]], Table14[Party], Table3[[#This Row],[Party Name]])</f>
        <v>164808</v>
      </c>
      <c r="I98" s="11">
        <f>(D98*E98)-Table3[[#This Row],[Paid]]</f>
        <v>-164808</v>
      </c>
    </row>
    <row r="99" spans="1:9" x14ac:dyDescent="0.3">
      <c r="A99" s="38"/>
      <c r="B99" t="s">
        <v>169</v>
      </c>
      <c r="D99" s="11"/>
      <c r="E99" s="11"/>
      <c r="F99" s="11"/>
      <c r="G99" s="11">
        <f t="shared" si="2"/>
        <v>0</v>
      </c>
      <c r="H99" s="11">
        <f>SUMIFS(Table14[Debit], Table14[Date], Table3[[#This Row],[Date]], Table14[Party], Table3[[#This Row],[Party Name]])</f>
        <v>0</v>
      </c>
      <c r="I99" s="11">
        <f>(D99*E99)-Table3[[#This Row],[Paid]]</f>
        <v>0</v>
      </c>
    </row>
    <row r="100" spans="1:9" x14ac:dyDescent="0.3">
      <c r="A100" s="115">
        <v>46062</v>
      </c>
      <c r="B100" t="s">
        <v>169</v>
      </c>
      <c r="D100" s="11"/>
      <c r="E100" s="11"/>
      <c r="F100" s="11"/>
      <c r="G100" s="11">
        <f t="shared" si="2"/>
        <v>0</v>
      </c>
      <c r="H100" s="11">
        <f>SUMIFS(Table14[Debit], Table14[Date], Table3[[#This Row],[Date]], Table14[Party], Table3[[#This Row],[Party Name]])</f>
        <v>150000</v>
      </c>
      <c r="I100" s="11">
        <f>(D100*E100)-Table3[[#This Row],[Paid]]</f>
        <v>-150000</v>
      </c>
    </row>
    <row r="101" spans="1:9" x14ac:dyDescent="0.3">
      <c r="A101" s="115">
        <v>46063</v>
      </c>
      <c r="B101" t="s">
        <v>169</v>
      </c>
      <c r="D101" s="11"/>
      <c r="E101" s="11"/>
      <c r="F101" s="11"/>
      <c r="G101" s="11">
        <f t="shared" si="2"/>
        <v>0</v>
      </c>
      <c r="H101" s="11">
        <f>SUMIFS(Table14[Debit], Table14[Date], Table3[[#This Row],[Date]], Table14[Party], Table3[[#This Row],[Party Name]])</f>
        <v>178500</v>
      </c>
      <c r="I101" s="11">
        <f>(D101*E101)-Table3[[#This Row],[Paid]]</f>
        <v>-178500</v>
      </c>
    </row>
    <row r="102" spans="1:9" x14ac:dyDescent="0.3">
      <c r="A102" s="115"/>
      <c r="B102" t="s">
        <v>169</v>
      </c>
      <c r="D102" s="11"/>
      <c r="E102" s="11"/>
      <c r="F102" s="11"/>
      <c r="G102" s="11">
        <f t="shared" si="2"/>
        <v>0</v>
      </c>
      <c r="H102" s="11">
        <f>SUMIFS(Table14[Debit], Table14[Date], Table3[[#This Row],[Date]], Table14[Party], Table3[[#This Row],[Party Name]])</f>
        <v>0</v>
      </c>
      <c r="I102" s="11">
        <f>(D102*E102)-Table3[[#This Row],[Paid]]</f>
        <v>0</v>
      </c>
    </row>
    <row r="103" spans="1:9" x14ac:dyDescent="0.3">
      <c r="A103" s="115"/>
      <c r="B103" t="s">
        <v>169</v>
      </c>
      <c r="D103" s="11"/>
      <c r="E103" s="11"/>
      <c r="F103" s="11"/>
      <c r="G103" s="11">
        <f t="shared" si="2"/>
        <v>0</v>
      </c>
      <c r="H103" s="11">
        <f>SUMIFS(Table14[Debit], Table14[Date], Table3[[#This Row],[Date]], Table14[Party], Table3[[#This Row],[Party Name]])</f>
        <v>0</v>
      </c>
      <c r="I103" s="11">
        <f>(D103*E103)-Table3[[#This Row],[Paid]]</f>
        <v>0</v>
      </c>
    </row>
    <row r="104" spans="1:9" x14ac:dyDescent="0.3">
      <c r="A104" s="38">
        <v>46066</v>
      </c>
      <c r="B104" t="s">
        <v>169</v>
      </c>
      <c r="D104" s="11"/>
      <c r="E104" s="11"/>
      <c r="F104" s="11"/>
      <c r="G104" s="11">
        <f t="shared" si="2"/>
        <v>0</v>
      </c>
      <c r="H104" s="11">
        <f>SUMIFS(Table14[Debit], Table14[Date], Table3[[#This Row],[Date]], Table14[Party], Table3[[#This Row],[Party Name]])</f>
        <v>150000</v>
      </c>
      <c r="I104" s="11">
        <f>(D104*E104)-Table3[[#This Row],[Paid]]</f>
        <v>-150000</v>
      </c>
    </row>
    <row r="105" spans="1:9" x14ac:dyDescent="0.3">
      <c r="A105" s="115">
        <v>46069</v>
      </c>
      <c r="B105" t="s">
        <v>169</v>
      </c>
      <c r="D105" s="11"/>
      <c r="E105" s="11"/>
      <c r="F105" s="11"/>
      <c r="G105" s="11">
        <f t="shared" si="2"/>
        <v>0</v>
      </c>
      <c r="H105" s="11">
        <f>SUMIFS(Table14[Debit], Table14[Date], Table3[[#This Row],[Date]], Table14[Party], Table3[[#This Row],[Party Name]])</f>
        <v>202046</v>
      </c>
      <c r="I105" s="11">
        <f>(D105*E105)-Table3[[#This Row],[Paid]]</f>
        <v>-202046</v>
      </c>
    </row>
    <row r="106" spans="1:9" x14ac:dyDescent="0.3">
      <c r="A106" s="115"/>
      <c r="B106" t="s">
        <v>169</v>
      </c>
      <c r="D106" s="11"/>
      <c r="E106" s="11"/>
      <c r="F106" s="11"/>
      <c r="G106" s="11">
        <f t="shared" si="2"/>
        <v>0</v>
      </c>
      <c r="H106" s="11">
        <f>SUMIFS(Table14[Debit], Table14[Date], Table3[[#This Row],[Date]], Table14[Party], Table3[[#This Row],[Party Name]])</f>
        <v>0</v>
      </c>
      <c r="I106" s="11">
        <f>(D106*E106)-Table3[[#This Row],[Paid]]</f>
        <v>0</v>
      </c>
    </row>
    <row r="107" spans="1:9" x14ac:dyDescent="0.3">
      <c r="A107" s="38">
        <v>46072</v>
      </c>
      <c r="B107" t="s">
        <v>169</v>
      </c>
      <c r="D107" s="11"/>
      <c r="E107" s="11"/>
      <c r="F107" s="11"/>
      <c r="G107" s="11">
        <f t="shared" si="2"/>
        <v>0</v>
      </c>
      <c r="H107" s="11">
        <f>SUMIFS(Table14[Debit], Table14[Date], Table3[[#This Row],[Date]], Table14[Party], Table3[[#This Row],[Party Name]])</f>
        <v>150000</v>
      </c>
      <c r="I107" s="11">
        <f>(D107*E107)-Table3[[#This Row],[Paid]]</f>
        <v>-150000</v>
      </c>
    </row>
    <row r="108" spans="1:9" x14ac:dyDescent="0.3">
      <c r="A108" s="115">
        <v>46045</v>
      </c>
      <c r="B108" t="s">
        <v>274</v>
      </c>
      <c r="D108" s="11"/>
      <c r="E108" s="11"/>
      <c r="F108" s="11"/>
      <c r="G108" s="11">
        <f t="shared" si="2"/>
        <v>0</v>
      </c>
      <c r="H108" s="11">
        <f>SUMIFS(Table14[Debit], Table14[Date], Table3[[#This Row],[Date]], Table14[Party], Table3[[#This Row],[Party Name]])</f>
        <v>200100</v>
      </c>
      <c r="I108" s="11">
        <f>(D108*E108)-Table3[[#This Row],[Paid]]</f>
        <v>-200100</v>
      </c>
    </row>
    <row r="109" spans="1:9" x14ac:dyDescent="0.3">
      <c r="A109" s="115">
        <v>46053</v>
      </c>
      <c r="B109" t="s">
        <v>274</v>
      </c>
      <c r="D109" s="11"/>
      <c r="E109" s="11"/>
      <c r="F109" s="11"/>
      <c r="G109" s="11">
        <f t="shared" si="2"/>
        <v>0</v>
      </c>
      <c r="H109" s="11">
        <f>SUMIFS(Table14[Debit], Table14[Date], Table3[[#This Row],[Date]], Table14[Party], Table3[[#This Row],[Party Name]])</f>
        <v>90000</v>
      </c>
      <c r="I109" s="11">
        <f>(D109*E109)-Table3[[#This Row],[Paid]]</f>
        <v>-90000</v>
      </c>
    </row>
    <row r="110" spans="1:9" x14ac:dyDescent="0.3">
      <c r="A110" s="115">
        <v>46054</v>
      </c>
      <c r="B110" t="s">
        <v>274</v>
      </c>
      <c r="D110" s="11"/>
      <c r="E110" s="11"/>
      <c r="F110" s="11"/>
      <c r="G110" s="11">
        <f t="shared" si="2"/>
        <v>0</v>
      </c>
      <c r="H110" s="11">
        <f>SUMIFS(Table14[Debit], Table14[Date], Table3[[#This Row],[Date]], Table14[Party], Table3[[#This Row],[Party Name]])</f>
        <v>200280</v>
      </c>
      <c r="I110" s="11">
        <f>(D110*E110)-Table3[[#This Row],[Paid]]</f>
        <v>-200280</v>
      </c>
    </row>
    <row r="111" spans="1:9" x14ac:dyDescent="0.3">
      <c r="A111" s="115">
        <v>46063</v>
      </c>
      <c r="B111" t="s">
        <v>274</v>
      </c>
      <c r="D111" s="11"/>
      <c r="E111" s="11"/>
      <c r="F111" s="11"/>
      <c r="G111" s="11">
        <f t="shared" si="2"/>
        <v>0</v>
      </c>
      <c r="H111" s="11">
        <f>SUMIFS(Table14[Debit], Table14[Date], Table3[[#This Row],[Date]], Table14[Party], Table3[[#This Row],[Party Name]])</f>
        <v>202170</v>
      </c>
      <c r="I111" s="11">
        <f>(D111*E111)-Table3[[#This Row],[Paid]]</f>
        <v>-202170</v>
      </c>
    </row>
    <row r="112" spans="1:9" x14ac:dyDescent="0.3">
      <c r="A112" s="115"/>
      <c r="B112" t="s">
        <v>274</v>
      </c>
      <c r="D112" s="11"/>
      <c r="E112" s="11"/>
      <c r="F112" s="11"/>
      <c r="G112" s="11">
        <f t="shared" si="2"/>
        <v>0</v>
      </c>
      <c r="H112" s="11">
        <f>SUMIFS(Table14[Debit], Table14[Date], Table3[[#This Row],[Date]], Table14[Party], Table3[[#This Row],[Party Name]])</f>
        <v>0</v>
      </c>
      <c r="I112" s="11">
        <f>(D112*E112)-Table3[[#This Row],[Paid]]</f>
        <v>0</v>
      </c>
    </row>
    <row r="113" spans="1:9" x14ac:dyDescent="0.3">
      <c r="A113" s="115"/>
      <c r="B113" t="s">
        <v>274</v>
      </c>
      <c r="D113" s="11"/>
      <c r="E113" s="11"/>
      <c r="F113" s="11"/>
      <c r="G113" s="11">
        <f t="shared" si="2"/>
        <v>0</v>
      </c>
      <c r="H113" s="11">
        <f>SUMIFS(Table14[Debit], Table14[Date], Table3[[#This Row],[Date]], Table14[Party], Table3[[#This Row],[Party Name]])</f>
        <v>0</v>
      </c>
      <c r="I113" s="11">
        <f>(D113*E113)-Table3[[#This Row],[Paid]]</f>
        <v>0</v>
      </c>
    </row>
    <row r="114" spans="1:9" x14ac:dyDescent="0.3">
      <c r="A114" s="115">
        <v>46067</v>
      </c>
      <c r="B114" t="s">
        <v>274</v>
      </c>
      <c r="D114" s="11"/>
      <c r="E114" s="11"/>
      <c r="F114" s="11"/>
      <c r="G114" s="11">
        <f t="shared" si="2"/>
        <v>0</v>
      </c>
      <c r="H114" s="11">
        <f>SUMIFS(Table14[Debit], Table14[Date], Table3[[#This Row],[Date]], Table14[Party], Table3[[#This Row],[Party Name]])</f>
        <v>201040</v>
      </c>
      <c r="I114" s="11">
        <f>(D114*E114)-Table3[[#This Row],[Paid]]</f>
        <v>-201040</v>
      </c>
    </row>
    <row r="115" spans="1:9" x14ac:dyDescent="0.3">
      <c r="A115" s="115">
        <v>46068</v>
      </c>
      <c r="B115" t="s">
        <v>274</v>
      </c>
      <c r="D115" s="11"/>
      <c r="E115" s="11"/>
      <c r="F115" s="11"/>
      <c r="G115" s="11">
        <f t="shared" si="2"/>
        <v>0</v>
      </c>
      <c r="H115" s="11">
        <f>SUMIFS(Table14[Debit], Table14[Date], Table3[[#This Row],[Date]], Table14[Party], Table3[[#This Row],[Party Name]])</f>
        <v>54950</v>
      </c>
      <c r="I115" s="11">
        <f>(D115*E115)-Table3[[#This Row],[Paid]]</f>
        <v>-54950</v>
      </c>
    </row>
    <row r="116" spans="1:9" x14ac:dyDescent="0.3">
      <c r="A116" s="115">
        <v>46070</v>
      </c>
      <c r="B116" t="s">
        <v>274</v>
      </c>
      <c r="D116" s="11"/>
      <c r="E116" s="11"/>
      <c r="F116" s="11"/>
      <c r="G116" s="11">
        <f t="shared" si="2"/>
        <v>0</v>
      </c>
      <c r="H116" s="11">
        <f>SUMIFS(Table14[Debit], Table14[Date], Table3[[#This Row],[Date]], Table14[Party], Table3[[#This Row],[Party Name]])</f>
        <v>41000</v>
      </c>
      <c r="I116" s="11">
        <f>(D116*E116)-Table3[[#This Row],[Paid]]</f>
        <v>-41000</v>
      </c>
    </row>
    <row r="117" spans="1:9" x14ac:dyDescent="0.3">
      <c r="A117" s="115">
        <v>46072</v>
      </c>
      <c r="B117" t="s">
        <v>274</v>
      </c>
      <c r="D117" s="11"/>
      <c r="E117" s="11"/>
      <c r="F117" s="11"/>
      <c r="G117" s="11">
        <f t="shared" si="2"/>
        <v>0</v>
      </c>
      <c r="H117" s="11">
        <f>SUMIFS(Table14[Debit], Table14[Date], Table3[[#This Row],[Date]], Table14[Party], Table3[[#This Row],[Party Name]])</f>
        <v>35500</v>
      </c>
      <c r="I117" s="11">
        <f>(D117*E117)-Table3[[#This Row],[Paid]]</f>
        <v>-35500</v>
      </c>
    </row>
    <row r="118" spans="1:9" x14ac:dyDescent="0.3">
      <c r="A118" s="1">
        <v>46070</v>
      </c>
      <c r="B118" t="s">
        <v>149</v>
      </c>
      <c r="D118" s="11"/>
      <c r="E118" s="11"/>
      <c r="F118" s="11"/>
      <c r="G118" s="11">
        <f t="shared" si="2"/>
        <v>0</v>
      </c>
      <c r="H118" s="11">
        <f>SUMIFS(Table14[Debit], Table14[Date], Table3[[#This Row],[Date]], Table14[Party], Table3[[#This Row],[Party Name]])</f>
        <v>20380</v>
      </c>
      <c r="I118" s="11">
        <f>(D118*E118)-Table3[[#This Row],[Paid]]</f>
        <v>-20380</v>
      </c>
    </row>
    <row r="119" spans="1:9" x14ac:dyDescent="0.3">
      <c r="A119" s="115"/>
      <c r="D119" s="11"/>
      <c r="E119" s="11"/>
      <c r="F119" s="11"/>
      <c r="G119" s="11">
        <f t="shared" si="2"/>
        <v>0</v>
      </c>
      <c r="H119" s="11">
        <f>SUMIFS(Table14[Debit], Table14[Date], Table3[[#This Row],[Date]], Table14[Party], Table3[[#This Row],[Party Name]])</f>
        <v>0</v>
      </c>
      <c r="I119" s="11">
        <f>(D119*E119)-Table3[[#This Row],[Paid]]</f>
        <v>0</v>
      </c>
    </row>
    <row r="120" spans="1:9" x14ac:dyDescent="0.3">
      <c r="A120" s="38">
        <v>46046</v>
      </c>
      <c r="B120" t="s">
        <v>196</v>
      </c>
      <c r="D120" s="11"/>
      <c r="E120" s="11"/>
      <c r="F120" s="11"/>
      <c r="G120" s="11">
        <f t="shared" si="2"/>
        <v>0</v>
      </c>
      <c r="H120" s="11">
        <f>SUMIFS(Table14[Debit], Table14[Date], Table3[[#This Row],[Date]], Table14[Party], Table3[[#This Row],[Party Name]])</f>
        <v>35000</v>
      </c>
      <c r="I120" s="11">
        <f>(D120*E120)-Table3[[#This Row],[Paid]]</f>
        <v>-35000</v>
      </c>
    </row>
    <row r="121" spans="1:9" x14ac:dyDescent="0.3">
      <c r="A121" s="115">
        <v>46048</v>
      </c>
      <c r="B121" t="s">
        <v>196</v>
      </c>
      <c r="D121" s="11"/>
      <c r="E121" s="11"/>
      <c r="F121" s="11"/>
      <c r="G121" s="11">
        <f t="shared" si="2"/>
        <v>0</v>
      </c>
      <c r="H121" s="11">
        <f>SUMIFS(Table14[Debit], Table14[Date], Table3[[#This Row],[Date]], Table14[Party], Table3[[#This Row],[Party Name]])</f>
        <v>46360</v>
      </c>
      <c r="I121" s="11">
        <f>(D121*E121)-Table3[[#This Row],[Paid]]</f>
        <v>-46360</v>
      </c>
    </row>
    <row r="122" spans="1:9" x14ac:dyDescent="0.3">
      <c r="A122" s="115">
        <v>46071</v>
      </c>
      <c r="B122" t="s">
        <v>196</v>
      </c>
      <c r="D122" s="11"/>
      <c r="E122" s="11"/>
      <c r="F122" s="11"/>
      <c r="G122" s="11">
        <f>D122*E122</f>
        <v>0</v>
      </c>
      <c r="H122" s="11">
        <f>SUMIFS(Table14[Debit], Table14[Date], Table3[[#This Row],[Date]], Table14[Party], Table3[[#This Row],[Party Name]])</f>
        <v>10000</v>
      </c>
      <c r="I122" s="11">
        <f>(D122*E122)-Table3[[#This Row],[Paid]]</f>
        <v>-10000</v>
      </c>
    </row>
    <row r="123" spans="1:9" x14ac:dyDescent="0.3">
      <c r="A123" s="38">
        <v>46046</v>
      </c>
      <c r="B123" t="s">
        <v>216</v>
      </c>
      <c r="D123" s="11"/>
      <c r="E123" s="11"/>
      <c r="F123" s="11"/>
      <c r="G123" s="11">
        <f t="shared" ref="G123:G128" si="3">D123*E123</f>
        <v>0</v>
      </c>
      <c r="H123" s="11">
        <f>SUMIFS(Table14[Debit], Table14[Date], Table3[[#This Row],[Date]], Table14[Party], Table3[[#This Row],[Party Name]])</f>
        <v>130000</v>
      </c>
      <c r="I123" s="11">
        <f>(D123*E123)-Table3[[#This Row],[Paid]]</f>
        <v>-130000</v>
      </c>
    </row>
    <row r="124" spans="1:9" x14ac:dyDescent="0.3">
      <c r="A124" s="115">
        <v>46050</v>
      </c>
      <c r="B124" t="s">
        <v>216</v>
      </c>
      <c r="D124" s="11"/>
      <c r="E124" s="11"/>
      <c r="F124" s="11"/>
      <c r="G124" s="11">
        <f t="shared" si="3"/>
        <v>0</v>
      </c>
      <c r="H124" s="11">
        <f>SUMIFS(Table14[Debit], Table14[Date], Table3[[#This Row],[Date]], Table14[Party], Table3[[#This Row],[Party Name]])</f>
        <v>150000</v>
      </c>
      <c r="I124" s="11">
        <f>(D124*E124)-Table3[[#This Row],[Paid]]</f>
        <v>-150000</v>
      </c>
    </row>
    <row r="125" spans="1:9" x14ac:dyDescent="0.3">
      <c r="A125" s="115">
        <v>46055</v>
      </c>
      <c r="B125" t="s">
        <v>216</v>
      </c>
      <c r="D125" s="11"/>
      <c r="E125" s="11"/>
      <c r="F125" s="11"/>
      <c r="G125" s="11">
        <f t="shared" si="3"/>
        <v>0</v>
      </c>
      <c r="H125" s="11">
        <f>SUMIFS(Table14[Debit], Table14[Date], Table3[[#This Row],[Date]], Table14[Party], Table3[[#This Row],[Party Name]])</f>
        <v>100200</v>
      </c>
      <c r="I125" s="11">
        <f>(D125*E125)-Table3[[#This Row],[Paid]]</f>
        <v>-100200</v>
      </c>
    </row>
    <row r="126" spans="1:9" x14ac:dyDescent="0.3">
      <c r="A126" s="38">
        <v>46059</v>
      </c>
      <c r="B126" t="s">
        <v>216</v>
      </c>
      <c r="D126" s="11"/>
      <c r="E126" s="11"/>
      <c r="F126" s="11"/>
      <c r="G126" s="11">
        <f t="shared" si="3"/>
        <v>0</v>
      </c>
      <c r="H126" s="11">
        <f>SUMIFS(Table14[Debit], Table14[Date], Table3[[#This Row],[Date]], Table14[Party], Table3[[#This Row],[Party Name]])</f>
        <v>100000</v>
      </c>
      <c r="I126" s="11">
        <f>(D126*E126)-Table3[[#This Row],[Paid]]</f>
        <v>-100000</v>
      </c>
    </row>
    <row r="127" spans="1:9" x14ac:dyDescent="0.3">
      <c r="A127" s="115">
        <v>46060</v>
      </c>
      <c r="B127" t="s">
        <v>216</v>
      </c>
      <c r="D127" s="11"/>
      <c r="E127" s="11"/>
      <c r="F127" s="11"/>
      <c r="G127" s="11">
        <f t="shared" si="3"/>
        <v>0</v>
      </c>
      <c r="H127" s="11">
        <f>SUMIFS(Table14[Debit], Table14[Date], Table3[[#This Row],[Date]], Table14[Party], Table3[[#This Row],[Party Name]])</f>
        <v>100060</v>
      </c>
      <c r="I127" s="11">
        <f>(D127*E127)-Table3[[#This Row],[Paid]]</f>
        <v>-100060</v>
      </c>
    </row>
    <row r="128" spans="1:9" x14ac:dyDescent="0.3">
      <c r="A128" s="38">
        <v>46062</v>
      </c>
      <c r="B128" t="s">
        <v>216</v>
      </c>
      <c r="D128" s="11"/>
      <c r="E128" s="11"/>
      <c r="F128" s="11"/>
      <c r="G128" s="11">
        <f t="shared" si="3"/>
        <v>0</v>
      </c>
      <c r="H128" s="11">
        <f>SUMIFS(Table14[Debit], Table14[Date], Table3[[#This Row],[Date]], Table14[Party], Table3[[#This Row],[Party Name]])</f>
        <v>119195</v>
      </c>
      <c r="I128" s="11">
        <f>(D128*E128)-Table3[[#This Row],[Paid]]</f>
        <v>-119195</v>
      </c>
    </row>
    <row r="129" spans="1:9" x14ac:dyDescent="0.3">
      <c r="A129" s="38"/>
      <c r="B129" t="s">
        <v>216</v>
      </c>
      <c r="D129" s="11"/>
      <c r="E129" s="11"/>
      <c r="F129" s="11"/>
      <c r="G129" s="11">
        <f t="shared" ref="G129:G136" si="4">D129*E129</f>
        <v>0</v>
      </c>
      <c r="H129" s="11">
        <f>SUMIFS(Table14[Debit], Table14[Date], Table3[[#This Row],[Date]], Table14[Party], Table3[[#This Row],[Party Name]])</f>
        <v>0</v>
      </c>
      <c r="I129" s="11">
        <f>(D129*E129)-Table3[[#This Row],[Paid]]</f>
        <v>0</v>
      </c>
    </row>
    <row r="130" spans="1:9" x14ac:dyDescent="0.3">
      <c r="A130" s="115">
        <v>46063</v>
      </c>
      <c r="B130" t="s">
        <v>216</v>
      </c>
      <c r="D130" s="11"/>
      <c r="E130" s="11"/>
      <c r="F130" s="11"/>
      <c r="G130" s="11">
        <f t="shared" si="4"/>
        <v>0</v>
      </c>
      <c r="H130" s="11">
        <f>SUMIFS(Table14[Debit], Table14[Date], Table3[[#This Row],[Date]], Table14[Party], Table3[[#This Row],[Party Name]])</f>
        <v>105111</v>
      </c>
      <c r="I130" s="11">
        <f>(D130*E130)-Table3[[#This Row],[Paid]]</f>
        <v>-105111</v>
      </c>
    </row>
    <row r="131" spans="1:9" x14ac:dyDescent="0.3">
      <c r="A131" s="115"/>
      <c r="B131" t="s">
        <v>216</v>
      </c>
      <c r="D131" s="11"/>
      <c r="E131" s="11"/>
      <c r="F131" s="11"/>
      <c r="G131" s="11">
        <f t="shared" si="4"/>
        <v>0</v>
      </c>
      <c r="H131" s="11">
        <f>SUMIFS(Table14[Debit], Table14[Date], Table3[[#This Row],[Date]], Table14[Party], Table3[[#This Row],[Party Name]])</f>
        <v>0</v>
      </c>
      <c r="I131" s="11">
        <f>(D131*E131)-Table3[[#This Row],[Paid]]</f>
        <v>0</v>
      </c>
    </row>
    <row r="132" spans="1:9" x14ac:dyDescent="0.3">
      <c r="A132" s="38">
        <v>46065</v>
      </c>
      <c r="B132" t="s">
        <v>216</v>
      </c>
      <c r="D132" s="11"/>
      <c r="E132" s="11"/>
      <c r="F132" s="11"/>
      <c r="G132" s="11">
        <f t="shared" si="4"/>
        <v>0</v>
      </c>
      <c r="H132" s="11">
        <f>SUMIFS(Table14[Debit], Table14[Date], Table3[[#This Row],[Date]], Table14[Party], Table3[[#This Row],[Party Name]])</f>
        <v>100270</v>
      </c>
      <c r="I132" s="11">
        <f>(D132*E132)-Table3[[#This Row],[Paid]]</f>
        <v>-100270</v>
      </c>
    </row>
    <row r="133" spans="1:9" x14ac:dyDescent="0.3">
      <c r="A133" s="115">
        <v>46068</v>
      </c>
      <c r="B133" t="s">
        <v>216</v>
      </c>
      <c r="D133" s="11"/>
      <c r="E133" s="11"/>
      <c r="F133" s="11"/>
      <c r="G133" s="11">
        <f t="shared" si="4"/>
        <v>0</v>
      </c>
      <c r="H133" s="11">
        <f>SUMIFS(Table14[Debit], Table14[Date], Table3[[#This Row],[Date]], Table14[Party], Table3[[#This Row],[Party Name]])</f>
        <v>100500</v>
      </c>
      <c r="I133" s="11">
        <f>(D133*E133)-Table3[[#This Row],[Paid]]</f>
        <v>-100500</v>
      </c>
    </row>
    <row r="134" spans="1:9" x14ac:dyDescent="0.3">
      <c r="A134" s="115">
        <v>46069</v>
      </c>
      <c r="B134" t="s">
        <v>216</v>
      </c>
      <c r="D134" s="11"/>
      <c r="E134" s="11"/>
      <c r="F134" s="11"/>
      <c r="G134" s="11">
        <f t="shared" si="4"/>
        <v>0</v>
      </c>
      <c r="H134" s="11">
        <f>SUMIFS(Table14[Debit], Table14[Date], Table3[[#This Row],[Date]], Table14[Party], Table3[[#This Row],[Party Name]])</f>
        <v>36000</v>
      </c>
      <c r="I134" s="11">
        <f>(D134*E134)-Table3[[#This Row],[Paid]]</f>
        <v>-36000</v>
      </c>
    </row>
    <row r="135" spans="1:9" x14ac:dyDescent="0.3">
      <c r="A135" s="115"/>
      <c r="B135" t="s">
        <v>216</v>
      </c>
      <c r="D135" s="11"/>
      <c r="E135" s="11"/>
      <c r="F135" s="11"/>
      <c r="G135" s="11">
        <f t="shared" si="4"/>
        <v>0</v>
      </c>
      <c r="H135" s="11">
        <f>SUMIFS(Table14[Debit], Table14[Date], Table3[[#This Row],[Date]], Table14[Party], Table3[[#This Row],[Party Name]])</f>
        <v>0</v>
      </c>
      <c r="I135" s="11">
        <f>(D135*E135)-Table3[[#This Row],[Paid]]</f>
        <v>0</v>
      </c>
    </row>
    <row r="136" spans="1:9" x14ac:dyDescent="0.3">
      <c r="A136" s="115">
        <v>46070</v>
      </c>
      <c r="B136" t="s">
        <v>216</v>
      </c>
      <c r="D136" s="11"/>
      <c r="E136" s="11"/>
      <c r="F136" s="11"/>
      <c r="G136" s="11">
        <f t="shared" si="4"/>
        <v>0</v>
      </c>
      <c r="H136" s="11">
        <f>SUMIFS(Table14[Debit], Table14[Date], Table3[[#This Row],[Date]], Table14[Party], Table3[[#This Row],[Party Name]])</f>
        <v>136000</v>
      </c>
      <c r="I136" s="11">
        <f>(D136*E136)-Table3[[#This Row],[Paid]]</f>
        <v>-136000</v>
      </c>
    </row>
    <row r="137" spans="1:9" x14ac:dyDescent="0.3">
      <c r="A137" s="115">
        <v>46071</v>
      </c>
      <c r="B137" t="s">
        <v>216</v>
      </c>
      <c r="D137" s="11"/>
      <c r="E137" s="11"/>
      <c r="F137" s="11"/>
      <c r="G137" s="11">
        <f t="shared" ref="G137:G140" si="5">D137*E137</f>
        <v>0</v>
      </c>
      <c r="H137" s="11">
        <f>SUMIFS(Table14[Debit], Table14[Date], Table3[[#This Row],[Date]], Table14[Party], Table3[[#This Row],[Party Name]])</f>
        <v>100130</v>
      </c>
      <c r="I137" s="11">
        <f>(D137*E137)-Table3[[#This Row],[Paid]]</f>
        <v>-100130</v>
      </c>
    </row>
    <row r="138" spans="1:9" x14ac:dyDescent="0.3">
      <c r="A138" s="1"/>
      <c r="D138" s="11"/>
      <c r="E138" s="11"/>
      <c r="F138" s="11"/>
      <c r="G138" s="11">
        <f t="shared" si="5"/>
        <v>0</v>
      </c>
      <c r="H138" s="11">
        <f>SUMIFS(Table14[Debit], Table14[Date], Table3[[#This Row],[Date]], Table14[Party], Table3[[#This Row],[Party Name]])</f>
        <v>0</v>
      </c>
      <c r="I138" s="11">
        <f>(D138*E138)-Table3[[#This Row],[Paid]]</f>
        <v>0</v>
      </c>
    </row>
    <row r="139" spans="1:9" x14ac:dyDescent="0.3">
      <c r="A139" s="1"/>
      <c r="D139" s="11"/>
      <c r="E139" s="11"/>
      <c r="F139" s="11"/>
      <c r="G139" s="11">
        <f t="shared" si="5"/>
        <v>0</v>
      </c>
      <c r="H139" s="11">
        <f>SUMIFS(Table14[Debit], Table14[Date], Table3[[#This Row],[Date]], Table14[Party], Table3[[#This Row],[Party Name]])</f>
        <v>0</v>
      </c>
      <c r="I139" s="11">
        <f>(D139*E139)-Table3[[#This Row],[Paid]]</f>
        <v>0</v>
      </c>
    </row>
    <row r="140" spans="1:9" x14ac:dyDescent="0.3">
      <c r="A140" s="1"/>
      <c r="D140" s="11"/>
      <c r="E140" s="11"/>
      <c r="F140" s="11"/>
      <c r="G140" s="11">
        <f t="shared" si="5"/>
        <v>0</v>
      </c>
      <c r="H140" s="11">
        <f>SUMIFS(Table14[Debit], Table14[Date], Table3[[#This Row],[Date]], Table14[Party], Table3[[#This Row],[Party Name]])</f>
        <v>0</v>
      </c>
      <c r="I140" s="11">
        <f>(D140*E140)-Table3[[#This Row],[Paid]]</f>
        <v>0</v>
      </c>
    </row>
    <row r="141" spans="1:9" x14ac:dyDescent="0.3">
      <c r="A141" s="1"/>
      <c r="D141" s="11"/>
      <c r="E141" s="11"/>
      <c r="F141" s="11"/>
      <c r="G141" s="11">
        <f t="shared" ref="G141:G142" si="6">D141*E141</f>
        <v>0</v>
      </c>
      <c r="H141" s="11">
        <f>SUMIFS(Table14[Debit], Table14[Date], Table3[[#This Row],[Date]], Table14[Party], Table3[[#This Row],[Party Name]])</f>
        <v>0</v>
      </c>
      <c r="I141" s="11">
        <f>(D141*E141)-Table3[[#This Row],[Paid]]</f>
        <v>0</v>
      </c>
    </row>
    <row r="142" spans="1:9" x14ac:dyDescent="0.3">
      <c r="A142" s="1"/>
      <c r="D142" s="11"/>
      <c r="E142" s="11"/>
      <c r="F142" s="11"/>
      <c r="G142" s="11">
        <f t="shared" si="6"/>
        <v>0</v>
      </c>
      <c r="H142" s="11">
        <f>SUMIFS(Table14[Debit], Table14[Date], Table3[[#This Row],[Date]], Table14[Party], Table3[[#This Row],[Party Name]])</f>
        <v>0</v>
      </c>
      <c r="I142" s="11">
        <f>(D142*E142)-Table3[[#This Row],[Paid]]</f>
        <v>0</v>
      </c>
    </row>
    <row r="143" spans="1:9" x14ac:dyDescent="0.3">
      <c r="A143" s="1"/>
      <c r="D143" s="14"/>
      <c r="E143" s="14"/>
      <c r="F143" s="14"/>
      <c r="G143" s="14">
        <f>SUBTOTAL(109,Table3[Total])</f>
        <v>6812370</v>
      </c>
      <c r="H143" s="14">
        <f>SUBTOTAL(109,Table3[Paid])</f>
        <v>7068318</v>
      </c>
      <c r="I143" s="14">
        <f>SUBTOTAL(109,Table3[balance])</f>
        <v>3950006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08"/>
  <sheetViews>
    <sheetView topLeftCell="A54" zoomScale="104" workbookViewId="0">
      <selection activeCell="B54" sqref="B5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209</v>
      </c>
      <c r="C2" s="11"/>
      <c r="D2" s="87">
        <f>[1]Cashbook!$N$5</f>
        <v>3576278</v>
      </c>
      <c r="E2" s="81"/>
      <c r="F2" s="88" t="s">
        <v>108</v>
      </c>
    </row>
    <row r="3" spans="1:16" x14ac:dyDescent="0.3">
      <c r="A3" s="86">
        <v>46042</v>
      </c>
      <c r="B3" s="81" t="s">
        <v>209</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135">
        <v>4049561</v>
      </c>
      <c r="D4" s="87"/>
      <c r="E4" s="81" t="s">
        <v>273</v>
      </c>
      <c r="F4" s="88" t="s">
        <v>108</v>
      </c>
      <c r="J4" s="45" t="s">
        <v>70</v>
      </c>
      <c r="K4" s="46">
        <f>Table14[[#Totals],[Debit]]</f>
        <v>24260975.203986831</v>
      </c>
      <c r="M4" s="45" t="s">
        <v>107</v>
      </c>
      <c r="N4" s="51">
        <f>SUMIFS(Table14[Withdrawal],Table14[Party],"Cash",Table14[Mode],"Transfer")</f>
        <v>0</v>
      </c>
    </row>
    <row r="5" spans="1:16" x14ac:dyDescent="0.3">
      <c r="A5" s="115">
        <v>46042</v>
      </c>
      <c r="B5" s="81" t="s">
        <v>222</v>
      </c>
      <c r="C5" s="11">
        <v>734060</v>
      </c>
      <c r="D5" s="87"/>
      <c r="E5" s="81" t="s">
        <v>273</v>
      </c>
      <c r="F5" s="88" t="s">
        <v>108</v>
      </c>
      <c r="J5" s="45" t="s">
        <v>69</v>
      </c>
      <c r="K5" s="46">
        <f>Table14[[#Totals],[Credit]]</f>
        <v>31270241.203986831</v>
      </c>
      <c r="M5" s="45" t="s">
        <v>108</v>
      </c>
      <c r="N5" s="46">
        <f>(SUMIFS(Table14[Credit],Table14[Mode],"Bank")-SUMIFS(Table14[Debit],Table14[Mode],"Bank")-SUMIFS(Table14[Withdrawal],Table14[Mode],"Transfer"))</f>
        <v>7620182</v>
      </c>
      <c r="O5">
        <v>360000</v>
      </c>
    </row>
    <row r="6" spans="1:16" x14ac:dyDescent="0.3">
      <c r="A6" s="115">
        <v>46014</v>
      </c>
      <c r="B6" s="81" t="s">
        <v>210</v>
      </c>
      <c r="C6" s="11"/>
      <c r="D6" s="87">
        <v>562846</v>
      </c>
      <c r="E6" s="81" t="s">
        <v>273</v>
      </c>
      <c r="F6" s="88" t="s">
        <v>108</v>
      </c>
      <c r="J6" s="52" t="s">
        <v>43</v>
      </c>
      <c r="K6" s="53">
        <f>(K5-K4)</f>
        <v>7009266</v>
      </c>
      <c r="M6" s="45" t="s">
        <v>109</v>
      </c>
      <c r="N6" s="46">
        <f>((SUMIFS(Table14[Credit],Table14[Mode],"Cash")-SUMIFS(Table14[Debit],Table14[Mode],"Cash"))+SUMIFS(Table14[Withdrawal],Table14[Party],"Cash",Table14[Mode],"Transfer"))</f>
        <v>-610916</v>
      </c>
      <c r="O6">
        <v>50000</v>
      </c>
    </row>
    <row r="7" spans="1:16" x14ac:dyDescent="0.3">
      <c r="A7" s="38">
        <v>46043</v>
      </c>
      <c r="B7" t="s">
        <v>220</v>
      </c>
      <c r="C7" s="11"/>
      <c r="D7" s="11">
        <v>15000</v>
      </c>
      <c r="E7" t="s">
        <v>109</v>
      </c>
      <c r="F7" s="111" t="s">
        <v>108</v>
      </c>
      <c r="M7" s="48" t="s">
        <v>5</v>
      </c>
      <c r="N7" s="49">
        <f>SUM(N5:N6)</f>
        <v>7009266</v>
      </c>
      <c r="O7" s="90">
        <f>SUM(O5,O6)</f>
        <v>410000</v>
      </c>
      <c r="P7" s="14">
        <f>Table18[[#Totals],[amount]]-Table18[[#Totals],[Actual]]</f>
        <v>6599266</v>
      </c>
    </row>
    <row r="8" spans="1:16" x14ac:dyDescent="0.3">
      <c r="A8" s="115">
        <v>46043</v>
      </c>
      <c r="B8" t="s">
        <v>55</v>
      </c>
      <c r="C8" s="11">
        <v>4180</v>
      </c>
      <c r="D8" s="11"/>
      <c r="E8" t="s">
        <v>221</v>
      </c>
      <c r="F8" s="111" t="s">
        <v>108</v>
      </c>
    </row>
    <row r="9" spans="1:16" x14ac:dyDescent="0.3">
      <c r="A9" s="38">
        <v>46043</v>
      </c>
      <c r="B9" t="s">
        <v>222</v>
      </c>
      <c r="C9" s="11">
        <v>6600</v>
      </c>
      <c r="D9" s="11"/>
      <c r="E9" t="s">
        <v>223</v>
      </c>
      <c r="F9" s="111" t="s">
        <v>108</v>
      </c>
    </row>
    <row r="10" spans="1:16" x14ac:dyDescent="0.3">
      <c r="A10" s="115">
        <v>46043</v>
      </c>
      <c r="B10" t="s">
        <v>54</v>
      </c>
      <c r="C10" s="11">
        <v>1000</v>
      </c>
      <c r="D10" s="11"/>
      <c r="E10" t="s">
        <v>224</v>
      </c>
      <c r="F10" s="111" t="s">
        <v>108</v>
      </c>
    </row>
    <row r="11" spans="1:16" x14ac:dyDescent="0.3">
      <c r="A11" s="38">
        <v>46043</v>
      </c>
      <c r="B11" t="s">
        <v>225</v>
      </c>
      <c r="C11" s="11">
        <v>1000</v>
      </c>
      <c r="D11" s="11"/>
      <c r="E11" t="s">
        <v>226</v>
      </c>
      <c r="F11" s="111" t="s">
        <v>108</v>
      </c>
    </row>
    <row r="12" spans="1:16" x14ac:dyDescent="0.3">
      <c r="A12" s="115">
        <v>46043</v>
      </c>
      <c r="B12" t="s">
        <v>54</v>
      </c>
      <c r="C12" s="11">
        <v>2000</v>
      </c>
      <c r="D12" s="11"/>
      <c r="E12" t="s">
        <v>227</v>
      </c>
      <c r="F12" s="111" t="s">
        <v>108</v>
      </c>
    </row>
    <row r="13" spans="1:16" x14ac:dyDescent="0.3">
      <c r="A13" s="38">
        <v>46043</v>
      </c>
      <c r="B13" t="s">
        <v>220</v>
      </c>
      <c r="C13" s="11"/>
      <c r="D13" s="11">
        <v>4180</v>
      </c>
      <c r="E13" t="s">
        <v>221</v>
      </c>
      <c r="F13" s="111" t="s">
        <v>108</v>
      </c>
    </row>
    <row r="14" spans="1:16" x14ac:dyDescent="0.3">
      <c r="A14" s="115">
        <v>46043</v>
      </c>
      <c r="B14" t="s">
        <v>220</v>
      </c>
      <c r="C14" s="11"/>
      <c r="D14" s="11">
        <v>15513</v>
      </c>
      <c r="E14" t="s">
        <v>228</v>
      </c>
      <c r="F14" s="111" t="s">
        <v>108</v>
      </c>
    </row>
    <row r="15" spans="1:16" x14ac:dyDescent="0.3">
      <c r="A15" s="38">
        <v>46043</v>
      </c>
      <c r="B15" t="s">
        <v>55</v>
      </c>
      <c r="C15" s="11">
        <v>15513</v>
      </c>
      <c r="D15" s="11"/>
      <c r="E15" t="s">
        <v>228</v>
      </c>
      <c r="F15" s="111" t="s">
        <v>108</v>
      </c>
    </row>
    <row r="16" spans="1:16" x14ac:dyDescent="0.3">
      <c r="A16" s="115">
        <v>46043</v>
      </c>
      <c r="B16" t="s">
        <v>229</v>
      </c>
      <c r="C16" s="11">
        <v>20000</v>
      </c>
      <c r="D16" s="11"/>
      <c r="E16" t="s">
        <v>230</v>
      </c>
      <c r="F16" s="111" t="s">
        <v>108</v>
      </c>
    </row>
    <row r="17" spans="1:6" x14ac:dyDescent="0.3">
      <c r="A17" s="38">
        <v>46043</v>
      </c>
      <c r="B17" t="s">
        <v>225</v>
      </c>
      <c r="C17" s="11">
        <v>3000</v>
      </c>
      <c r="D17" s="11"/>
      <c r="E17" t="s">
        <v>231</v>
      </c>
      <c r="F17" s="111" t="s">
        <v>108</v>
      </c>
    </row>
    <row r="18" spans="1:6" x14ac:dyDescent="0.3">
      <c r="A18" s="115">
        <v>46043</v>
      </c>
      <c r="B18" t="s">
        <v>55</v>
      </c>
      <c r="C18" s="11">
        <v>25500</v>
      </c>
      <c r="D18" s="11"/>
      <c r="E18" t="s">
        <v>232</v>
      </c>
      <c r="F18" s="111" t="s">
        <v>108</v>
      </c>
    </row>
    <row r="19" spans="1:6" x14ac:dyDescent="0.3">
      <c r="A19" s="38">
        <v>46043</v>
      </c>
      <c r="B19" t="s">
        <v>193</v>
      </c>
      <c r="C19" s="11">
        <v>49200</v>
      </c>
      <c r="D19" s="11"/>
      <c r="E19" t="s">
        <v>164</v>
      </c>
      <c r="F19" s="111" t="s">
        <v>108</v>
      </c>
    </row>
    <row r="20" spans="1:6" x14ac:dyDescent="0.3">
      <c r="A20" s="115">
        <v>46043</v>
      </c>
      <c r="B20" t="s">
        <v>220</v>
      </c>
      <c r="C20" s="96"/>
      <c r="D20" s="96">
        <v>49200</v>
      </c>
      <c r="E20" t="s">
        <v>164</v>
      </c>
      <c r="F20" s="111" t="s">
        <v>108</v>
      </c>
    </row>
    <row r="21" spans="1:6" x14ac:dyDescent="0.3">
      <c r="A21" s="38">
        <v>46043</v>
      </c>
      <c r="B21" t="s">
        <v>220</v>
      </c>
      <c r="C21" s="11"/>
      <c r="D21" s="11">
        <v>25500</v>
      </c>
      <c r="E21" t="s">
        <v>232</v>
      </c>
      <c r="F21" s="111" t="s">
        <v>108</v>
      </c>
    </row>
    <row r="22" spans="1:6" x14ac:dyDescent="0.3">
      <c r="A22" s="115">
        <v>46043</v>
      </c>
      <c r="B22" t="s">
        <v>233</v>
      </c>
      <c r="C22" s="11"/>
      <c r="D22" s="11">
        <v>300000</v>
      </c>
      <c r="E22" t="s">
        <v>234</v>
      </c>
      <c r="F22" s="111" t="s">
        <v>108</v>
      </c>
    </row>
    <row r="23" spans="1:6" x14ac:dyDescent="0.3">
      <c r="A23" s="38">
        <v>46043</v>
      </c>
      <c r="B23" t="s">
        <v>220</v>
      </c>
      <c r="C23" s="96">
        <v>300000</v>
      </c>
      <c r="D23" s="96"/>
      <c r="E23" t="s">
        <v>235</v>
      </c>
      <c r="F23" s="111" t="s">
        <v>108</v>
      </c>
    </row>
    <row r="24" spans="1:6" x14ac:dyDescent="0.3">
      <c r="A24" s="38">
        <v>46044</v>
      </c>
      <c r="B24" t="s">
        <v>54</v>
      </c>
      <c r="C24" s="96">
        <v>11100</v>
      </c>
      <c r="D24" s="96"/>
      <c r="E24" t="s">
        <v>227</v>
      </c>
      <c r="F24" s="111" t="s">
        <v>108</v>
      </c>
    </row>
    <row r="25" spans="1:6" x14ac:dyDescent="0.3">
      <c r="A25" s="38">
        <v>46044</v>
      </c>
      <c r="B25" t="s">
        <v>220</v>
      </c>
      <c r="C25" s="96"/>
      <c r="D25" s="96">
        <v>118500</v>
      </c>
      <c r="E25" t="s">
        <v>236</v>
      </c>
      <c r="F25" s="111" t="s">
        <v>108</v>
      </c>
    </row>
    <row r="26" spans="1:6" x14ac:dyDescent="0.3">
      <c r="A26" s="38">
        <v>46044</v>
      </c>
      <c r="B26" t="s">
        <v>225</v>
      </c>
      <c r="C26" s="11">
        <v>100000</v>
      </c>
      <c r="D26" s="11"/>
      <c r="E26" t="s">
        <v>237</v>
      </c>
      <c r="F26" s="111" t="s">
        <v>108</v>
      </c>
    </row>
    <row r="27" spans="1:6" x14ac:dyDescent="0.3">
      <c r="A27" s="38">
        <v>46044</v>
      </c>
      <c r="B27" t="s">
        <v>229</v>
      </c>
      <c r="C27" s="11">
        <v>25950</v>
      </c>
      <c r="D27" s="11"/>
      <c r="E27" t="s">
        <v>238</v>
      </c>
      <c r="F27" s="111" t="s">
        <v>108</v>
      </c>
    </row>
    <row r="28" spans="1:6" x14ac:dyDescent="0.3">
      <c r="A28" s="38">
        <v>46044</v>
      </c>
      <c r="B28" t="s">
        <v>239</v>
      </c>
      <c r="C28" s="11"/>
      <c r="D28" s="11">
        <v>100000</v>
      </c>
      <c r="E28" t="s">
        <v>240</v>
      </c>
      <c r="F28" s="111" t="s">
        <v>108</v>
      </c>
    </row>
    <row r="29" spans="1:6" x14ac:dyDescent="0.3">
      <c r="A29" s="38">
        <v>46044</v>
      </c>
      <c r="B29" t="s">
        <v>50</v>
      </c>
      <c r="C29" s="11">
        <v>500</v>
      </c>
      <c r="D29" s="11"/>
      <c r="E29" t="s">
        <v>241</v>
      </c>
      <c r="F29" s="111" t="s">
        <v>108</v>
      </c>
    </row>
    <row r="30" spans="1:6" x14ac:dyDescent="0.3">
      <c r="A30" s="38">
        <v>46044</v>
      </c>
      <c r="B30" t="s">
        <v>225</v>
      </c>
      <c r="C30" s="11">
        <v>10000</v>
      </c>
      <c r="D30" s="11"/>
      <c r="E30" t="s">
        <v>242</v>
      </c>
      <c r="F30" s="111" t="s">
        <v>108</v>
      </c>
    </row>
    <row r="31" spans="1:6" x14ac:dyDescent="0.3">
      <c r="A31" s="38">
        <v>46044</v>
      </c>
      <c r="B31" t="s">
        <v>225</v>
      </c>
      <c r="C31" s="11">
        <v>10000</v>
      </c>
      <c r="D31" s="11"/>
      <c r="E31" t="s">
        <v>243</v>
      </c>
      <c r="F31" s="111" t="s">
        <v>108</v>
      </c>
    </row>
    <row r="32" spans="1:6" x14ac:dyDescent="0.3">
      <c r="A32" s="38">
        <v>46044</v>
      </c>
      <c r="B32" t="s">
        <v>222</v>
      </c>
      <c r="C32" s="11">
        <v>1000</v>
      </c>
      <c r="D32" s="11"/>
      <c r="E32" t="s">
        <v>244</v>
      </c>
      <c r="F32" s="111" t="s">
        <v>108</v>
      </c>
    </row>
    <row r="33" spans="1:6" x14ac:dyDescent="0.3">
      <c r="A33" s="38">
        <v>46044</v>
      </c>
      <c r="B33" t="s">
        <v>52</v>
      </c>
      <c r="C33" s="11">
        <v>50000</v>
      </c>
      <c r="D33" s="11"/>
      <c r="E33" t="s">
        <v>245</v>
      </c>
      <c r="F33" s="111" t="s">
        <v>108</v>
      </c>
    </row>
    <row r="34" spans="1:6" x14ac:dyDescent="0.3">
      <c r="A34" s="38">
        <v>46044</v>
      </c>
      <c r="B34" t="s">
        <v>222</v>
      </c>
      <c r="C34" s="11">
        <v>4000</v>
      </c>
      <c r="D34" s="11"/>
      <c r="E34" t="s">
        <v>246</v>
      </c>
      <c r="F34" s="111" t="s">
        <v>108</v>
      </c>
    </row>
    <row r="35" spans="1:6" x14ac:dyDescent="0.3">
      <c r="A35" s="38">
        <v>46044</v>
      </c>
      <c r="B35" t="s">
        <v>54</v>
      </c>
      <c r="C35" s="11">
        <v>500</v>
      </c>
      <c r="D35" s="11"/>
      <c r="E35" t="s">
        <v>247</v>
      </c>
      <c r="F35" s="111" t="s">
        <v>108</v>
      </c>
    </row>
    <row r="36" spans="1:6" x14ac:dyDescent="0.3">
      <c r="A36" s="38">
        <v>46045</v>
      </c>
      <c r="B36" t="s">
        <v>248</v>
      </c>
      <c r="C36" s="11">
        <v>20000</v>
      </c>
      <c r="D36" s="11"/>
      <c r="E36" t="s">
        <v>249</v>
      </c>
      <c r="F36" s="111" t="s">
        <v>108</v>
      </c>
    </row>
    <row r="37" spans="1:6" x14ac:dyDescent="0.3">
      <c r="A37" s="115">
        <v>46045</v>
      </c>
      <c r="B37" t="s">
        <v>54</v>
      </c>
      <c r="C37" s="11">
        <v>5000</v>
      </c>
      <c r="D37" s="11"/>
      <c r="E37" t="s">
        <v>250</v>
      </c>
      <c r="F37" s="111" t="s">
        <v>108</v>
      </c>
    </row>
    <row r="38" spans="1:6" x14ac:dyDescent="0.3">
      <c r="A38" s="115"/>
      <c r="C38" s="11"/>
      <c r="D38" s="11"/>
      <c r="F38" s="111"/>
    </row>
    <row r="39" spans="1:6" x14ac:dyDescent="0.3">
      <c r="A39" s="115">
        <v>46045</v>
      </c>
      <c r="B39" t="s">
        <v>50</v>
      </c>
      <c r="C39" s="11">
        <v>130</v>
      </c>
      <c r="D39" s="11"/>
      <c r="E39" t="s">
        <v>251</v>
      </c>
      <c r="F39" s="111" t="s">
        <v>108</v>
      </c>
    </row>
    <row r="40" spans="1:6" x14ac:dyDescent="0.3">
      <c r="A40" s="38">
        <v>46045</v>
      </c>
      <c r="B40" t="s">
        <v>220</v>
      </c>
      <c r="C40" s="11"/>
      <c r="D40" s="11">
        <v>199000</v>
      </c>
      <c r="E40" t="s">
        <v>252</v>
      </c>
      <c r="F40" s="111" t="s">
        <v>108</v>
      </c>
    </row>
    <row r="41" spans="1:6" x14ac:dyDescent="0.3">
      <c r="A41" s="115">
        <v>46045</v>
      </c>
      <c r="B41" t="s">
        <v>94</v>
      </c>
      <c r="C41" s="11">
        <v>200100</v>
      </c>
      <c r="D41" s="11"/>
      <c r="E41" t="s">
        <v>253</v>
      </c>
      <c r="F41" s="111" t="s">
        <v>108</v>
      </c>
    </row>
    <row r="42" spans="1:6" x14ac:dyDescent="0.3">
      <c r="A42" s="38">
        <v>46045</v>
      </c>
      <c r="B42" t="s">
        <v>254</v>
      </c>
      <c r="C42" s="11"/>
      <c r="D42" s="11">
        <v>124302</v>
      </c>
      <c r="E42" t="s">
        <v>255</v>
      </c>
      <c r="F42" s="111" t="s">
        <v>108</v>
      </c>
    </row>
    <row r="43" spans="1:6" x14ac:dyDescent="0.3">
      <c r="A43" s="115">
        <v>46045</v>
      </c>
      <c r="B43" t="s">
        <v>169</v>
      </c>
      <c r="C43" s="11">
        <v>120000</v>
      </c>
      <c r="D43" s="11"/>
      <c r="E43" t="s">
        <v>256</v>
      </c>
      <c r="F43" s="111" t="s">
        <v>108</v>
      </c>
    </row>
    <row r="44" spans="1:6" x14ac:dyDescent="0.3">
      <c r="A44" s="38">
        <v>46046</v>
      </c>
      <c r="B44" t="s">
        <v>220</v>
      </c>
      <c r="C44" s="96"/>
      <c r="D44" s="96">
        <v>330000</v>
      </c>
      <c r="E44" t="s">
        <v>257</v>
      </c>
      <c r="F44" s="111" t="s">
        <v>108</v>
      </c>
    </row>
    <row r="45" spans="1:6" x14ac:dyDescent="0.3">
      <c r="A45" s="115">
        <v>46046</v>
      </c>
      <c r="B45" t="s">
        <v>258</v>
      </c>
      <c r="C45" s="11">
        <v>200005</v>
      </c>
      <c r="D45" s="11"/>
      <c r="E45" t="s">
        <v>259</v>
      </c>
      <c r="F45" s="111" t="s">
        <v>108</v>
      </c>
    </row>
    <row r="46" spans="1:6" x14ac:dyDescent="0.3">
      <c r="A46" s="38">
        <v>46046</v>
      </c>
      <c r="B46" t="s">
        <v>260</v>
      </c>
      <c r="C46" s="11">
        <v>130000</v>
      </c>
      <c r="D46" s="11"/>
      <c r="E46" t="s">
        <v>261</v>
      </c>
      <c r="F46" s="111" t="s">
        <v>108</v>
      </c>
    </row>
    <row r="47" spans="1:6" x14ac:dyDescent="0.3">
      <c r="A47" s="115">
        <v>46046</v>
      </c>
      <c r="B47" t="s">
        <v>220</v>
      </c>
      <c r="C47" s="11"/>
      <c r="D47" s="11">
        <v>70000</v>
      </c>
      <c r="E47" t="s">
        <v>262</v>
      </c>
      <c r="F47" s="111" t="s">
        <v>108</v>
      </c>
    </row>
    <row r="48" spans="1:6" x14ac:dyDescent="0.3">
      <c r="A48" s="38">
        <v>46046</v>
      </c>
      <c r="B48" t="s">
        <v>196</v>
      </c>
      <c r="C48" s="11">
        <v>35000</v>
      </c>
      <c r="D48" s="11"/>
      <c r="E48" t="s">
        <v>263</v>
      </c>
      <c r="F48" s="111" t="s">
        <v>108</v>
      </c>
    </row>
    <row r="49" spans="1:6" x14ac:dyDescent="0.3">
      <c r="A49" s="115">
        <v>46046</v>
      </c>
      <c r="B49" t="s">
        <v>55</v>
      </c>
      <c r="C49" s="11">
        <v>1200</v>
      </c>
      <c r="D49" s="11"/>
      <c r="E49" t="s">
        <v>264</v>
      </c>
      <c r="F49" s="111" t="s">
        <v>108</v>
      </c>
    </row>
    <row r="50" spans="1:6" x14ac:dyDescent="0.3">
      <c r="A50" s="38">
        <v>46046</v>
      </c>
      <c r="B50" t="s">
        <v>55</v>
      </c>
      <c r="C50" s="11">
        <v>1700</v>
      </c>
      <c r="D50" s="11"/>
      <c r="E50" t="s">
        <v>265</v>
      </c>
      <c r="F50" s="111" t="s">
        <v>108</v>
      </c>
    </row>
    <row r="51" spans="1:6" x14ac:dyDescent="0.3">
      <c r="A51" s="115">
        <v>46046</v>
      </c>
      <c r="B51" t="s">
        <v>55</v>
      </c>
      <c r="C51" s="11">
        <v>1320</v>
      </c>
      <c r="D51" s="11"/>
      <c r="F51" s="111" t="s">
        <v>108</v>
      </c>
    </row>
    <row r="52" spans="1:6" x14ac:dyDescent="0.3">
      <c r="A52" s="38">
        <v>46047</v>
      </c>
      <c r="B52" t="s">
        <v>220</v>
      </c>
      <c r="C52" s="11"/>
      <c r="D52" s="11">
        <v>100000</v>
      </c>
      <c r="E52" t="s">
        <v>266</v>
      </c>
      <c r="F52" s="111" t="s">
        <v>108</v>
      </c>
    </row>
    <row r="53" spans="1:6" x14ac:dyDescent="0.3">
      <c r="A53" s="115">
        <v>46047</v>
      </c>
      <c r="B53" t="s">
        <v>258</v>
      </c>
      <c r="C53" s="11">
        <v>100000</v>
      </c>
      <c r="D53" s="11"/>
      <c r="E53" t="s">
        <v>267</v>
      </c>
      <c r="F53" s="111" t="s">
        <v>108</v>
      </c>
    </row>
    <row r="54" spans="1:6" x14ac:dyDescent="0.3">
      <c r="A54" s="38">
        <v>46047</v>
      </c>
      <c r="B54" t="s">
        <v>225</v>
      </c>
      <c r="C54" s="11">
        <v>2000</v>
      </c>
      <c r="D54" s="11"/>
      <c r="E54" t="s">
        <v>268</v>
      </c>
      <c r="F54" s="111" t="s">
        <v>108</v>
      </c>
    </row>
    <row r="55" spans="1:6" x14ac:dyDescent="0.3">
      <c r="A55" s="115">
        <v>46047</v>
      </c>
      <c r="B55" t="s">
        <v>222</v>
      </c>
      <c r="C55" s="11">
        <v>4250</v>
      </c>
      <c r="D55" s="11"/>
      <c r="E55" t="s">
        <v>269</v>
      </c>
      <c r="F55" s="111" t="s">
        <v>108</v>
      </c>
    </row>
    <row r="56" spans="1:6" x14ac:dyDescent="0.3">
      <c r="A56" s="38">
        <v>46047</v>
      </c>
      <c r="B56" t="s">
        <v>54</v>
      </c>
      <c r="C56" s="11">
        <v>3700</v>
      </c>
      <c r="D56" s="11"/>
      <c r="E56" t="s">
        <v>270</v>
      </c>
      <c r="F56" s="111" t="s">
        <v>108</v>
      </c>
    </row>
    <row r="57" spans="1:6" x14ac:dyDescent="0.3">
      <c r="A57" s="115">
        <v>46046</v>
      </c>
      <c r="B57" t="s">
        <v>54</v>
      </c>
      <c r="C57" s="11">
        <v>5000</v>
      </c>
      <c r="D57" s="11"/>
      <c r="E57" t="s">
        <v>271</v>
      </c>
      <c r="F57" s="111" t="s">
        <v>108</v>
      </c>
    </row>
    <row r="58" spans="1:6" x14ac:dyDescent="0.3">
      <c r="A58" s="38">
        <v>46047</v>
      </c>
      <c r="B58" t="s">
        <v>222</v>
      </c>
      <c r="C58" s="11">
        <v>2000</v>
      </c>
      <c r="D58" s="11"/>
      <c r="E58" t="s">
        <v>272</v>
      </c>
      <c r="F58" s="111" t="s">
        <v>108</v>
      </c>
    </row>
    <row r="59" spans="1:6" x14ac:dyDescent="0.3">
      <c r="A59" s="115">
        <v>46048</v>
      </c>
      <c r="B59" t="s">
        <v>193</v>
      </c>
      <c r="C59" s="11">
        <v>159250</v>
      </c>
      <c r="D59" s="11"/>
      <c r="E59" t="s">
        <v>64</v>
      </c>
      <c r="F59" s="111" t="s">
        <v>108</v>
      </c>
    </row>
    <row r="60" spans="1:6" x14ac:dyDescent="0.3">
      <c r="A60" s="115">
        <v>46048</v>
      </c>
      <c r="B60" t="s">
        <v>220</v>
      </c>
      <c r="C60" s="11"/>
      <c r="D60" s="11">
        <v>159250</v>
      </c>
      <c r="E60" t="s">
        <v>283</v>
      </c>
      <c r="F60" s="111" t="s">
        <v>108</v>
      </c>
    </row>
    <row r="61" spans="1:6" x14ac:dyDescent="0.3">
      <c r="A61" s="115">
        <v>46048</v>
      </c>
      <c r="B61" t="s">
        <v>196</v>
      </c>
      <c r="C61" s="11">
        <v>46360</v>
      </c>
      <c r="D61" s="11"/>
      <c r="E61" t="s">
        <v>214</v>
      </c>
      <c r="F61" s="111" t="s">
        <v>108</v>
      </c>
    </row>
    <row r="62" spans="1:6" x14ac:dyDescent="0.3">
      <c r="A62" s="115">
        <v>46048</v>
      </c>
      <c r="B62" t="s">
        <v>55</v>
      </c>
      <c r="C62" s="11">
        <v>1880</v>
      </c>
      <c r="D62" s="11"/>
      <c r="E62" t="s">
        <v>275</v>
      </c>
      <c r="F62" s="111" t="s">
        <v>108</v>
      </c>
    </row>
    <row r="63" spans="1:6" x14ac:dyDescent="0.3">
      <c r="A63" s="115">
        <v>46048</v>
      </c>
      <c r="B63" t="s">
        <v>55</v>
      </c>
      <c r="C63" s="11">
        <v>530</v>
      </c>
      <c r="D63" s="11"/>
      <c r="F63" s="111" t="s">
        <v>108</v>
      </c>
    </row>
    <row r="64" spans="1:6" x14ac:dyDescent="0.3">
      <c r="A64" s="115">
        <v>46048</v>
      </c>
      <c r="B64" t="s">
        <v>54</v>
      </c>
      <c r="C64" s="11">
        <v>1500</v>
      </c>
      <c r="D64" s="11"/>
      <c r="E64" t="s">
        <v>276</v>
      </c>
      <c r="F64" s="111" t="s">
        <v>108</v>
      </c>
    </row>
    <row r="65" spans="1:6" x14ac:dyDescent="0.3">
      <c r="A65" s="115">
        <v>46048</v>
      </c>
      <c r="B65" t="s">
        <v>55</v>
      </c>
      <c r="C65" s="11">
        <v>2900</v>
      </c>
      <c r="D65" s="11"/>
      <c r="E65" t="s">
        <v>277</v>
      </c>
      <c r="F65" s="111" t="s">
        <v>108</v>
      </c>
    </row>
    <row r="66" spans="1:6" x14ac:dyDescent="0.3">
      <c r="A66" s="115">
        <v>46048</v>
      </c>
      <c r="B66" t="s">
        <v>225</v>
      </c>
      <c r="C66" s="11">
        <v>5000</v>
      </c>
      <c r="D66" s="11"/>
      <c r="E66" t="s">
        <v>278</v>
      </c>
      <c r="F66" s="111" t="s">
        <v>108</v>
      </c>
    </row>
    <row r="67" spans="1:6" x14ac:dyDescent="0.3">
      <c r="A67" s="115">
        <v>46048</v>
      </c>
      <c r="B67" t="s">
        <v>220</v>
      </c>
      <c r="C67" s="11"/>
      <c r="D67" s="11">
        <v>50000</v>
      </c>
      <c r="E67" t="s">
        <v>279</v>
      </c>
      <c r="F67" s="111" t="s">
        <v>108</v>
      </c>
    </row>
    <row r="68" spans="1:6" x14ac:dyDescent="0.3">
      <c r="A68" s="115">
        <v>46048</v>
      </c>
      <c r="B68" t="s">
        <v>55</v>
      </c>
      <c r="C68" s="11">
        <v>4000</v>
      </c>
      <c r="D68" s="11"/>
      <c r="F68" s="111" t="s">
        <v>108</v>
      </c>
    </row>
    <row r="69" spans="1:6" x14ac:dyDescent="0.3">
      <c r="A69" s="115">
        <v>46048</v>
      </c>
      <c r="B69" t="s">
        <v>258</v>
      </c>
      <c r="C69" s="11">
        <v>100113</v>
      </c>
      <c r="D69" s="11"/>
      <c r="E69" t="s">
        <v>280</v>
      </c>
      <c r="F69" s="111" t="s">
        <v>108</v>
      </c>
    </row>
    <row r="70" spans="1:6" x14ac:dyDescent="0.3">
      <c r="A70" s="115">
        <v>46048</v>
      </c>
      <c r="B70" t="s">
        <v>220</v>
      </c>
      <c r="C70" s="96"/>
      <c r="D70" s="96">
        <v>45000</v>
      </c>
      <c r="E70" t="s">
        <v>281</v>
      </c>
      <c r="F70" s="111" t="s">
        <v>108</v>
      </c>
    </row>
    <row r="71" spans="1:6" x14ac:dyDescent="0.3">
      <c r="A71" s="115">
        <v>46048</v>
      </c>
      <c r="B71" t="s">
        <v>220</v>
      </c>
      <c r="C71" s="11"/>
      <c r="D71" s="11">
        <v>100000</v>
      </c>
      <c r="E71" t="s">
        <v>282</v>
      </c>
      <c r="F71" s="111" t="s">
        <v>108</v>
      </c>
    </row>
    <row r="72" spans="1:6" x14ac:dyDescent="0.3">
      <c r="A72" s="115">
        <v>46048</v>
      </c>
      <c r="B72" t="s">
        <v>210</v>
      </c>
      <c r="C72" s="11">
        <v>760</v>
      </c>
      <c r="D72" s="11"/>
      <c r="F72" s="111" t="s">
        <v>108</v>
      </c>
    </row>
    <row r="73" spans="1:6" x14ac:dyDescent="0.3">
      <c r="A73" s="115">
        <v>46048</v>
      </c>
      <c r="B73" t="s">
        <v>54</v>
      </c>
      <c r="C73" s="11">
        <v>1800</v>
      </c>
      <c r="D73" s="11"/>
      <c r="E73" t="s">
        <v>227</v>
      </c>
      <c r="F73" s="111" t="s">
        <v>108</v>
      </c>
    </row>
    <row r="74" spans="1:6" x14ac:dyDescent="0.3">
      <c r="A74" s="115">
        <v>46048</v>
      </c>
      <c r="B74" t="s">
        <v>222</v>
      </c>
      <c r="C74" s="11">
        <v>3000</v>
      </c>
      <c r="D74" s="11"/>
      <c r="E74" t="s">
        <v>272</v>
      </c>
      <c r="F74" s="111" t="s">
        <v>108</v>
      </c>
    </row>
    <row r="75" spans="1:6" x14ac:dyDescent="0.3">
      <c r="A75" s="115">
        <v>46049</v>
      </c>
      <c r="B75" t="s">
        <v>220</v>
      </c>
      <c r="C75" s="11"/>
      <c r="D75" s="11">
        <v>20000</v>
      </c>
      <c r="E75" t="s">
        <v>284</v>
      </c>
      <c r="F75" s="111" t="s">
        <v>108</v>
      </c>
    </row>
    <row r="76" spans="1:6" x14ac:dyDescent="0.3">
      <c r="A76" s="115">
        <v>46049</v>
      </c>
      <c r="B76" t="s">
        <v>50</v>
      </c>
      <c r="C76" s="11">
        <v>3000</v>
      </c>
      <c r="D76" s="11"/>
      <c r="E76" t="s">
        <v>285</v>
      </c>
      <c r="F76" s="111" t="s">
        <v>108</v>
      </c>
    </row>
    <row r="77" spans="1:6" x14ac:dyDescent="0.3">
      <c r="A77" s="115">
        <v>46049</v>
      </c>
      <c r="B77" t="s">
        <v>55</v>
      </c>
      <c r="C77" s="11">
        <v>3500</v>
      </c>
      <c r="D77" s="11"/>
      <c r="E77" t="s">
        <v>286</v>
      </c>
      <c r="F77" s="111" t="s">
        <v>108</v>
      </c>
    </row>
    <row r="78" spans="1:6" x14ac:dyDescent="0.3">
      <c r="A78" s="115">
        <v>46049</v>
      </c>
      <c r="B78" t="s">
        <v>225</v>
      </c>
      <c r="C78" s="11">
        <v>2000</v>
      </c>
      <c r="D78" s="11"/>
      <c r="E78" t="s">
        <v>243</v>
      </c>
      <c r="F78" s="111" t="s">
        <v>108</v>
      </c>
    </row>
    <row r="79" spans="1:6" x14ac:dyDescent="0.3">
      <c r="A79" s="115">
        <v>46049</v>
      </c>
      <c r="B79" t="s">
        <v>54</v>
      </c>
      <c r="C79" s="11">
        <v>500</v>
      </c>
      <c r="D79" s="11"/>
      <c r="E79" t="s">
        <v>224</v>
      </c>
      <c r="F79" s="111" t="s">
        <v>108</v>
      </c>
    </row>
    <row r="80" spans="1:6" x14ac:dyDescent="0.3">
      <c r="A80" s="115">
        <v>46049</v>
      </c>
      <c r="B80" t="s">
        <v>287</v>
      </c>
      <c r="C80" s="11"/>
      <c r="D80" s="11">
        <v>125000</v>
      </c>
      <c r="E80" t="s">
        <v>288</v>
      </c>
      <c r="F80" s="111" t="s">
        <v>108</v>
      </c>
    </row>
    <row r="81" spans="1:6" x14ac:dyDescent="0.3">
      <c r="A81" s="115">
        <v>46049</v>
      </c>
      <c r="B81" t="s">
        <v>287</v>
      </c>
      <c r="C81" s="11"/>
      <c r="D81" s="11">
        <v>100000</v>
      </c>
      <c r="E81" t="s">
        <v>289</v>
      </c>
      <c r="F81" s="111" t="s">
        <v>108</v>
      </c>
    </row>
    <row r="82" spans="1:6" x14ac:dyDescent="0.3">
      <c r="A82" s="115">
        <v>46049</v>
      </c>
      <c r="B82" t="s">
        <v>225</v>
      </c>
      <c r="C82" s="11">
        <v>100000</v>
      </c>
      <c r="D82" s="11"/>
      <c r="E82" t="s">
        <v>237</v>
      </c>
      <c r="F82" s="111" t="s">
        <v>108</v>
      </c>
    </row>
    <row r="83" spans="1:6" x14ac:dyDescent="0.3">
      <c r="A83" s="115">
        <v>46049</v>
      </c>
      <c r="B83" t="s">
        <v>210</v>
      </c>
      <c r="C83" s="11">
        <v>950</v>
      </c>
      <c r="D83" s="11"/>
      <c r="F83" s="111" t="s">
        <v>108</v>
      </c>
    </row>
    <row r="84" spans="1:6" x14ac:dyDescent="0.3">
      <c r="A84" s="115">
        <v>46050</v>
      </c>
      <c r="B84" t="s">
        <v>55</v>
      </c>
      <c r="C84" s="11">
        <v>1610</v>
      </c>
      <c r="D84" s="11"/>
      <c r="E84" t="s">
        <v>290</v>
      </c>
      <c r="F84" s="111" t="s">
        <v>108</v>
      </c>
    </row>
    <row r="85" spans="1:6" x14ac:dyDescent="0.3">
      <c r="A85" s="115">
        <v>46050</v>
      </c>
      <c r="B85" t="s">
        <v>220</v>
      </c>
      <c r="C85" s="11"/>
      <c r="D85" s="11">
        <v>60000</v>
      </c>
      <c r="E85" t="s">
        <v>291</v>
      </c>
      <c r="F85" s="111" t="s">
        <v>108</v>
      </c>
    </row>
    <row r="86" spans="1:6" x14ac:dyDescent="0.3">
      <c r="A86" s="115">
        <v>46050</v>
      </c>
      <c r="B86" t="s">
        <v>260</v>
      </c>
      <c r="C86" s="11">
        <v>150000</v>
      </c>
      <c r="D86" s="11"/>
      <c r="E86" t="s">
        <v>292</v>
      </c>
      <c r="F86" s="111" t="s">
        <v>108</v>
      </c>
    </row>
    <row r="87" spans="1:6" x14ac:dyDescent="0.3">
      <c r="A87" s="115">
        <v>46045</v>
      </c>
      <c r="B87" t="s">
        <v>233</v>
      </c>
      <c r="C87" s="11"/>
      <c r="D87" s="11">
        <v>40000</v>
      </c>
      <c r="E87" t="s">
        <v>293</v>
      </c>
      <c r="F87" s="111" t="s">
        <v>108</v>
      </c>
    </row>
    <row r="88" spans="1:6" x14ac:dyDescent="0.3">
      <c r="A88" s="115">
        <v>46045</v>
      </c>
      <c r="B88" t="s">
        <v>220</v>
      </c>
      <c r="C88" s="11">
        <v>40000</v>
      </c>
      <c r="D88" s="11"/>
      <c r="E88" t="s">
        <v>235</v>
      </c>
      <c r="F88" s="111" t="s">
        <v>108</v>
      </c>
    </row>
    <row r="89" spans="1:6" x14ac:dyDescent="0.3">
      <c r="A89" s="115">
        <v>46050</v>
      </c>
      <c r="B89" t="s">
        <v>233</v>
      </c>
      <c r="C89" s="11"/>
      <c r="D89" s="11">
        <v>300000</v>
      </c>
      <c r="E89" t="s">
        <v>294</v>
      </c>
      <c r="F89" s="111" t="s">
        <v>108</v>
      </c>
    </row>
    <row r="90" spans="1:6" x14ac:dyDescent="0.3">
      <c r="A90" s="115">
        <v>46050</v>
      </c>
      <c r="B90" t="s">
        <v>50</v>
      </c>
      <c r="C90" s="11">
        <v>15000</v>
      </c>
      <c r="D90" s="11"/>
      <c r="E90" t="s">
        <v>295</v>
      </c>
      <c r="F90" s="111" t="s">
        <v>108</v>
      </c>
    </row>
    <row r="91" spans="1:6" x14ac:dyDescent="0.3">
      <c r="A91" s="115">
        <v>46050</v>
      </c>
      <c r="B91" t="s">
        <v>50</v>
      </c>
      <c r="C91" s="11">
        <v>2800</v>
      </c>
      <c r="D91" s="11"/>
      <c r="E91" t="s">
        <v>296</v>
      </c>
      <c r="F91" s="111" t="s">
        <v>108</v>
      </c>
    </row>
    <row r="92" spans="1:6" x14ac:dyDescent="0.3">
      <c r="A92" s="115">
        <v>46050</v>
      </c>
      <c r="B92" t="s">
        <v>169</v>
      </c>
      <c r="C92" s="11">
        <v>125000</v>
      </c>
      <c r="D92" s="11"/>
      <c r="E92" t="s">
        <v>297</v>
      </c>
      <c r="F92" s="111" t="s">
        <v>108</v>
      </c>
    </row>
    <row r="93" spans="1:6" x14ac:dyDescent="0.3">
      <c r="A93" s="115">
        <v>46050</v>
      </c>
      <c r="B93" t="s">
        <v>298</v>
      </c>
      <c r="C93" s="11"/>
      <c r="D93" s="11">
        <v>300000</v>
      </c>
      <c r="E93" t="s">
        <v>299</v>
      </c>
      <c r="F93" s="111" t="s">
        <v>108</v>
      </c>
    </row>
    <row r="94" spans="1:6" x14ac:dyDescent="0.3">
      <c r="A94" s="115">
        <v>46050</v>
      </c>
      <c r="B94" t="s">
        <v>54</v>
      </c>
      <c r="C94" s="11">
        <v>5000</v>
      </c>
      <c r="D94" s="11"/>
      <c r="E94" t="s">
        <v>300</v>
      </c>
      <c r="F94" s="111" t="s">
        <v>108</v>
      </c>
    </row>
    <row r="95" spans="1:6" x14ac:dyDescent="0.3">
      <c r="A95" s="115">
        <v>46050</v>
      </c>
      <c r="B95" t="s">
        <v>225</v>
      </c>
      <c r="C95" s="11">
        <v>5000</v>
      </c>
      <c r="D95" s="11"/>
      <c r="E95" t="s">
        <v>301</v>
      </c>
      <c r="F95" s="111" t="s">
        <v>108</v>
      </c>
    </row>
    <row r="96" spans="1:6" x14ac:dyDescent="0.3">
      <c r="A96" s="115">
        <v>46050</v>
      </c>
      <c r="B96" t="s">
        <v>225</v>
      </c>
      <c r="C96" s="11">
        <v>1000</v>
      </c>
      <c r="D96" s="11"/>
      <c r="E96" t="s">
        <v>242</v>
      </c>
      <c r="F96" s="111" t="s">
        <v>108</v>
      </c>
    </row>
    <row r="97" spans="1:13" x14ac:dyDescent="0.3">
      <c r="A97" s="115">
        <v>46050</v>
      </c>
      <c r="B97" t="s">
        <v>225</v>
      </c>
      <c r="C97" s="11">
        <v>1000</v>
      </c>
      <c r="D97" s="11"/>
      <c r="E97" t="s">
        <v>243</v>
      </c>
      <c r="F97" s="111" t="s">
        <v>108</v>
      </c>
    </row>
    <row r="98" spans="1:13" x14ac:dyDescent="0.3">
      <c r="A98" s="115">
        <v>46050</v>
      </c>
      <c r="B98" t="s">
        <v>225</v>
      </c>
      <c r="C98" s="11">
        <v>500</v>
      </c>
      <c r="D98" s="11"/>
      <c r="E98" t="s">
        <v>268</v>
      </c>
      <c r="F98" s="111" t="s">
        <v>108</v>
      </c>
    </row>
    <row r="99" spans="1:13" x14ac:dyDescent="0.3">
      <c r="A99" s="115">
        <v>46051</v>
      </c>
      <c r="B99" t="s">
        <v>298</v>
      </c>
      <c r="C99" s="11"/>
      <c r="D99" s="11">
        <v>400000</v>
      </c>
      <c r="F99" s="111" t="s">
        <v>108</v>
      </c>
    </row>
    <row r="100" spans="1:13" x14ac:dyDescent="0.3">
      <c r="A100" s="115">
        <v>46051</v>
      </c>
      <c r="B100" t="s">
        <v>220</v>
      </c>
      <c r="C100" s="11"/>
      <c r="D100" s="11">
        <v>20000</v>
      </c>
      <c r="E100" t="s">
        <v>305</v>
      </c>
      <c r="F100" s="111" t="s">
        <v>108</v>
      </c>
    </row>
    <row r="101" spans="1:13" x14ac:dyDescent="0.3">
      <c r="A101" s="115">
        <v>46051</v>
      </c>
      <c r="B101" t="s">
        <v>220</v>
      </c>
      <c r="C101" s="11"/>
      <c r="D101" s="11">
        <v>50000</v>
      </c>
      <c r="E101" t="s">
        <v>310</v>
      </c>
      <c r="F101" s="111" t="s">
        <v>108</v>
      </c>
    </row>
    <row r="102" spans="1:13" x14ac:dyDescent="0.3">
      <c r="A102" s="115">
        <v>46051</v>
      </c>
      <c r="B102" t="s">
        <v>220</v>
      </c>
      <c r="C102" s="11"/>
      <c r="D102" s="11">
        <v>100000</v>
      </c>
      <c r="E102" t="s">
        <v>311</v>
      </c>
      <c r="F102" s="111" t="s">
        <v>108</v>
      </c>
    </row>
    <row r="103" spans="1:13" x14ac:dyDescent="0.3">
      <c r="A103" s="115"/>
      <c r="B103" t="s">
        <v>54</v>
      </c>
      <c r="C103" s="11">
        <v>5000</v>
      </c>
      <c r="D103" s="11"/>
      <c r="E103" t="s">
        <v>406</v>
      </c>
      <c r="F103" s="111" t="s">
        <v>108</v>
      </c>
    </row>
    <row r="104" spans="1:13" x14ac:dyDescent="0.3">
      <c r="A104" s="115">
        <v>46051</v>
      </c>
      <c r="B104" t="s">
        <v>52</v>
      </c>
      <c r="C104" s="11"/>
      <c r="D104" s="11"/>
      <c r="E104" t="s">
        <v>243</v>
      </c>
      <c r="F104" s="111" t="s">
        <v>108</v>
      </c>
    </row>
    <row r="105" spans="1:13" x14ac:dyDescent="0.3">
      <c r="A105" s="115">
        <v>46051</v>
      </c>
      <c r="B105" t="s">
        <v>225</v>
      </c>
      <c r="C105" s="11">
        <v>20000</v>
      </c>
      <c r="D105" s="11"/>
      <c r="E105" t="s">
        <v>268</v>
      </c>
      <c r="F105" s="111" t="s">
        <v>108</v>
      </c>
      <c r="I105">
        <v>15400</v>
      </c>
      <c r="K105">
        <v>4300</v>
      </c>
      <c r="L105">
        <v>4300</v>
      </c>
      <c r="M105">
        <v>4300</v>
      </c>
    </row>
    <row r="106" spans="1:13" x14ac:dyDescent="0.3">
      <c r="A106" s="115">
        <v>46051</v>
      </c>
      <c r="B106" t="s">
        <v>54</v>
      </c>
      <c r="C106" s="11">
        <v>4000</v>
      </c>
      <c r="D106" s="11"/>
      <c r="E106" t="s">
        <v>306</v>
      </c>
      <c r="F106" s="111" t="s">
        <v>108</v>
      </c>
      <c r="I106">
        <v>4300</v>
      </c>
      <c r="K106">
        <v>1200</v>
      </c>
      <c r="L106">
        <v>1200</v>
      </c>
      <c r="M106">
        <v>1200</v>
      </c>
    </row>
    <row r="107" spans="1:13" x14ac:dyDescent="0.3">
      <c r="A107" s="115">
        <v>46051</v>
      </c>
      <c r="B107" t="s">
        <v>54</v>
      </c>
      <c r="C107" s="11">
        <v>2400</v>
      </c>
      <c r="D107" s="11"/>
      <c r="E107" t="s">
        <v>307</v>
      </c>
      <c r="F107" s="111" t="s">
        <v>108</v>
      </c>
      <c r="I107">
        <v>13400</v>
      </c>
      <c r="K107">
        <v>22700</v>
      </c>
      <c r="L107">
        <v>22700</v>
      </c>
      <c r="M107">
        <v>22700</v>
      </c>
    </row>
    <row r="108" spans="1:13" x14ac:dyDescent="0.3">
      <c r="A108" s="115">
        <v>46051</v>
      </c>
      <c r="B108" t="s">
        <v>52</v>
      </c>
      <c r="C108" s="11"/>
      <c r="D108" s="11"/>
      <c r="E108" t="s">
        <v>308</v>
      </c>
      <c r="F108" s="111" t="s">
        <v>108</v>
      </c>
      <c r="I108">
        <v>14900</v>
      </c>
      <c r="K108">
        <v>15000</v>
      </c>
      <c r="L108">
        <v>15000</v>
      </c>
      <c r="M108">
        <v>15000</v>
      </c>
    </row>
    <row r="109" spans="1:13" x14ac:dyDescent="0.3">
      <c r="A109" s="115">
        <v>46051</v>
      </c>
      <c r="B109" t="s">
        <v>229</v>
      </c>
      <c r="C109" s="11">
        <v>9000</v>
      </c>
      <c r="D109" s="11"/>
      <c r="E109" t="s">
        <v>309</v>
      </c>
      <c r="F109" s="111" t="s">
        <v>108</v>
      </c>
      <c r="I109">
        <v>15000</v>
      </c>
      <c r="K109">
        <v>15150</v>
      </c>
      <c r="L109">
        <v>15150</v>
      </c>
      <c r="M109">
        <v>15150</v>
      </c>
    </row>
    <row r="110" spans="1:13" x14ac:dyDescent="0.3">
      <c r="A110" s="115">
        <v>46051</v>
      </c>
      <c r="B110" t="s">
        <v>52</v>
      </c>
      <c r="C110" s="11"/>
      <c r="D110" s="11"/>
      <c r="E110" t="s">
        <v>312</v>
      </c>
      <c r="F110" s="111" t="s">
        <v>108</v>
      </c>
      <c r="I110">
        <v>11650</v>
      </c>
      <c r="K110">
        <v>22400</v>
      </c>
      <c r="L110">
        <v>22400</v>
      </c>
      <c r="M110">
        <v>22400</v>
      </c>
    </row>
    <row r="111" spans="1:13" x14ac:dyDescent="0.3">
      <c r="A111" s="115">
        <v>46051</v>
      </c>
      <c r="B111" t="s">
        <v>54</v>
      </c>
      <c r="C111" s="11">
        <v>5000</v>
      </c>
      <c r="D111" s="11"/>
      <c r="E111" t="s">
        <v>271</v>
      </c>
      <c r="F111" s="111" t="s">
        <v>108</v>
      </c>
      <c r="I111">
        <v>22700</v>
      </c>
      <c r="K111">
        <v>25000</v>
      </c>
      <c r="L111">
        <v>25000</v>
      </c>
      <c r="M111">
        <v>25000</v>
      </c>
    </row>
    <row r="112" spans="1:13" x14ac:dyDescent="0.3">
      <c r="A112" s="115">
        <v>46051</v>
      </c>
      <c r="B112" t="s">
        <v>210</v>
      </c>
      <c r="C112" s="11">
        <v>760</v>
      </c>
      <c r="D112" s="11"/>
      <c r="F112" s="111" t="s">
        <v>108</v>
      </c>
      <c r="I112">
        <v>17000</v>
      </c>
      <c r="K112">
        <v>20880</v>
      </c>
      <c r="L112">
        <v>20880</v>
      </c>
      <c r="M112">
        <v>20880</v>
      </c>
    </row>
    <row r="113" spans="1:13" x14ac:dyDescent="0.3">
      <c r="A113" s="115">
        <v>46051</v>
      </c>
      <c r="B113" t="s">
        <v>222</v>
      </c>
      <c r="C113" s="11">
        <v>600</v>
      </c>
      <c r="D113" s="11"/>
      <c r="E113" t="s">
        <v>313</v>
      </c>
      <c r="F113" s="111" t="s">
        <v>108</v>
      </c>
      <c r="I113">
        <v>15000</v>
      </c>
      <c r="K113">
        <v>20000</v>
      </c>
      <c r="L113">
        <v>20000</v>
      </c>
      <c r="M113">
        <v>20000</v>
      </c>
    </row>
    <row r="114" spans="1:13" x14ac:dyDescent="0.3">
      <c r="A114" s="115">
        <v>46053</v>
      </c>
      <c r="B114" t="s">
        <v>52</v>
      </c>
      <c r="C114" s="11">
        <v>12800</v>
      </c>
      <c r="D114" s="11"/>
      <c r="E114" t="s">
        <v>314</v>
      </c>
      <c r="F114" s="111" t="s">
        <v>108</v>
      </c>
      <c r="I114">
        <v>1200</v>
      </c>
      <c r="K114">
        <v>150000</v>
      </c>
      <c r="L114">
        <v>150000</v>
      </c>
      <c r="M114">
        <v>150000</v>
      </c>
    </row>
    <row r="115" spans="1:13" x14ac:dyDescent="0.3">
      <c r="A115" s="115">
        <v>46053</v>
      </c>
      <c r="B115" t="s">
        <v>225</v>
      </c>
      <c r="C115" s="11">
        <v>5000</v>
      </c>
      <c r="D115" s="11"/>
      <c r="E115" t="s">
        <v>315</v>
      </c>
      <c r="F115" s="111" t="s">
        <v>108</v>
      </c>
      <c r="I115">
        <v>25600</v>
      </c>
      <c r="K115">
        <v>45200</v>
      </c>
      <c r="L115">
        <v>45200</v>
      </c>
      <c r="M115">
        <v>45200</v>
      </c>
    </row>
    <row r="116" spans="1:13" x14ac:dyDescent="0.3">
      <c r="A116" s="115">
        <v>46052</v>
      </c>
      <c r="B116" t="s">
        <v>54</v>
      </c>
      <c r="C116" s="11">
        <v>2400</v>
      </c>
      <c r="D116" s="11"/>
      <c r="E116" t="s">
        <v>227</v>
      </c>
      <c r="F116" s="111" t="s">
        <v>108</v>
      </c>
      <c r="I116">
        <v>15300</v>
      </c>
      <c r="K116">
        <v>44800</v>
      </c>
      <c r="L116">
        <v>44800</v>
      </c>
      <c r="M116">
        <v>44800</v>
      </c>
    </row>
    <row r="117" spans="1:13" x14ac:dyDescent="0.3">
      <c r="A117" s="115">
        <v>46052</v>
      </c>
      <c r="B117" t="s">
        <v>229</v>
      </c>
      <c r="C117" s="96">
        <v>4050</v>
      </c>
      <c r="D117" s="96"/>
      <c r="E117" t="s">
        <v>309</v>
      </c>
      <c r="F117" s="111" t="s">
        <v>108</v>
      </c>
      <c r="I117">
        <v>16650</v>
      </c>
      <c r="K117">
        <v>5200</v>
      </c>
      <c r="L117">
        <v>5200</v>
      </c>
      <c r="M117">
        <v>5200</v>
      </c>
    </row>
    <row r="118" spans="1:13" x14ac:dyDescent="0.3">
      <c r="A118" s="115">
        <v>46052</v>
      </c>
      <c r="B118" t="s">
        <v>50</v>
      </c>
      <c r="C118" s="11">
        <v>5854</v>
      </c>
      <c r="D118" s="11"/>
      <c r="E118" t="s">
        <v>241</v>
      </c>
      <c r="F118" s="111" t="s">
        <v>108</v>
      </c>
      <c r="I118">
        <v>20000</v>
      </c>
      <c r="K118">
        <v>39400</v>
      </c>
      <c r="L118">
        <v>39400</v>
      </c>
      <c r="M118">
        <v>39400</v>
      </c>
    </row>
    <row r="119" spans="1:13" x14ac:dyDescent="0.3">
      <c r="A119" s="115">
        <v>46052</v>
      </c>
      <c r="B119" t="s">
        <v>55</v>
      </c>
      <c r="C119" s="11">
        <v>10000</v>
      </c>
      <c r="D119" s="11"/>
      <c r="E119" t="s">
        <v>316</v>
      </c>
      <c r="F119" s="111" t="s">
        <v>108</v>
      </c>
      <c r="I119">
        <v>5200</v>
      </c>
      <c r="K119">
        <v>21600</v>
      </c>
      <c r="L119">
        <v>21600</v>
      </c>
      <c r="M119">
        <v>21600</v>
      </c>
    </row>
    <row r="120" spans="1:13" x14ac:dyDescent="0.3">
      <c r="A120" s="115">
        <v>46052</v>
      </c>
      <c r="B120" t="s">
        <v>220</v>
      </c>
      <c r="C120" s="11"/>
      <c r="D120" s="11">
        <v>25000</v>
      </c>
      <c r="E120" t="s">
        <v>317</v>
      </c>
      <c r="F120" s="111" t="s">
        <v>108</v>
      </c>
      <c r="I120">
        <v>46400</v>
      </c>
      <c r="K120">
        <v>46400</v>
      </c>
      <c r="L120">
        <v>46400</v>
      </c>
      <c r="M120">
        <v>46400</v>
      </c>
    </row>
    <row r="121" spans="1:13" x14ac:dyDescent="0.3">
      <c r="A121" s="115">
        <v>46052</v>
      </c>
      <c r="B121" t="s">
        <v>55</v>
      </c>
      <c r="C121" s="11">
        <v>1100</v>
      </c>
      <c r="D121" s="11"/>
      <c r="E121" t="s">
        <v>318</v>
      </c>
      <c r="F121" s="111" t="s">
        <v>108</v>
      </c>
      <c r="I121">
        <v>16300</v>
      </c>
      <c r="K121">
        <v>8400</v>
      </c>
      <c r="L121">
        <v>8400</v>
      </c>
      <c r="M121">
        <v>8400</v>
      </c>
    </row>
    <row r="122" spans="1:13" x14ac:dyDescent="0.3">
      <c r="A122" s="115">
        <v>46052</v>
      </c>
      <c r="B122" t="s">
        <v>210</v>
      </c>
      <c r="C122" s="11">
        <v>1000</v>
      </c>
      <c r="D122" s="11"/>
      <c r="E122" t="s">
        <v>319</v>
      </c>
      <c r="F122" s="111" t="s">
        <v>108</v>
      </c>
      <c r="I122">
        <v>21700</v>
      </c>
      <c r="K122">
        <v>35000</v>
      </c>
      <c r="L122">
        <v>35000</v>
      </c>
      <c r="M122">
        <v>35000</v>
      </c>
    </row>
    <row r="123" spans="1:13" x14ac:dyDescent="0.3">
      <c r="A123" s="115">
        <v>46053</v>
      </c>
      <c r="B123" t="s">
        <v>55</v>
      </c>
      <c r="C123" s="11">
        <v>3760</v>
      </c>
      <c r="D123" s="11"/>
      <c r="E123" t="s">
        <v>320</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287</v>
      </c>
      <c r="C125" s="11"/>
      <c r="D125" s="11">
        <v>90000</v>
      </c>
      <c r="E125" t="s">
        <v>321</v>
      </c>
      <c r="F125" s="111" t="s">
        <v>108</v>
      </c>
      <c r="I125">
        <v>21600</v>
      </c>
      <c r="K125">
        <v>34000</v>
      </c>
      <c r="L125">
        <v>34000</v>
      </c>
      <c r="M125">
        <v>34000</v>
      </c>
    </row>
    <row r="126" spans="1:13" x14ac:dyDescent="0.3">
      <c r="A126" s="115">
        <v>46053</v>
      </c>
      <c r="B126" t="s">
        <v>55</v>
      </c>
      <c r="C126" s="11">
        <v>2750</v>
      </c>
      <c r="D126" s="11"/>
      <c r="E126" t="s">
        <v>322</v>
      </c>
      <c r="F126" s="111" t="s">
        <v>108</v>
      </c>
      <c r="I126">
        <v>39400</v>
      </c>
      <c r="K126">
        <v>21700</v>
      </c>
      <c r="L126">
        <v>21700</v>
      </c>
      <c r="M126">
        <v>21700</v>
      </c>
    </row>
    <row r="127" spans="1:13" x14ac:dyDescent="0.3">
      <c r="A127" s="115">
        <v>46053</v>
      </c>
      <c r="B127" t="s">
        <v>233</v>
      </c>
      <c r="C127" s="11"/>
      <c r="D127" s="11">
        <v>150000</v>
      </c>
      <c r="E127" t="s">
        <v>323</v>
      </c>
      <c r="F127" s="111" t="s">
        <v>108</v>
      </c>
      <c r="I127">
        <v>8400</v>
      </c>
      <c r="K127">
        <v>17000</v>
      </c>
      <c r="L127">
        <v>17000</v>
      </c>
      <c r="M127">
        <v>17000</v>
      </c>
    </row>
    <row r="128" spans="1:13" x14ac:dyDescent="0.3">
      <c r="A128" s="115">
        <v>46053</v>
      </c>
      <c r="B128" t="s">
        <v>233</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303</v>
      </c>
      <c r="F129" s="111" t="s">
        <v>108</v>
      </c>
      <c r="I129">
        <v>34000</v>
      </c>
      <c r="K129">
        <v>14900</v>
      </c>
      <c r="L129">
        <v>14900</v>
      </c>
      <c r="M129">
        <v>14900</v>
      </c>
    </row>
    <row r="130" spans="1:13" x14ac:dyDescent="0.3">
      <c r="A130" s="115">
        <v>46053</v>
      </c>
      <c r="B130" t="s">
        <v>94</v>
      </c>
      <c r="C130" s="11">
        <v>90000</v>
      </c>
      <c r="D130" s="11"/>
      <c r="E130" t="s">
        <v>324</v>
      </c>
      <c r="F130" s="111" t="s">
        <v>108</v>
      </c>
      <c r="I130">
        <v>22400</v>
      </c>
      <c r="K130">
        <v>11650</v>
      </c>
      <c r="L130">
        <v>11650</v>
      </c>
      <c r="M130">
        <v>11650</v>
      </c>
    </row>
    <row r="131" spans="1:13" x14ac:dyDescent="0.3">
      <c r="A131" s="115">
        <v>46053</v>
      </c>
      <c r="B131" t="s">
        <v>258</v>
      </c>
      <c r="C131" s="11">
        <v>100200</v>
      </c>
      <c r="D131" s="11"/>
      <c r="E131" t="s">
        <v>325</v>
      </c>
      <c r="F131" s="111" t="s">
        <v>108</v>
      </c>
      <c r="I131">
        <v>5700</v>
      </c>
      <c r="K131">
        <v>15300</v>
      </c>
      <c r="L131">
        <v>15400</v>
      </c>
      <c r="M131">
        <v>15400</v>
      </c>
    </row>
    <row r="132" spans="1:13" x14ac:dyDescent="0.3">
      <c r="A132" s="115">
        <v>46053</v>
      </c>
      <c r="B132" t="s">
        <v>210</v>
      </c>
      <c r="C132" s="11"/>
      <c r="D132" s="11">
        <f>[1]Profit!$F$21</f>
        <v>136637.20398683249</v>
      </c>
      <c r="E132" t="s">
        <v>404</v>
      </c>
      <c r="F132" s="111" t="s">
        <v>108</v>
      </c>
      <c r="I132">
        <v>80000</v>
      </c>
      <c r="K132">
        <v>15000</v>
      </c>
      <c r="L132">
        <v>16300</v>
      </c>
      <c r="M132">
        <v>16300</v>
      </c>
    </row>
    <row r="133" spans="1:13" x14ac:dyDescent="0.3">
      <c r="A133" s="115">
        <v>46053</v>
      </c>
      <c r="B133" t="s">
        <v>405</v>
      </c>
      <c r="C133" s="11">
        <f>[1]Profit!$F$21</f>
        <v>136637.20398683249</v>
      </c>
      <c r="D133" s="11"/>
      <c r="E133" t="s">
        <v>404</v>
      </c>
      <c r="F133" s="111" t="s">
        <v>108</v>
      </c>
      <c r="I133">
        <v>2500</v>
      </c>
      <c r="K133">
        <v>6000</v>
      </c>
      <c r="L133">
        <v>15300</v>
      </c>
      <c r="M133">
        <v>15300</v>
      </c>
    </row>
    <row r="134" spans="1:13" x14ac:dyDescent="0.3">
      <c r="A134" s="115">
        <v>46053</v>
      </c>
      <c r="B134" t="s">
        <v>248</v>
      </c>
      <c r="C134" s="11">
        <v>20000</v>
      </c>
      <c r="D134" s="11"/>
      <c r="E134" t="s">
        <v>249</v>
      </c>
      <c r="F134" s="111" t="s">
        <v>108</v>
      </c>
      <c r="I134">
        <v>9500</v>
      </c>
      <c r="K134">
        <v>16550</v>
      </c>
      <c r="L134">
        <v>15000</v>
      </c>
      <c r="M134">
        <v>15000</v>
      </c>
    </row>
    <row r="135" spans="1:13" x14ac:dyDescent="0.3">
      <c r="A135" s="115">
        <v>46054</v>
      </c>
      <c r="B135" t="s">
        <v>298</v>
      </c>
      <c r="C135" s="96"/>
      <c r="D135" s="96">
        <v>300000</v>
      </c>
      <c r="E135" t="s">
        <v>326</v>
      </c>
      <c r="F135" s="111" t="s">
        <v>108</v>
      </c>
      <c r="I135">
        <v>20880</v>
      </c>
      <c r="K135">
        <v>13400</v>
      </c>
      <c r="L135">
        <v>6000</v>
      </c>
      <c r="M135">
        <v>6000</v>
      </c>
    </row>
    <row r="136" spans="1:13" x14ac:dyDescent="0.3">
      <c r="A136" s="115">
        <v>46054</v>
      </c>
      <c r="B136" t="s">
        <v>258</v>
      </c>
      <c r="C136" s="11">
        <v>100101</v>
      </c>
      <c r="D136" s="11"/>
      <c r="E136" t="s">
        <v>327</v>
      </c>
      <c r="F136" s="111" t="s">
        <v>108</v>
      </c>
      <c r="I136">
        <v>150000</v>
      </c>
      <c r="K136">
        <v>11650</v>
      </c>
      <c r="L136">
        <v>16550</v>
      </c>
      <c r="M136">
        <v>16550</v>
      </c>
    </row>
    <row r="137" spans="1:13" x14ac:dyDescent="0.3">
      <c r="A137" s="115">
        <v>46054</v>
      </c>
      <c r="B137" t="s">
        <v>55</v>
      </c>
      <c r="C137" s="11">
        <v>2900</v>
      </c>
      <c r="D137" s="11"/>
      <c r="E137" t="s">
        <v>328</v>
      </c>
      <c r="F137" s="111" t="s">
        <v>108</v>
      </c>
      <c r="K137">
        <v>2500</v>
      </c>
      <c r="L137">
        <v>13400</v>
      </c>
      <c r="M137">
        <v>13400</v>
      </c>
    </row>
    <row r="138" spans="1:13" x14ac:dyDescent="0.3">
      <c r="A138" s="115">
        <v>46054</v>
      </c>
      <c r="B138" t="s">
        <v>50</v>
      </c>
      <c r="C138" s="11">
        <v>1000</v>
      </c>
      <c r="D138" s="11"/>
      <c r="E138" t="s">
        <v>329</v>
      </c>
      <c r="F138" s="111" t="s">
        <v>108</v>
      </c>
      <c r="K138">
        <v>5700</v>
      </c>
      <c r="L138">
        <v>11650</v>
      </c>
      <c r="M138">
        <v>11650</v>
      </c>
    </row>
    <row r="139" spans="1:13" x14ac:dyDescent="0.3">
      <c r="A139" s="115">
        <v>46054</v>
      </c>
      <c r="B139" t="s">
        <v>50</v>
      </c>
      <c r="C139" s="11">
        <v>3720</v>
      </c>
      <c r="D139" s="11"/>
      <c r="E139" t="s">
        <v>330</v>
      </c>
      <c r="F139" s="111" t="s">
        <v>108</v>
      </c>
      <c r="L139">
        <v>2500</v>
      </c>
      <c r="M139">
        <v>2500</v>
      </c>
    </row>
    <row r="140" spans="1:13" x14ac:dyDescent="0.3">
      <c r="A140" s="115">
        <v>46054</v>
      </c>
      <c r="B140" t="s">
        <v>94</v>
      </c>
      <c r="C140" s="11">
        <v>200280</v>
      </c>
      <c r="D140" s="11"/>
      <c r="E140" t="s">
        <v>331</v>
      </c>
      <c r="F140" s="111" t="s">
        <v>108</v>
      </c>
      <c r="L140">
        <v>5700</v>
      </c>
      <c r="M140">
        <v>5700</v>
      </c>
    </row>
    <row r="141" spans="1:13" x14ac:dyDescent="0.3">
      <c r="A141" s="115">
        <v>46052</v>
      </c>
      <c r="B141" t="s">
        <v>222</v>
      </c>
      <c r="C141" s="11">
        <v>2500</v>
      </c>
      <c r="D141" s="11"/>
      <c r="E141" t="s">
        <v>269</v>
      </c>
      <c r="F141" s="111" t="s">
        <v>108</v>
      </c>
      <c r="L141">
        <v>5000</v>
      </c>
      <c r="M141">
        <v>5000</v>
      </c>
    </row>
    <row r="142" spans="1:13" x14ac:dyDescent="0.3">
      <c r="A142" s="115">
        <v>46053</v>
      </c>
      <c r="B142" t="s">
        <v>210</v>
      </c>
      <c r="C142" s="11">
        <v>5750</v>
      </c>
      <c r="D142" s="11"/>
      <c r="F142" s="111" t="s">
        <v>108</v>
      </c>
    </row>
    <row r="143" spans="1:13" x14ac:dyDescent="0.3">
      <c r="A143" s="115">
        <v>46053</v>
      </c>
      <c r="B143" t="s">
        <v>220</v>
      </c>
      <c r="C143" s="11">
        <v>20000</v>
      </c>
      <c r="D143" s="11"/>
      <c r="E143" t="s">
        <v>332</v>
      </c>
      <c r="F143" s="111" t="s">
        <v>108</v>
      </c>
    </row>
    <row r="144" spans="1:13" x14ac:dyDescent="0.3">
      <c r="A144" s="115">
        <v>46055</v>
      </c>
      <c r="B144" t="s">
        <v>175</v>
      </c>
      <c r="C144" s="11"/>
      <c r="D144" s="11">
        <v>300000</v>
      </c>
      <c r="E144" t="s">
        <v>336</v>
      </c>
      <c r="F144" s="111" t="s">
        <v>108</v>
      </c>
    </row>
    <row r="145" spans="1:6" x14ac:dyDescent="0.3">
      <c r="A145" s="115">
        <v>46055</v>
      </c>
      <c r="B145" t="s">
        <v>337</v>
      </c>
      <c r="C145" s="11">
        <v>1000</v>
      </c>
      <c r="D145" s="11"/>
      <c r="E145" t="s">
        <v>338</v>
      </c>
      <c r="F145" s="111" t="s">
        <v>108</v>
      </c>
    </row>
    <row r="146" spans="1:6" x14ac:dyDescent="0.3">
      <c r="A146" s="115">
        <v>46055</v>
      </c>
      <c r="B146" t="s">
        <v>169</v>
      </c>
      <c r="C146" s="11">
        <v>150000</v>
      </c>
      <c r="D146" s="11"/>
      <c r="E146" t="s">
        <v>339</v>
      </c>
      <c r="F146" s="111" t="s">
        <v>108</v>
      </c>
    </row>
    <row r="147" spans="1:6" x14ac:dyDescent="0.3">
      <c r="A147" s="115">
        <v>46055</v>
      </c>
      <c r="B147" t="s">
        <v>260</v>
      </c>
      <c r="C147" s="11">
        <v>100200</v>
      </c>
      <c r="D147" s="11"/>
      <c r="E147" t="s">
        <v>340</v>
      </c>
      <c r="F147" s="111" t="s">
        <v>108</v>
      </c>
    </row>
    <row r="148" spans="1:6" x14ac:dyDescent="0.3">
      <c r="A148" s="115">
        <v>46055</v>
      </c>
      <c r="B148" t="s">
        <v>52</v>
      </c>
      <c r="C148" s="11">
        <v>28000</v>
      </c>
      <c r="D148" s="11"/>
      <c r="E148" t="s">
        <v>242</v>
      </c>
      <c r="F148" s="111" t="s">
        <v>108</v>
      </c>
    </row>
    <row r="149" spans="1:6" x14ac:dyDescent="0.3">
      <c r="A149" s="115">
        <v>46055</v>
      </c>
      <c r="B149" t="s">
        <v>229</v>
      </c>
      <c r="C149" s="11">
        <v>22640</v>
      </c>
      <c r="D149" s="11"/>
      <c r="E149" t="s">
        <v>214</v>
      </c>
      <c r="F149" s="111" t="s">
        <v>108</v>
      </c>
    </row>
    <row r="150" spans="1:6" x14ac:dyDescent="0.3">
      <c r="A150" s="115">
        <v>46055</v>
      </c>
      <c r="B150" t="s">
        <v>190</v>
      </c>
      <c r="C150" s="11"/>
      <c r="D150" s="11">
        <v>200000</v>
      </c>
      <c r="E150" t="s">
        <v>341</v>
      </c>
      <c r="F150" s="111" t="s">
        <v>108</v>
      </c>
    </row>
    <row r="151" spans="1:6" x14ac:dyDescent="0.3">
      <c r="A151" s="115">
        <v>46055</v>
      </c>
      <c r="B151" t="s">
        <v>52</v>
      </c>
      <c r="C151" s="11"/>
      <c r="D151" s="11"/>
      <c r="E151" t="s">
        <v>245</v>
      </c>
      <c r="F151" s="111" t="s">
        <v>108</v>
      </c>
    </row>
    <row r="152" spans="1:6" x14ac:dyDescent="0.3">
      <c r="A152" s="115">
        <v>46055</v>
      </c>
      <c r="B152" t="s">
        <v>52</v>
      </c>
      <c r="C152" s="11"/>
      <c r="D152" s="11"/>
      <c r="E152" t="s">
        <v>231</v>
      </c>
      <c r="F152" s="111" t="s">
        <v>108</v>
      </c>
    </row>
    <row r="153" spans="1:6" x14ac:dyDescent="0.3">
      <c r="A153" s="115">
        <v>46055</v>
      </c>
      <c r="B153" t="s">
        <v>52</v>
      </c>
      <c r="C153" s="11"/>
      <c r="D153" s="11"/>
      <c r="E153" t="s">
        <v>243</v>
      </c>
      <c r="F153" s="111" t="s">
        <v>108</v>
      </c>
    </row>
    <row r="154" spans="1:6" x14ac:dyDescent="0.3">
      <c r="A154" s="115">
        <v>46055</v>
      </c>
      <c r="B154" t="s">
        <v>54</v>
      </c>
      <c r="C154" s="11">
        <v>2500</v>
      </c>
      <c r="D154" s="11"/>
      <c r="E154" t="s">
        <v>342</v>
      </c>
      <c r="F154" s="111" t="s">
        <v>108</v>
      </c>
    </row>
    <row r="155" spans="1:6" x14ac:dyDescent="0.3">
      <c r="A155" s="115">
        <v>46055</v>
      </c>
      <c r="B155" t="s">
        <v>258</v>
      </c>
      <c r="C155" s="11">
        <v>200144</v>
      </c>
      <c r="D155" s="11"/>
      <c r="E155" t="s">
        <v>343</v>
      </c>
      <c r="F155" s="111" t="s">
        <v>108</v>
      </c>
    </row>
    <row r="156" spans="1:6" x14ac:dyDescent="0.3">
      <c r="A156" s="115">
        <v>46055</v>
      </c>
      <c r="B156" t="s">
        <v>333</v>
      </c>
      <c r="C156" s="11"/>
      <c r="D156" s="11">
        <v>300000</v>
      </c>
      <c r="E156" t="s">
        <v>344</v>
      </c>
      <c r="F156" s="111" t="s">
        <v>108</v>
      </c>
    </row>
    <row r="157" spans="1:6" x14ac:dyDescent="0.3">
      <c r="A157" s="115">
        <v>46055</v>
      </c>
      <c r="B157" t="s">
        <v>54</v>
      </c>
      <c r="C157" s="11">
        <v>5000</v>
      </c>
      <c r="D157" s="11"/>
      <c r="E157" t="s">
        <v>271</v>
      </c>
      <c r="F157" s="111" t="s">
        <v>108</v>
      </c>
    </row>
    <row r="158" spans="1:6" x14ac:dyDescent="0.3">
      <c r="A158" s="115">
        <v>46055</v>
      </c>
      <c r="B158" t="s">
        <v>222</v>
      </c>
      <c r="C158" s="96">
        <v>10000</v>
      </c>
      <c r="D158" s="96"/>
      <c r="E158" t="s">
        <v>246</v>
      </c>
      <c r="F158" s="111" t="s">
        <v>108</v>
      </c>
    </row>
    <row r="159" spans="1:6" x14ac:dyDescent="0.3">
      <c r="A159" s="115">
        <v>46055</v>
      </c>
      <c r="B159" t="s">
        <v>52</v>
      </c>
      <c r="C159" s="11"/>
      <c r="D159" s="11"/>
      <c r="E159" t="s">
        <v>231</v>
      </c>
      <c r="F159" s="111" t="s">
        <v>108</v>
      </c>
    </row>
    <row r="160" spans="1:6" x14ac:dyDescent="0.3">
      <c r="A160" s="115">
        <v>46055</v>
      </c>
      <c r="B160" t="s">
        <v>345</v>
      </c>
      <c r="C160" s="11"/>
      <c r="D160" s="11">
        <v>150000</v>
      </c>
      <c r="E160" t="s">
        <v>346</v>
      </c>
      <c r="F160" s="111" t="s">
        <v>108</v>
      </c>
    </row>
    <row r="161" spans="1:12" x14ac:dyDescent="0.3">
      <c r="A161" s="115">
        <v>46055</v>
      </c>
      <c r="B161" t="s">
        <v>220</v>
      </c>
      <c r="C161" s="11">
        <v>222560</v>
      </c>
      <c r="D161" s="11"/>
      <c r="E161" t="s">
        <v>347</v>
      </c>
      <c r="F161" s="111" t="s">
        <v>108</v>
      </c>
    </row>
    <row r="162" spans="1:12" x14ac:dyDescent="0.3">
      <c r="A162" s="115">
        <v>46056</v>
      </c>
      <c r="B162" t="s">
        <v>54</v>
      </c>
      <c r="C162" s="11">
        <v>2800</v>
      </c>
      <c r="D162" s="11"/>
      <c r="E162" t="s">
        <v>348</v>
      </c>
      <c r="F162" s="111" t="s">
        <v>108</v>
      </c>
    </row>
    <row r="163" spans="1:12" x14ac:dyDescent="0.3">
      <c r="A163" s="115">
        <v>46056</v>
      </c>
      <c r="B163" t="s">
        <v>50</v>
      </c>
      <c r="C163" s="11">
        <v>900</v>
      </c>
      <c r="D163" s="11"/>
      <c r="E163" t="s">
        <v>349</v>
      </c>
      <c r="F163" s="111" t="s">
        <v>108</v>
      </c>
      <c r="J163" s="3" t="s">
        <v>6</v>
      </c>
      <c r="K163" t="s">
        <v>118</v>
      </c>
      <c r="L163" t="s">
        <v>119</v>
      </c>
    </row>
    <row r="164" spans="1:12" x14ac:dyDescent="0.3">
      <c r="A164" s="115">
        <v>46056</v>
      </c>
      <c r="B164" t="s">
        <v>54</v>
      </c>
      <c r="C164" s="11">
        <v>350</v>
      </c>
      <c r="D164" s="11"/>
      <c r="E164" t="s">
        <v>350</v>
      </c>
      <c r="F164" s="111" t="s">
        <v>108</v>
      </c>
      <c r="J164" s="4" t="s">
        <v>225</v>
      </c>
      <c r="K164" s="14"/>
      <c r="L164" s="14">
        <v>519423</v>
      </c>
    </row>
    <row r="165" spans="1:12" x14ac:dyDescent="0.3">
      <c r="A165" s="115">
        <v>46056</v>
      </c>
      <c r="B165" t="s">
        <v>220</v>
      </c>
      <c r="C165" s="11"/>
      <c r="D165" s="11">
        <v>28000</v>
      </c>
      <c r="E165" t="s">
        <v>351</v>
      </c>
      <c r="F165" s="111" t="s">
        <v>108</v>
      </c>
      <c r="J165" s="4" t="s">
        <v>345</v>
      </c>
      <c r="K165" s="14">
        <v>857000</v>
      </c>
      <c r="L165" s="14"/>
    </row>
    <row r="166" spans="1:12" x14ac:dyDescent="0.3">
      <c r="A166" s="115">
        <v>46056</v>
      </c>
      <c r="B166" t="s">
        <v>55</v>
      </c>
      <c r="C166" s="11">
        <v>28000</v>
      </c>
      <c r="D166" s="11"/>
      <c r="E166" t="s">
        <v>351</v>
      </c>
      <c r="F166" s="111" t="s">
        <v>108</v>
      </c>
      <c r="J166" s="4" t="s">
        <v>117</v>
      </c>
      <c r="K166" s="14"/>
      <c r="L166" s="14">
        <v>176400</v>
      </c>
    </row>
    <row r="167" spans="1:12" x14ac:dyDescent="0.3">
      <c r="A167" s="115">
        <v>46056</v>
      </c>
      <c r="B167" t="s">
        <v>190</v>
      </c>
      <c r="C167" s="11"/>
      <c r="D167" s="11">
        <v>200000</v>
      </c>
      <c r="E167" t="s">
        <v>393</v>
      </c>
      <c r="F167" s="111" t="s">
        <v>108</v>
      </c>
      <c r="J167" s="4" t="s">
        <v>94</v>
      </c>
      <c r="K167" s="14"/>
      <c r="L167" s="14">
        <v>1175040</v>
      </c>
    </row>
    <row r="168" spans="1:12" x14ac:dyDescent="0.3">
      <c r="A168" s="115">
        <v>46056</v>
      </c>
      <c r="B168" t="s">
        <v>50</v>
      </c>
      <c r="C168" s="11">
        <v>150015</v>
      </c>
      <c r="D168" s="11"/>
      <c r="E168" t="s">
        <v>352</v>
      </c>
      <c r="F168" s="111" t="s">
        <v>108</v>
      </c>
      <c r="J168" s="4" t="s">
        <v>50</v>
      </c>
      <c r="K168" s="14"/>
      <c r="L168" s="14">
        <v>235215</v>
      </c>
    </row>
    <row r="169" spans="1:12" x14ac:dyDescent="0.3">
      <c r="A169" s="115">
        <v>46056</v>
      </c>
      <c r="B169" t="s">
        <v>210</v>
      </c>
      <c r="C169" s="11">
        <v>130</v>
      </c>
      <c r="D169" s="11"/>
      <c r="F169" s="111" t="s">
        <v>108</v>
      </c>
      <c r="J169" s="4" t="s">
        <v>55</v>
      </c>
      <c r="K169" s="14"/>
      <c r="L169" s="14">
        <v>500926</v>
      </c>
    </row>
    <row r="170" spans="1:12" x14ac:dyDescent="0.3">
      <c r="A170" s="115">
        <v>46056</v>
      </c>
      <c r="B170" t="s">
        <v>210</v>
      </c>
      <c r="C170" s="11">
        <v>600</v>
      </c>
      <c r="D170" s="11"/>
      <c r="F170" s="111" t="s">
        <v>108</v>
      </c>
      <c r="J170" s="4" t="s">
        <v>229</v>
      </c>
      <c r="K170" s="14"/>
      <c r="L170" s="14">
        <v>142730</v>
      </c>
    </row>
    <row r="171" spans="1:12" x14ac:dyDescent="0.3">
      <c r="A171" s="115">
        <v>46056</v>
      </c>
      <c r="B171" t="s">
        <v>248</v>
      </c>
      <c r="C171" s="11">
        <v>20000</v>
      </c>
      <c r="D171" s="11"/>
      <c r="E171" t="s">
        <v>249</v>
      </c>
      <c r="F171" s="111" t="s">
        <v>108</v>
      </c>
      <c r="J171" s="4" t="s">
        <v>52</v>
      </c>
      <c r="K171" s="14"/>
      <c r="L171" s="14">
        <v>1499570</v>
      </c>
    </row>
    <row r="172" spans="1:12" x14ac:dyDescent="0.3">
      <c r="A172" s="115">
        <v>46056</v>
      </c>
      <c r="B172" t="s">
        <v>54</v>
      </c>
      <c r="C172" s="11">
        <v>3500</v>
      </c>
      <c r="D172" s="11"/>
      <c r="E172" t="s">
        <v>227</v>
      </c>
      <c r="F172" s="111" t="s">
        <v>108</v>
      </c>
      <c r="J172" s="4" t="s">
        <v>54</v>
      </c>
      <c r="K172" s="14"/>
      <c r="L172" s="14">
        <v>159730</v>
      </c>
    </row>
    <row r="173" spans="1:12" x14ac:dyDescent="0.3">
      <c r="A173" s="115">
        <v>46056</v>
      </c>
      <c r="B173" t="s">
        <v>335</v>
      </c>
      <c r="C173" s="11"/>
      <c r="D173" s="11">
        <v>250000</v>
      </c>
      <c r="F173" s="111" t="s">
        <v>108</v>
      </c>
      <c r="J173" s="4" t="s">
        <v>116</v>
      </c>
      <c r="K173" s="14"/>
      <c r="L173" s="14">
        <v>50000</v>
      </c>
    </row>
    <row r="174" spans="1:12" x14ac:dyDescent="0.3">
      <c r="A174" s="115">
        <v>46056</v>
      </c>
      <c r="B174" t="s">
        <v>258</v>
      </c>
      <c r="C174" s="11">
        <v>150224</v>
      </c>
      <c r="D174" s="11"/>
      <c r="E174" t="s">
        <v>353</v>
      </c>
      <c r="F174" s="111" t="s">
        <v>108</v>
      </c>
      <c r="J174" s="4" t="s">
        <v>222</v>
      </c>
      <c r="K174" s="14"/>
      <c r="L174" s="14">
        <v>783072</v>
      </c>
    </row>
    <row r="175" spans="1:12" x14ac:dyDescent="0.3">
      <c r="A175" s="115">
        <v>46056</v>
      </c>
      <c r="B175" t="s">
        <v>169</v>
      </c>
      <c r="C175" s="11">
        <v>100500</v>
      </c>
      <c r="D175" s="11"/>
      <c r="E175" t="s">
        <v>354</v>
      </c>
      <c r="F175" s="111" t="s">
        <v>108</v>
      </c>
      <c r="J175" s="4" t="s">
        <v>337</v>
      </c>
      <c r="K175" s="14"/>
      <c r="L175" s="14">
        <v>1000</v>
      </c>
    </row>
    <row r="176" spans="1:12" x14ac:dyDescent="0.3">
      <c r="A176" s="115">
        <v>46056</v>
      </c>
      <c r="B176" t="s">
        <v>50</v>
      </c>
      <c r="C176" s="11">
        <v>2500</v>
      </c>
      <c r="D176" s="11"/>
      <c r="E176" t="s">
        <v>355</v>
      </c>
      <c r="F176" s="111" t="s">
        <v>108</v>
      </c>
      <c r="J176" s="4" t="s">
        <v>210</v>
      </c>
      <c r="K176" s="14">
        <v>889003.20398683252</v>
      </c>
      <c r="L176" s="14">
        <v>226140</v>
      </c>
    </row>
    <row r="177" spans="1:12" x14ac:dyDescent="0.3">
      <c r="A177" s="115">
        <v>46055</v>
      </c>
      <c r="B177" t="s">
        <v>50</v>
      </c>
      <c r="C177" s="11">
        <v>8616</v>
      </c>
      <c r="D177" s="11"/>
      <c r="E177" t="s">
        <v>357</v>
      </c>
      <c r="F177" s="111" t="s">
        <v>108</v>
      </c>
      <c r="J177" s="4" t="s">
        <v>287</v>
      </c>
      <c r="K177" s="14">
        <v>1201454</v>
      </c>
      <c r="L177" s="14"/>
    </row>
    <row r="178" spans="1:12" x14ac:dyDescent="0.3">
      <c r="A178" s="38">
        <v>46055</v>
      </c>
      <c r="B178" t="s">
        <v>175</v>
      </c>
      <c r="C178" s="96"/>
      <c r="D178" s="96">
        <v>8616</v>
      </c>
      <c r="E178" t="s">
        <v>358</v>
      </c>
      <c r="F178" s="111" t="s">
        <v>108</v>
      </c>
      <c r="J178" s="4" t="s">
        <v>103</v>
      </c>
      <c r="K178" s="14"/>
      <c r="L178" s="14"/>
    </row>
    <row r="179" spans="1:12" x14ac:dyDescent="0.3">
      <c r="A179" s="115">
        <v>46057</v>
      </c>
      <c r="B179" t="s">
        <v>50</v>
      </c>
      <c r="C179" s="11">
        <v>15000</v>
      </c>
      <c r="D179" s="11"/>
      <c r="E179" t="s">
        <v>352</v>
      </c>
      <c r="F179" s="111" t="s">
        <v>108</v>
      </c>
      <c r="J179" s="4" t="s">
        <v>298</v>
      </c>
      <c r="K179" s="14">
        <v>1612000</v>
      </c>
      <c r="L179" s="14"/>
    </row>
    <row r="180" spans="1:12" x14ac:dyDescent="0.3">
      <c r="A180" s="115">
        <v>46057</v>
      </c>
      <c r="B180" t="s">
        <v>52</v>
      </c>
      <c r="C180" s="11"/>
      <c r="D180" s="11"/>
      <c r="E180" t="s">
        <v>359</v>
      </c>
      <c r="F180" s="111" t="s">
        <v>108</v>
      </c>
      <c r="J180" s="4" t="s">
        <v>453</v>
      </c>
      <c r="K180" s="14">
        <v>1626500</v>
      </c>
      <c r="L180" s="14"/>
    </row>
    <row r="181" spans="1:12" x14ac:dyDescent="0.3">
      <c r="A181" s="115">
        <v>46057</v>
      </c>
      <c r="B181" t="s">
        <v>287</v>
      </c>
      <c r="C181" s="11"/>
      <c r="D181" s="11">
        <v>100000</v>
      </c>
      <c r="E181" t="s">
        <v>360</v>
      </c>
      <c r="F181" s="111" t="s">
        <v>108</v>
      </c>
      <c r="J181" s="4" t="s">
        <v>239</v>
      </c>
      <c r="K181" s="14">
        <v>518000</v>
      </c>
      <c r="L181" s="14"/>
    </row>
    <row r="182" spans="1:12" x14ac:dyDescent="0.3">
      <c r="A182" s="115">
        <v>46057</v>
      </c>
      <c r="B182" t="s">
        <v>55</v>
      </c>
      <c r="C182" s="11">
        <v>1000</v>
      </c>
      <c r="D182" s="11"/>
      <c r="F182" s="111" t="s">
        <v>108</v>
      </c>
      <c r="J182" s="4" t="s">
        <v>149</v>
      </c>
      <c r="K182" s="14"/>
      <c r="L182" s="14">
        <v>20380</v>
      </c>
    </row>
    <row r="183" spans="1:12" x14ac:dyDescent="0.3">
      <c r="A183" s="115">
        <v>46057</v>
      </c>
      <c r="B183" t="s">
        <v>50</v>
      </c>
      <c r="C183" s="11">
        <v>2600</v>
      </c>
      <c r="D183" s="11"/>
      <c r="E183" t="s">
        <v>361</v>
      </c>
      <c r="F183" s="111" t="s">
        <v>108</v>
      </c>
      <c r="J183" s="4" t="s">
        <v>64</v>
      </c>
      <c r="K183" s="14"/>
      <c r="L183" s="14">
        <v>155000</v>
      </c>
    </row>
    <row r="184" spans="1:12" x14ac:dyDescent="0.3">
      <c r="A184" s="115">
        <v>46057</v>
      </c>
      <c r="B184" t="s">
        <v>52</v>
      </c>
      <c r="C184" s="96"/>
      <c r="D184" s="96"/>
      <c r="E184" t="s">
        <v>362</v>
      </c>
      <c r="F184" s="111" t="s">
        <v>108</v>
      </c>
      <c r="J184" s="4" t="s">
        <v>152</v>
      </c>
      <c r="K184" s="14">
        <v>2313000</v>
      </c>
      <c r="L184" s="14"/>
    </row>
    <row r="185" spans="1:12" x14ac:dyDescent="0.3">
      <c r="A185" s="115">
        <v>46057</v>
      </c>
      <c r="B185" t="s">
        <v>169</v>
      </c>
      <c r="C185" s="11">
        <v>150000</v>
      </c>
      <c r="D185" s="11"/>
      <c r="E185" t="s">
        <v>377</v>
      </c>
      <c r="F185" s="111" t="s">
        <v>108</v>
      </c>
      <c r="J185" s="4" t="s">
        <v>169</v>
      </c>
      <c r="K185" s="14"/>
      <c r="L185" s="14">
        <v>1942354</v>
      </c>
    </row>
    <row r="186" spans="1:12" x14ac:dyDescent="0.3">
      <c r="A186" s="115">
        <v>46057</v>
      </c>
      <c r="B186" t="s">
        <v>220</v>
      </c>
      <c r="C186" s="11"/>
      <c r="D186" s="11">
        <v>125222</v>
      </c>
      <c r="E186" t="s">
        <v>363</v>
      </c>
      <c r="F186" s="111" t="s">
        <v>108</v>
      </c>
      <c r="J186" s="4" t="s">
        <v>172</v>
      </c>
      <c r="K186" s="14"/>
      <c r="L186" s="14">
        <v>197520</v>
      </c>
    </row>
    <row r="187" spans="1:12" x14ac:dyDescent="0.3">
      <c r="A187" s="115">
        <v>46057</v>
      </c>
      <c r="B187" t="s">
        <v>225</v>
      </c>
      <c r="C187" s="11">
        <v>2000</v>
      </c>
      <c r="D187" s="11"/>
      <c r="E187" t="s">
        <v>364</v>
      </c>
      <c r="F187" s="111" t="s">
        <v>108</v>
      </c>
      <c r="J187" s="4" t="s">
        <v>220</v>
      </c>
      <c r="K187" s="14">
        <v>5641518</v>
      </c>
      <c r="L187" s="14">
        <v>11033826</v>
      </c>
    </row>
    <row r="188" spans="1:12" x14ac:dyDescent="0.3">
      <c r="A188" s="115">
        <v>46057</v>
      </c>
      <c r="B188" t="s">
        <v>50</v>
      </c>
      <c r="C188" s="11">
        <v>1500</v>
      </c>
      <c r="D188" s="11"/>
      <c r="E188" t="s">
        <v>241</v>
      </c>
      <c r="F188" s="111" t="s">
        <v>108</v>
      </c>
      <c r="J188" s="4" t="s">
        <v>165</v>
      </c>
      <c r="K188" s="14"/>
      <c r="L188" s="14">
        <v>122500</v>
      </c>
    </row>
    <row r="189" spans="1:12" x14ac:dyDescent="0.3">
      <c r="A189" s="115">
        <v>46057</v>
      </c>
      <c r="B189" t="s">
        <v>54</v>
      </c>
      <c r="C189" s="11">
        <v>2650</v>
      </c>
      <c r="D189" s="11"/>
      <c r="E189" t="s">
        <v>365</v>
      </c>
      <c r="F189" s="111" t="s">
        <v>108</v>
      </c>
      <c r="J189" s="4" t="s">
        <v>175</v>
      </c>
      <c r="K189" s="14">
        <v>1812616</v>
      </c>
      <c r="L189" s="14"/>
    </row>
    <row r="190" spans="1:12" x14ac:dyDescent="0.3">
      <c r="A190" s="38">
        <v>46057</v>
      </c>
      <c r="B190" t="s">
        <v>54</v>
      </c>
      <c r="C190" s="96">
        <v>2200</v>
      </c>
      <c r="D190" s="96"/>
      <c r="E190" t="s">
        <v>366</v>
      </c>
      <c r="F190" s="111" t="s">
        <v>108</v>
      </c>
      <c r="J190" s="4" t="s">
        <v>193</v>
      </c>
      <c r="K190" s="14"/>
      <c r="L190" s="14">
        <v>408100</v>
      </c>
    </row>
    <row r="191" spans="1:12" x14ac:dyDescent="0.3">
      <c r="A191" s="115">
        <v>46057</v>
      </c>
      <c r="B191" t="s">
        <v>210</v>
      </c>
      <c r="C191" s="96">
        <v>1360</v>
      </c>
      <c r="D191" s="96"/>
      <c r="F191" s="111" t="s">
        <v>108</v>
      </c>
      <c r="J191" s="4" t="s">
        <v>385</v>
      </c>
      <c r="K191" s="14">
        <v>1508520</v>
      </c>
      <c r="L191" s="14"/>
    </row>
    <row r="192" spans="1:12" x14ac:dyDescent="0.3">
      <c r="A192" s="38">
        <v>46058</v>
      </c>
      <c r="B192" t="s">
        <v>55</v>
      </c>
      <c r="C192" s="11">
        <v>1400</v>
      </c>
      <c r="D192" s="11"/>
      <c r="E192" t="s">
        <v>367</v>
      </c>
      <c r="F192" s="111" t="s">
        <v>108</v>
      </c>
      <c r="J192" s="4" t="s">
        <v>182</v>
      </c>
      <c r="K192" s="14"/>
      <c r="L192" s="14">
        <v>35000</v>
      </c>
    </row>
    <row r="193" spans="1:12" x14ac:dyDescent="0.3">
      <c r="A193" s="115">
        <v>46058</v>
      </c>
      <c r="B193" t="s">
        <v>233</v>
      </c>
      <c r="C193" s="11"/>
      <c r="D193" s="11">
        <v>140000</v>
      </c>
      <c r="E193" t="s">
        <v>368</v>
      </c>
      <c r="F193" s="111" t="s">
        <v>108</v>
      </c>
      <c r="J193" s="4" t="s">
        <v>51</v>
      </c>
      <c r="K193" s="14"/>
      <c r="L193" s="14">
        <v>2222081</v>
      </c>
    </row>
    <row r="194" spans="1:12" x14ac:dyDescent="0.3">
      <c r="A194" s="38">
        <v>46058</v>
      </c>
      <c r="B194" t="s">
        <v>52</v>
      </c>
      <c r="C194" s="11">
        <v>20000</v>
      </c>
      <c r="D194" s="11"/>
      <c r="E194" t="s">
        <v>237</v>
      </c>
      <c r="F194" s="111" t="s">
        <v>108</v>
      </c>
      <c r="J194" s="4" t="s">
        <v>189</v>
      </c>
      <c r="K194" s="14"/>
      <c r="L194" s="14">
        <v>351000</v>
      </c>
    </row>
    <row r="195" spans="1:12" x14ac:dyDescent="0.3">
      <c r="A195" s="115">
        <v>46058</v>
      </c>
      <c r="B195" t="s">
        <v>54</v>
      </c>
      <c r="C195" s="11">
        <v>7000</v>
      </c>
      <c r="D195" s="11"/>
      <c r="E195" t="s">
        <v>369</v>
      </c>
      <c r="F195" s="111" t="s">
        <v>108</v>
      </c>
      <c r="J195" s="4" t="s">
        <v>248</v>
      </c>
      <c r="K195" s="14"/>
      <c r="L195" s="14">
        <v>101000</v>
      </c>
    </row>
    <row r="196" spans="1:12" x14ac:dyDescent="0.3">
      <c r="A196" s="38">
        <v>46058</v>
      </c>
      <c r="B196" t="s">
        <v>55</v>
      </c>
      <c r="C196" s="11">
        <v>3300</v>
      </c>
      <c r="D196" s="11"/>
      <c r="E196" t="s">
        <v>370</v>
      </c>
      <c r="F196" s="111" t="s">
        <v>108</v>
      </c>
      <c r="J196" s="4" t="s">
        <v>190</v>
      </c>
      <c r="K196" s="14">
        <v>625000</v>
      </c>
      <c r="L196" s="14"/>
    </row>
    <row r="197" spans="1:12" x14ac:dyDescent="0.3">
      <c r="A197" s="115">
        <v>46058</v>
      </c>
      <c r="B197" t="s">
        <v>55</v>
      </c>
      <c r="C197" s="11">
        <v>4675</v>
      </c>
      <c r="D197" s="11"/>
      <c r="E197" t="s">
        <v>371</v>
      </c>
      <c r="F197" s="111" t="s">
        <v>108</v>
      </c>
      <c r="J197" s="4" t="s">
        <v>254</v>
      </c>
      <c r="K197" s="14">
        <v>863242</v>
      </c>
      <c r="L197" s="14"/>
    </row>
    <row r="198" spans="1:12" x14ac:dyDescent="0.3">
      <c r="A198" s="38">
        <v>46058</v>
      </c>
      <c r="B198" t="s">
        <v>190</v>
      </c>
      <c r="C198" s="11"/>
      <c r="D198" s="11">
        <v>100000</v>
      </c>
      <c r="E198" t="s">
        <v>372</v>
      </c>
      <c r="F198" s="111" t="s">
        <v>108</v>
      </c>
      <c r="J198" s="4" t="s">
        <v>258</v>
      </c>
      <c r="K198" s="14"/>
      <c r="L198" s="14">
        <v>2765198</v>
      </c>
    </row>
    <row r="199" spans="1:12" x14ac:dyDescent="0.3">
      <c r="A199" s="115">
        <v>46058</v>
      </c>
      <c r="B199" t="s">
        <v>254</v>
      </c>
      <c r="C199" s="11"/>
      <c r="D199" s="11">
        <v>100000</v>
      </c>
      <c r="F199" s="111" t="s">
        <v>108</v>
      </c>
      <c r="J199" s="4" t="s">
        <v>196</v>
      </c>
      <c r="K199" s="14"/>
      <c r="L199" s="14">
        <v>121360</v>
      </c>
    </row>
    <row r="200" spans="1:12" x14ac:dyDescent="0.3">
      <c r="A200" s="38">
        <v>46058</v>
      </c>
      <c r="B200" t="s">
        <v>220</v>
      </c>
      <c r="C200" s="11"/>
      <c r="D200" s="11">
        <v>40000</v>
      </c>
      <c r="E200" t="s">
        <v>248</v>
      </c>
      <c r="F200" s="111" t="s">
        <v>108</v>
      </c>
      <c r="J200" s="4" t="s">
        <v>209</v>
      </c>
      <c r="K200" s="14">
        <v>2965362</v>
      </c>
      <c r="L200" s="14"/>
    </row>
    <row r="201" spans="1:12" x14ac:dyDescent="0.3">
      <c r="A201" s="115">
        <v>46058</v>
      </c>
      <c r="B201" t="s">
        <v>248</v>
      </c>
      <c r="C201" s="11">
        <v>40000</v>
      </c>
      <c r="D201" s="11"/>
      <c r="E201" t="s">
        <v>373</v>
      </c>
      <c r="F201" s="111" t="s">
        <v>108</v>
      </c>
      <c r="J201" s="4" t="s">
        <v>211</v>
      </c>
      <c r="K201" s="14"/>
      <c r="L201" s="14">
        <v>10000</v>
      </c>
    </row>
    <row r="202" spans="1:12" x14ac:dyDescent="0.3">
      <c r="A202" s="38">
        <v>46058</v>
      </c>
      <c r="B202" t="s">
        <v>225</v>
      </c>
      <c r="C202" s="11">
        <v>3000</v>
      </c>
      <c r="D202" s="11"/>
      <c r="E202" t="s">
        <v>374</v>
      </c>
      <c r="F202" s="111" t="s">
        <v>108</v>
      </c>
      <c r="J202" s="4" t="s">
        <v>233</v>
      </c>
      <c r="K202" s="14">
        <v>1150000</v>
      </c>
      <c r="L202" s="14"/>
    </row>
    <row r="203" spans="1:12" x14ac:dyDescent="0.3">
      <c r="A203" s="115">
        <v>46058</v>
      </c>
      <c r="B203" t="s">
        <v>225</v>
      </c>
      <c r="C203" s="11">
        <v>15000</v>
      </c>
      <c r="D203" s="11"/>
      <c r="E203" t="s">
        <v>301</v>
      </c>
      <c r="F203" s="111" t="s">
        <v>108</v>
      </c>
      <c r="J203" s="4" t="s">
        <v>260</v>
      </c>
      <c r="K203" s="14"/>
      <c r="L203" s="14">
        <v>1377516</v>
      </c>
    </row>
    <row r="204" spans="1:12" x14ac:dyDescent="0.3">
      <c r="A204" s="38">
        <v>46058</v>
      </c>
      <c r="B204" t="s">
        <v>258</v>
      </c>
      <c r="C204" s="11">
        <v>200119</v>
      </c>
      <c r="D204" s="11"/>
      <c r="E204" t="s">
        <v>375</v>
      </c>
      <c r="F204" s="111" t="s">
        <v>108</v>
      </c>
      <c r="J204" s="4" t="s">
        <v>217</v>
      </c>
      <c r="K204" s="14">
        <v>728245</v>
      </c>
      <c r="L204" s="14"/>
    </row>
    <row r="205" spans="1:12" x14ac:dyDescent="0.3">
      <c r="A205" s="115">
        <v>46058</v>
      </c>
      <c r="B205" t="s">
        <v>222</v>
      </c>
      <c r="C205" s="11">
        <v>3310</v>
      </c>
      <c r="D205" s="11"/>
      <c r="E205" t="s">
        <v>376</v>
      </c>
      <c r="F205" s="111" t="s">
        <v>108</v>
      </c>
      <c r="J205" s="4" t="s">
        <v>333</v>
      </c>
      <c r="K205" s="14">
        <v>550000</v>
      </c>
      <c r="L205" s="14"/>
    </row>
    <row r="206" spans="1:12" x14ac:dyDescent="0.3">
      <c r="A206" s="38">
        <v>46058</v>
      </c>
      <c r="B206" t="s">
        <v>54</v>
      </c>
      <c r="C206" s="11">
        <v>1400</v>
      </c>
      <c r="D206" s="11"/>
      <c r="E206" t="s">
        <v>365</v>
      </c>
      <c r="F206" s="111" t="s">
        <v>108</v>
      </c>
      <c r="J206" s="4" t="s">
        <v>335</v>
      </c>
      <c r="K206" s="14">
        <v>1500000</v>
      </c>
      <c r="L206" s="14"/>
    </row>
    <row r="207" spans="1:12" x14ac:dyDescent="0.3">
      <c r="A207" s="38">
        <v>46059</v>
      </c>
      <c r="B207" t="s">
        <v>210</v>
      </c>
      <c r="C207" s="11">
        <v>1850</v>
      </c>
      <c r="D207" s="11"/>
      <c r="E207" t="s">
        <v>400</v>
      </c>
      <c r="F207" s="111" t="s">
        <v>108</v>
      </c>
      <c r="J207" s="4" t="s">
        <v>405</v>
      </c>
      <c r="K207" s="14">
        <v>-30000</v>
      </c>
      <c r="L207" s="14">
        <v>136637.20398683249</v>
      </c>
    </row>
    <row r="208" spans="1:12" x14ac:dyDescent="0.3">
      <c r="A208" s="115">
        <v>46059</v>
      </c>
      <c r="B208" t="s">
        <v>52</v>
      </c>
      <c r="C208" s="11">
        <v>20000</v>
      </c>
      <c r="D208" s="11"/>
      <c r="E208" t="s">
        <v>237</v>
      </c>
      <c r="F208" s="111" t="s">
        <v>108</v>
      </c>
      <c r="J208" s="4" t="s">
        <v>432</v>
      </c>
      <c r="K208" s="14"/>
      <c r="L208" s="14">
        <v>122500</v>
      </c>
    </row>
    <row r="209" spans="1:12" x14ac:dyDescent="0.3">
      <c r="A209" s="38">
        <v>46059</v>
      </c>
      <c r="B209" t="s">
        <v>54</v>
      </c>
      <c r="C209" s="11">
        <v>5000</v>
      </c>
      <c r="D209" s="11"/>
      <c r="E209" t="s">
        <v>394</v>
      </c>
      <c r="F209" s="111" t="s">
        <v>108</v>
      </c>
      <c r="J209" s="4" t="s">
        <v>438</v>
      </c>
      <c r="K209" s="14">
        <v>636000</v>
      </c>
      <c r="L209" s="14"/>
    </row>
    <row r="210" spans="1:12" x14ac:dyDescent="0.3">
      <c r="A210" s="115">
        <v>46059</v>
      </c>
      <c r="B210" t="s">
        <v>55</v>
      </c>
      <c r="C210" s="11">
        <v>1500</v>
      </c>
      <c r="D210" s="11"/>
      <c r="E210" t="s">
        <v>395</v>
      </c>
      <c r="F210" s="111" t="s">
        <v>108</v>
      </c>
      <c r="J210" s="4" t="s">
        <v>449</v>
      </c>
      <c r="K210" s="14"/>
      <c r="L210" s="14">
        <v>57500</v>
      </c>
    </row>
    <row r="211" spans="1:12" x14ac:dyDescent="0.3">
      <c r="A211" s="38">
        <v>46059</v>
      </c>
      <c r="B211" t="s">
        <v>260</v>
      </c>
      <c r="C211" s="11">
        <v>100000</v>
      </c>
      <c r="D211" s="11"/>
      <c r="E211" t="s">
        <v>396</v>
      </c>
      <c r="F211" s="111" t="s">
        <v>108</v>
      </c>
      <c r="J211" s="4" t="s">
        <v>513</v>
      </c>
      <c r="K211" s="14">
        <v>15855</v>
      </c>
      <c r="L211" s="14"/>
    </row>
    <row r="212" spans="1:12" x14ac:dyDescent="0.3">
      <c r="A212" s="115">
        <v>46059</v>
      </c>
      <c r="B212" t="s">
        <v>225</v>
      </c>
      <c r="C212" s="11">
        <v>20000</v>
      </c>
      <c r="D212" s="11"/>
      <c r="E212" t="s">
        <v>397</v>
      </c>
      <c r="F212" s="111" t="s">
        <v>108</v>
      </c>
      <c r="J212" s="4" t="s">
        <v>527</v>
      </c>
      <c r="K212" s="14"/>
      <c r="L212" s="14">
        <v>101300</v>
      </c>
    </row>
    <row r="213" spans="1:12" x14ac:dyDescent="0.3">
      <c r="A213" s="38">
        <v>46059</v>
      </c>
      <c r="B213" t="s">
        <v>169</v>
      </c>
      <c r="C213" s="11">
        <v>150500</v>
      </c>
      <c r="D213" s="11"/>
      <c r="E213" t="s">
        <v>398</v>
      </c>
      <c r="F213" s="111" t="s">
        <v>108</v>
      </c>
      <c r="J213" s="4" t="s">
        <v>580</v>
      </c>
      <c r="K213" s="14"/>
      <c r="L213" s="14">
        <v>172500</v>
      </c>
    </row>
    <row r="214" spans="1:12" x14ac:dyDescent="0.3">
      <c r="A214" s="115">
        <v>46059</v>
      </c>
      <c r="B214" t="s">
        <v>225</v>
      </c>
      <c r="C214" s="11">
        <v>5000</v>
      </c>
      <c r="D214" s="11"/>
      <c r="E214" t="s">
        <v>399</v>
      </c>
      <c r="F214" s="111" t="s">
        <v>108</v>
      </c>
      <c r="J214" s="4" t="s">
        <v>582</v>
      </c>
      <c r="K214" s="14"/>
      <c r="L214" s="14">
        <v>64290</v>
      </c>
    </row>
    <row r="215" spans="1:12" x14ac:dyDescent="0.3">
      <c r="A215" s="38">
        <v>46059</v>
      </c>
      <c r="B215" t="s">
        <v>220</v>
      </c>
      <c r="C215" s="11"/>
      <c r="D215" s="11">
        <v>65000</v>
      </c>
      <c r="E215" t="s">
        <v>401</v>
      </c>
      <c r="F215" s="111" t="s">
        <v>108</v>
      </c>
      <c r="J215" s="4" t="s">
        <v>383</v>
      </c>
      <c r="K215" s="14">
        <v>39278</v>
      </c>
      <c r="L215" s="14"/>
    </row>
    <row r="216" spans="1:12" x14ac:dyDescent="0.3">
      <c r="A216" s="115">
        <v>46059</v>
      </c>
      <c r="B216" t="s">
        <v>220</v>
      </c>
      <c r="C216" s="11"/>
      <c r="D216" s="11">
        <v>150000</v>
      </c>
      <c r="E216" t="s">
        <v>402</v>
      </c>
      <c r="F216" s="111" t="s">
        <v>108</v>
      </c>
      <c r="J216" s="4" t="s">
        <v>28</v>
      </c>
      <c r="K216" s="14">
        <v>27022593.203986831</v>
      </c>
      <c r="L216" s="14">
        <v>26986808.203986831</v>
      </c>
    </row>
    <row r="217" spans="1:12" x14ac:dyDescent="0.3">
      <c r="A217" s="38">
        <v>46059</v>
      </c>
      <c r="B217" t="s">
        <v>287</v>
      </c>
      <c r="C217" s="11"/>
      <c r="D217" s="11">
        <v>100000</v>
      </c>
      <c r="E217" t="s">
        <v>403</v>
      </c>
      <c r="F217" s="111" t="s">
        <v>108</v>
      </c>
    </row>
    <row r="218" spans="1:12" x14ac:dyDescent="0.3">
      <c r="A218" s="115">
        <v>46060</v>
      </c>
      <c r="B218" t="s">
        <v>210</v>
      </c>
      <c r="C218" s="11">
        <v>100000</v>
      </c>
      <c r="D218" s="11"/>
      <c r="E218" t="s">
        <v>407</v>
      </c>
      <c r="F218" s="111" t="s">
        <v>108</v>
      </c>
    </row>
    <row r="219" spans="1:12" x14ac:dyDescent="0.3">
      <c r="A219" s="38">
        <v>46060</v>
      </c>
      <c r="B219" t="s">
        <v>225</v>
      </c>
      <c r="C219" s="11">
        <v>2923</v>
      </c>
      <c r="D219" s="11"/>
      <c r="E219" t="s">
        <v>408</v>
      </c>
      <c r="F219" s="111" t="s">
        <v>108</v>
      </c>
    </row>
    <row r="220" spans="1:12" x14ac:dyDescent="0.3">
      <c r="A220" s="115">
        <v>46060</v>
      </c>
      <c r="B220" t="s">
        <v>220</v>
      </c>
      <c r="C220" s="11"/>
      <c r="D220" s="11">
        <v>75000</v>
      </c>
      <c r="E220" t="s">
        <v>409</v>
      </c>
      <c r="F220" s="111" t="s">
        <v>108</v>
      </c>
    </row>
    <row r="221" spans="1:12" x14ac:dyDescent="0.3">
      <c r="A221" s="38">
        <v>46060</v>
      </c>
      <c r="B221" t="s">
        <v>220</v>
      </c>
      <c r="C221" s="11"/>
      <c r="D221" s="11">
        <v>15000</v>
      </c>
      <c r="E221" t="s">
        <v>410</v>
      </c>
      <c r="F221" s="111" t="s">
        <v>108</v>
      </c>
    </row>
    <row r="222" spans="1:12" x14ac:dyDescent="0.3">
      <c r="A222" s="115">
        <v>46060</v>
      </c>
      <c r="B222" t="s">
        <v>193</v>
      </c>
      <c r="C222" s="11">
        <v>15000</v>
      </c>
      <c r="D222" s="11"/>
      <c r="E222" t="s">
        <v>410</v>
      </c>
      <c r="F222" s="111" t="s">
        <v>108</v>
      </c>
    </row>
    <row r="223" spans="1:12" x14ac:dyDescent="0.3">
      <c r="A223" s="38">
        <v>46060</v>
      </c>
      <c r="B223" t="s">
        <v>220</v>
      </c>
      <c r="C223" s="11"/>
      <c r="D223" s="11">
        <v>349000</v>
      </c>
      <c r="E223" t="s">
        <v>411</v>
      </c>
      <c r="F223" s="111" t="s">
        <v>108</v>
      </c>
    </row>
    <row r="224" spans="1:12" x14ac:dyDescent="0.3">
      <c r="A224" s="115">
        <v>46060</v>
      </c>
      <c r="B224" t="s">
        <v>260</v>
      </c>
      <c r="C224" s="11">
        <v>100060</v>
      </c>
      <c r="D224" s="11"/>
      <c r="E224" t="s">
        <v>412</v>
      </c>
      <c r="F224" s="111" t="s">
        <v>108</v>
      </c>
    </row>
    <row r="225" spans="1:6" x14ac:dyDescent="0.3">
      <c r="A225" s="38">
        <v>46060</v>
      </c>
      <c r="B225" t="s">
        <v>258</v>
      </c>
      <c r="C225" s="11">
        <v>100000</v>
      </c>
      <c r="D225" s="11"/>
      <c r="E225" t="s">
        <v>413</v>
      </c>
      <c r="F225" s="111" t="s">
        <v>108</v>
      </c>
    </row>
    <row r="226" spans="1:6" x14ac:dyDescent="0.3">
      <c r="A226" s="115">
        <v>46060</v>
      </c>
      <c r="B226" t="s">
        <v>169</v>
      </c>
      <c r="C226" s="11">
        <v>64000</v>
      </c>
      <c r="D226" s="11"/>
      <c r="E226" t="s">
        <v>414</v>
      </c>
      <c r="F226" s="111" t="s">
        <v>108</v>
      </c>
    </row>
    <row r="227" spans="1:6" x14ac:dyDescent="0.3">
      <c r="A227" s="38">
        <v>46060</v>
      </c>
      <c r="B227" t="s">
        <v>169</v>
      </c>
      <c r="C227" s="11">
        <v>100808</v>
      </c>
      <c r="D227" s="11"/>
      <c r="E227" t="s">
        <v>415</v>
      </c>
      <c r="F227" s="111" t="s">
        <v>108</v>
      </c>
    </row>
    <row r="228" spans="1:6" x14ac:dyDescent="0.3">
      <c r="A228" s="115">
        <v>46060</v>
      </c>
      <c r="B228" t="s">
        <v>165</v>
      </c>
      <c r="C228" s="11">
        <v>60000</v>
      </c>
      <c r="D228" s="11"/>
      <c r="E228" t="s">
        <v>416</v>
      </c>
      <c r="F228" s="111" t="s">
        <v>108</v>
      </c>
    </row>
    <row r="229" spans="1:6" x14ac:dyDescent="0.3">
      <c r="A229" s="38">
        <v>46060</v>
      </c>
      <c r="B229" t="s">
        <v>210</v>
      </c>
      <c r="C229" s="11">
        <f>2530+110+2000+1100+500</f>
        <v>6240</v>
      </c>
      <c r="D229" s="11"/>
      <c r="F229" s="111" t="s">
        <v>108</v>
      </c>
    </row>
    <row r="230" spans="1:6" x14ac:dyDescent="0.3">
      <c r="A230" s="115">
        <v>46060</v>
      </c>
      <c r="B230" t="s">
        <v>225</v>
      </c>
      <c r="C230" s="11">
        <v>5000</v>
      </c>
      <c r="D230" s="11"/>
      <c r="E230" t="s">
        <v>417</v>
      </c>
      <c r="F230" s="111" t="s">
        <v>108</v>
      </c>
    </row>
    <row r="231" spans="1:6" x14ac:dyDescent="0.3">
      <c r="A231" s="38">
        <v>46060</v>
      </c>
      <c r="B231" t="s">
        <v>225</v>
      </c>
      <c r="C231" s="11">
        <v>2000</v>
      </c>
      <c r="D231" s="11"/>
      <c r="E231" t="s">
        <v>418</v>
      </c>
      <c r="F231" s="111" t="s">
        <v>108</v>
      </c>
    </row>
    <row r="232" spans="1:6" x14ac:dyDescent="0.3">
      <c r="A232" s="115">
        <v>46061</v>
      </c>
      <c r="B232" t="s">
        <v>50</v>
      </c>
      <c r="C232" s="11">
        <v>2500</v>
      </c>
      <c r="D232" s="11"/>
      <c r="E232" t="s">
        <v>419</v>
      </c>
      <c r="F232" s="111" t="s">
        <v>108</v>
      </c>
    </row>
    <row r="233" spans="1:6" x14ac:dyDescent="0.3">
      <c r="A233" s="38">
        <v>46061</v>
      </c>
      <c r="B233" t="s">
        <v>225</v>
      </c>
      <c r="C233" s="11">
        <v>5000</v>
      </c>
      <c r="D233" s="11"/>
      <c r="E233" t="s">
        <v>243</v>
      </c>
      <c r="F233" s="111" t="s">
        <v>108</v>
      </c>
    </row>
    <row r="234" spans="1:6" x14ac:dyDescent="0.3">
      <c r="A234" s="115">
        <v>46062</v>
      </c>
      <c r="B234" t="s">
        <v>225</v>
      </c>
      <c r="C234" s="11">
        <v>20000</v>
      </c>
      <c r="D234" s="11"/>
      <c r="E234" t="s">
        <v>421</v>
      </c>
      <c r="F234" s="111" t="s">
        <v>108</v>
      </c>
    </row>
    <row r="235" spans="1:6" x14ac:dyDescent="0.3">
      <c r="A235" s="38">
        <v>46062</v>
      </c>
      <c r="B235" t="s">
        <v>50</v>
      </c>
      <c r="C235" s="11">
        <v>5000</v>
      </c>
      <c r="D235" s="11"/>
      <c r="E235" t="s">
        <v>352</v>
      </c>
      <c r="F235" s="111" t="s">
        <v>108</v>
      </c>
    </row>
    <row r="236" spans="1:6" x14ac:dyDescent="0.3">
      <c r="A236" s="115">
        <v>46062</v>
      </c>
      <c r="B236" t="s">
        <v>50</v>
      </c>
      <c r="C236" s="11">
        <v>780</v>
      </c>
      <c r="D236" s="11"/>
      <c r="E236" t="s">
        <v>422</v>
      </c>
      <c r="F236" s="111" t="s">
        <v>108</v>
      </c>
    </row>
    <row r="237" spans="1:6" x14ac:dyDescent="0.3">
      <c r="A237" s="38">
        <v>46062</v>
      </c>
      <c r="B237" t="s">
        <v>335</v>
      </c>
      <c r="C237" s="11"/>
      <c r="D237" s="11">
        <v>250000</v>
      </c>
      <c r="E237" t="s">
        <v>423</v>
      </c>
      <c r="F237" s="111" t="s">
        <v>108</v>
      </c>
    </row>
    <row r="238" spans="1:6" x14ac:dyDescent="0.3">
      <c r="A238" s="115">
        <v>46062</v>
      </c>
      <c r="B238" t="s">
        <v>287</v>
      </c>
      <c r="C238" s="11"/>
      <c r="D238" s="11">
        <v>50000</v>
      </c>
      <c r="E238" t="s">
        <v>109</v>
      </c>
      <c r="F238" s="111" t="s">
        <v>108</v>
      </c>
    </row>
    <row r="239" spans="1:6" x14ac:dyDescent="0.3">
      <c r="A239" s="38">
        <v>46062</v>
      </c>
      <c r="B239" t="s">
        <v>116</v>
      </c>
      <c r="C239" s="11">
        <v>50000</v>
      </c>
      <c r="D239" s="11"/>
      <c r="E239" t="s">
        <v>424</v>
      </c>
      <c r="F239" s="111" t="s">
        <v>108</v>
      </c>
    </row>
    <row r="240" spans="1:6" x14ac:dyDescent="0.3">
      <c r="A240" s="115">
        <v>46062</v>
      </c>
      <c r="B240" t="s">
        <v>225</v>
      </c>
      <c r="C240" s="11">
        <v>1000</v>
      </c>
      <c r="D240" s="11"/>
      <c r="E240" t="s">
        <v>425</v>
      </c>
      <c r="F240" s="111" t="s">
        <v>108</v>
      </c>
    </row>
    <row r="241" spans="1:6" x14ac:dyDescent="0.3">
      <c r="A241" s="38">
        <v>46062</v>
      </c>
      <c r="B241" t="s">
        <v>54</v>
      </c>
      <c r="C241" s="11">
        <v>2000</v>
      </c>
      <c r="D241" s="11"/>
      <c r="E241" t="s">
        <v>426</v>
      </c>
      <c r="F241" s="111" t="s">
        <v>108</v>
      </c>
    </row>
    <row r="242" spans="1:6" x14ac:dyDescent="0.3">
      <c r="A242" s="115">
        <v>46062</v>
      </c>
      <c r="B242" t="s">
        <v>54</v>
      </c>
      <c r="C242" s="11">
        <v>5000</v>
      </c>
      <c r="D242" s="11"/>
      <c r="E242" t="s">
        <v>406</v>
      </c>
      <c r="F242" s="111" t="s">
        <v>108</v>
      </c>
    </row>
    <row r="243" spans="1:6" x14ac:dyDescent="0.3">
      <c r="A243" s="38">
        <v>46062</v>
      </c>
      <c r="B243" t="s">
        <v>260</v>
      </c>
      <c r="C243" s="11">
        <v>19000</v>
      </c>
      <c r="D243" s="11"/>
      <c r="E243" t="s">
        <v>414</v>
      </c>
      <c r="F243" s="111" t="s">
        <v>108</v>
      </c>
    </row>
    <row r="244" spans="1:6" x14ac:dyDescent="0.3">
      <c r="A244" s="115">
        <v>46062</v>
      </c>
      <c r="B244" t="s">
        <v>220</v>
      </c>
      <c r="C244" s="11"/>
      <c r="D244" s="11">
        <v>19000</v>
      </c>
      <c r="E244" t="s">
        <v>427</v>
      </c>
      <c r="F244" s="111" t="s">
        <v>108</v>
      </c>
    </row>
    <row r="245" spans="1:6" x14ac:dyDescent="0.3">
      <c r="A245" s="38">
        <v>46062</v>
      </c>
      <c r="B245" t="s">
        <v>298</v>
      </c>
      <c r="C245" s="11"/>
      <c r="D245" s="11">
        <v>300000</v>
      </c>
      <c r="E245" t="s">
        <v>428</v>
      </c>
      <c r="F245" s="111" t="s">
        <v>108</v>
      </c>
    </row>
    <row r="246" spans="1:6" x14ac:dyDescent="0.3">
      <c r="A246" s="115">
        <v>46062</v>
      </c>
      <c r="B246" t="s">
        <v>258</v>
      </c>
      <c r="C246" s="11">
        <v>100000</v>
      </c>
      <c r="D246" s="11"/>
      <c r="E246" t="s">
        <v>429</v>
      </c>
      <c r="F246" s="111" t="s">
        <v>108</v>
      </c>
    </row>
    <row r="247" spans="1:6" x14ac:dyDescent="0.3">
      <c r="A247" s="38">
        <v>46062</v>
      </c>
      <c r="B247" t="s">
        <v>260</v>
      </c>
      <c r="C247" s="11">
        <v>100195</v>
      </c>
      <c r="D247" s="11"/>
      <c r="E247" t="s">
        <v>430</v>
      </c>
      <c r="F247" s="111" t="s">
        <v>108</v>
      </c>
    </row>
    <row r="248" spans="1:6" x14ac:dyDescent="0.3">
      <c r="A248" s="115">
        <v>46062</v>
      </c>
      <c r="B248" t="s">
        <v>258</v>
      </c>
      <c r="C248" s="11">
        <v>100153</v>
      </c>
      <c r="D248" s="11"/>
      <c r="E248" t="s">
        <v>431</v>
      </c>
      <c r="F248" s="111" t="s">
        <v>108</v>
      </c>
    </row>
    <row r="249" spans="1:6" x14ac:dyDescent="0.3">
      <c r="A249" s="38">
        <v>46062</v>
      </c>
      <c r="B249" t="s">
        <v>254</v>
      </c>
      <c r="C249" s="11"/>
      <c r="D249" s="11">
        <v>100000</v>
      </c>
      <c r="F249" s="111" t="s">
        <v>108</v>
      </c>
    </row>
    <row r="250" spans="1:6" x14ac:dyDescent="0.3">
      <c r="A250" s="115">
        <v>46062</v>
      </c>
      <c r="B250" t="s">
        <v>432</v>
      </c>
      <c r="C250" s="96">
        <v>122500</v>
      </c>
      <c r="D250" s="96"/>
      <c r="E250" t="s">
        <v>433</v>
      </c>
      <c r="F250" s="111" t="s">
        <v>108</v>
      </c>
    </row>
    <row r="251" spans="1:6" x14ac:dyDescent="0.3">
      <c r="A251" s="38">
        <v>46062</v>
      </c>
      <c r="B251" t="s">
        <v>345</v>
      </c>
      <c r="C251" s="11"/>
      <c r="D251" s="11">
        <v>62000</v>
      </c>
      <c r="E251" t="s">
        <v>434</v>
      </c>
      <c r="F251" s="111" t="s">
        <v>108</v>
      </c>
    </row>
    <row r="252" spans="1:6" x14ac:dyDescent="0.3">
      <c r="A252" s="115">
        <v>46062</v>
      </c>
      <c r="B252" t="s">
        <v>169</v>
      </c>
      <c r="C252" s="11">
        <v>150000</v>
      </c>
      <c r="D252" s="11"/>
      <c r="E252" t="s">
        <v>435</v>
      </c>
      <c r="F252" s="111" t="s">
        <v>108</v>
      </c>
    </row>
    <row r="253" spans="1:6" x14ac:dyDescent="0.3">
      <c r="A253" s="38">
        <v>46062</v>
      </c>
      <c r="B253" t="s">
        <v>190</v>
      </c>
      <c r="C253" s="11"/>
      <c r="D253" s="11">
        <v>125000</v>
      </c>
      <c r="E253" t="s">
        <v>436</v>
      </c>
      <c r="F253" s="111" t="s">
        <v>108</v>
      </c>
    </row>
    <row r="254" spans="1:6" x14ac:dyDescent="0.3">
      <c r="A254" s="115">
        <v>46062</v>
      </c>
      <c r="B254" t="s">
        <v>54</v>
      </c>
      <c r="C254" s="11">
        <v>2500</v>
      </c>
      <c r="D254" s="11"/>
      <c r="E254" t="s">
        <v>227</v>
      </c>
      <c r="F254" s="111" t="s">
        <v>108</v>
      </c>
    </row>
    <row r="255" spans="1:6" x14ac:dyDescent="0.3">
      <c r="A255" s="38">
        <v>46062</v>
      </c>
      <c r="B255" t="s">
        <v>210</v>
      </c>
      <c r="C255" s="11">
        <v>100000</v>
      </c>
      <c r="D255" s="11"/>
      <c r="E255" t="s">
        <v>437</v>
      </c>
      <c r="F255" s="111" t="s">
        <v>108</v>
      </c>
    </row>
    <row r="256" spans="1:6" x14ac:dyDescent="0.3">
      <c r="A256" s="115">
        <v>46063</v>
      </c>
      <c r="B256" t="s">
        <v>438</v>
      </c>
      <c r="C256" s="11"/>
      <c r="D256" s="11">
        <v>500000</v>
      </c>
      <c r="E256" t="s">
        <v>439</v>
      </c>
      <c r="F256" s="111" t="s">
        <v>108</v>
      </c>
    </row>
    <row r="257" spans="1:6" x14ac:dyDescent="0.3">
      <c r="A257" s="115">
        <v>46063</v>
      </c>
      <c r="B257" t="s">
        <v>220</v>
      </c>
      <c r="C257" s="11"/>
      <c r="D257" s="11">
        <v>438800</v>
      </c>
      <c r="E257" t="s">
        <v>440</v>
      </c>
      <c r="F257" s="111" t="s">
        <v>108</v>
      </c>
    </row>
    <row r="258" spans="1:6" x14ac:dyDescent="0.3">
      <c r="A258" s="115">
        <v>46063</v>
      </c>
      <c r="B258" t="s">
        <v>52</v>
      </c>
      <c r="C258" s="11">
        <v>20000</v>
      </c>
      <c r="D258" s="11"/>
      <c r="E258" t="s">
        <v>441</v>
      </c>
      <c r="F258" s="111" t="s">
        <v>108</v>
      </c>
    </row>
    <row r="259" spans="1:6" x14ac:dyDescent="0.3">
      <c r="A259" s="115">
        <v>46063</v>
      </c>
      <c r="B259" t="s">
        <v>225</v>
      </c>
      <c r="C259" s="11">
        <v>8000</v>
      </c>
      <c r="D259" s="11"/>
      <c r="E259" t="s">
        <v>441</v>
      </c>
      <c r="F259" s="111" t="s">
        <v>108</v>
      </c>
    </row>
    <row r="260" spans="1:6" x14ac:dyDescent="0.3">
      <c r="A260" s="115">
        <v>46063</v>
      </c>
      <c r="B260" t="s">
        <v>94</v>
      </c>
      <c r="C260" s="11">
        <v>200170</v>
      </c>
      <c r="D260" s="11"/>
      <c r="E260" t="s">
        <v>442</v>
      </c>
      <c r="F260" s="111" t="s">
        <v>108</v>
      </c>
    </row>
    <row r="261" spans="1:6" x14ac:dyDescent="0.3">
      <c r="A261" s="115">
        <v>46063</v>
      </c>
      <c r="B261" t="s">
        <v>169</v>
      </c>
      <c r="C261" s="11">
        <v>74000</v>
      </c>
      <c r="D261" s="11"/>
      <c r="E261" t="s">
        <v>414</v>
      </c>
      <c r="F261" s="111" t="s">
        <v>108</v>
      </c>
    </row>
    <row r="262" spans="1:6" x14ac:dyDescent="0.3">
      <c r="A262" s="115">
        <v>46063</v>
      </c>
      <c r="B262" t="s">
        <v>225</v>
      </c>
      <c r="C262" s="11">
        <v>1000</v>
      </c>
      <c r="D262" s="11"/>
      <c r="E262" t="s">
        <v>243</v>
      </c>
      <c r="F262" s="111" t="s">
        <v>108</v>
      </c>
    </row>
    <row r="263" spans="1:6" x14ac:dyDescent="0.3">
      <c r="A263" s="115">
        <v>46063</v>
      </c>
      <c r="B263" t="s">
        <v>260</v>
      </c>
      <c r="C263" s="11">
        <v>100111</v>
      </c>
      <c r="D263" s="11"/>
      <c r="E263" t="s">
        <v>443</v>
      </c>
      <c r="F263" s="111" t="s">
        <v>108</v>
      </c>
    </row>
    <row r="264" spans="1:6" x14ac:dyDescent="0.3">
      <c r="A264" s="115">
        <v>46063</v>
      </c>
      <c r="B264" t="s">
        <v>210</v>
      </c>
      <c r="C264" s="11">
        <v>1000</v>
      </c>
      <c r="D264" s="11"/>
      <c r="E264" t="s">
        <v>284</v>
      </c>
      <c r="F264" s="111" t="s">
        <v>108</v>
      </c>
    </row>
    <row r="265" spans="1:6" x14ac:dyDescent="0.3">
      <c r="A265" s="115">
        <v>46063</v>
      </c>
      <c r="B265" t="s">
        <v>169</v>
      </c>
      <c r="C265" s="11">
        <v>102500</v>
      </c>
      <c r="D265" s="11"/>
      <c r="E265" t="s">
        <v>444</v>
      </c>
      <c r="F265" s="111" t="s">
        <v>108</v>
      </c>
    </row>
    <row r="266" spans="1:6" x14ac:dyDescent="0.3">
      <c r="A266" s="115">
        <v>46063</v>
      </c>
      <c r="B266" t="s">
        <v>52</v>
      </c>
      <c r="C266" s="11"/>
      <c r="D266" s="11"/>
      <c r="E266" t="s">
        <v>245</v>
      </c>
      <c r="F266" s="111" t="s">
        <v>108</v>
      </c>
    </row>
    <row r="267" spans="1:6" x14ac:dyDescent="0.3">
      <c r="A267" s="115">
        <v>46063</v>
      </c>
      <c r="B267" t="s">
        <v>54</v>
      </c>
      <c r="C267" s="11">
        <v>6000</v>
      </c>
      <c r="D267" s="11"/>
      <c r="E267" t="s">
        <v>445</v>
      </c>
      <c r="F267" s="111" t="s">
        <v>108</v>
      </c>
    </row>
    <row r="268" spans="1:6" x14ac:dyDescent="0.3">
      <c r="A268" s="115">
        <v>46063</v>
      </c>
      <c r="B268" t="s">
        <v>222</v>
      </c>
      <c r="C268" s="11">
        <v>370</v>
      </c>
      <c r="D268" s="11"/>
      <c r="E268" t="s">
        <v>446</v>
      </c>
      <c r="F268" s="111" t="s">
        <v>108</v>
      </c>
    </row>
    <row r="269" spans="1:6" x14ac:dyDescent="0.3">
      <c r="A269" s="115">
        <v>46063</v>
      </c>
      <c r="B269" t="s">
        <v>260</v>
      </c>
      <c r="C269" s="96">
        <v>5000</v>
      </c>
      <c r="D269" s="96"/>
      <c r="E269" t="s">
        <v>447</v>
      </c>
      <c r="F269" s="111" t="s">
        <v>108</v>
      </c>
    </row>
    <row r="270" spans="1:6" x14ac:dyDescent="0.3">
      <c r="A270" s="115">
        <v>46063</v>
      </c>
      <c r="B270" t="s">
        <v>258</v>
      </c>
      <c r="C270" s="11">
        <v>7000</v>
      </c>
      <c r="D270" s="11"/>
      <c r="E270" t="s">
        <v>447</v>
      </c>
      <c r="F270" s="111" t="s">
        <v>108</v>
      </c>
    </row>
    <row r="271" spans="1:6" x14ac:dyDescent="0.3">
      <c r="A271" s="115">
        <v>46063</v>
      </c>
      <c r="B271" t="s">
        <v>94</v>
      </c>
      <c r="C271" s="11">
        <v>2000</v>
      </c>
      <c r="D271" s="11"/>
      <c r="E271" t="s">
        <v>447</v>
      </c>
      <c r="F271" s="111" t="s">
        <v>108</v>
      </c>
    </row>
    <row r="272" spans="1:6" x14ac:dyDescent="0.3">
      <c r="A272" s="115">
        <v>46063</v>
      </c>
      <c r="B272" t="s">
        <v>169</v>
      </c>
      <c r="C272" s="11">
        <v>2000</v>
      </c>
      <c r="D272" s="11"/>
      <c r="E272" t="s">
        <v>447</v>
      </c>
      <c r="F272" s="111" t="s">
        <v>108</v>
      </c>
    </row>
    <row r="273" spans="1:6" x14ac:dyDescent="0.3">
      <c r="A273" s="115">
        <v>46063</v>
      </c>
      <c r="B273" t="s">
        <v>254</v>
      </c>
      <c r="C273" s="11"/>
      <c r="D273" s="11">
        <v>100000</v>
      </c>
      <c r="E273" t="s">
        <v>448</v>
      </c>
      <c r="F273" s="111" t="s">
        <v>108</v>
      </c>
    </row>
    <row r="274" spans="1:6" x14ac:dyDescent="0.3">
      <c r="A274" s="115">
        <v>46063</v>
      </c>
      <c r="B274" t="s">
        <v>220</v>
      </c>
      <c r="C274" s="11">
        <v>100000</v>
      </c>
      <c r="D274" s="11"/>
      <c r="E274" t="s">
        <v>188</v>
      </c>
      <c r="F274" s="111" t="s">
        <v>108</v>
      </c>
    </row>
    <row r="275" spans="1:6" x14ac:dyDescent="0.3">
      <c r="A275" s="38">
        <v>46063</v>
      </c>
      <c r="B275" t="s">
        <v>335</v>
      </c>
      <c r="C275" s="96"/>
      <c r="D275" s="96">
        <v>200000</v>
      </c>
      <c r="E275" t="s">
        <v>448</v>
      </c>
      <c r="F275" s="111" t="s">
        <v>108</v>
      </c>
    </row>
    <row r="276" spans="1:6" x14ac:dyDescent="0.3">
      <c r="A276" s="115"/>
      <c r="C276" s="11"/>
      <c r="D276" s="11"/>
      <c r="F276" s="111"/>
    </row>
    <row r="277" spans="1:6" x14ac:dyDescent="0.3">
      <c r="A277" s="115">
        <v>46053</v>
      </c>
      <c r="B277" t="s">
        <v>220</v>
      </c>
      <c r="C277" s="11"/>
      <c r="D277" s="11">
        <v>28750</v>
      </c>
      <c r="E277" t="s">
        <v>449</v>
      </c>
      <c r="F277" s="111" t="s">
        <v>108</v>
      </c>
    </row>
    <row r="278" spans="1:6" x14ac:dyDescent="0.3">
      <c r="A278" s="115">
        <v>46053</v>
      </c>
      <c r="B278" t="s">
        <v>220</v>
      </c>
      <c r="C278" s="11"/>
      <c r="D278" s="11">
        <v>10120</v>
      </c>
      <c r="E278" t="s">
        <v>450</v>
      </c>
      <c r="F278" s="111" t="s">
        <v>108</v>
      </c>
    </row>
    <row r="279" spans="1:6" x14ac:dyDescent="0.3">
      <c r="A279" s="115">
        <v>46053</v>
      </c>
      <c r="B279" t="s">
        <v>220</v>
      </c>
      <c r="C279" s="11"/>
      <c r="D279" s="11">
        <v>17750</v>
      </c>
      <c r="E279" t="s">
        <v>451</v>
      </c>
      <c r="F279" s="111" t="s">
        <v>108</v>
      </c>
    </row>
    <row r="280" spans="1:6" x14ac:dyDescent="0.3">
      <c r="A280" s="115">
        <v>46056</v>
      </c>
      <c r="B280" t="s">
        <v>220</v>
      </c>
      <c r="C280" s="11"/>
      <c r="D280" s="11">
        <v>20000</v>
      </c>
      <c r="E280" t="s">
        <v>452</v>
      </c>
      <c r="F280" s="111" t="s">
        <v>108</v>
      </c>
    </row>
    <row r="281" spans="1:6" x14ac:dyDescent="0.3">
      <c r="A281" s="115">
        <v>46063</v>
      </c>
      <c r="B281" t="s">
        <v>220</v>
      </c>
      <c r="C281" s="11"/>
      <c r="D281" s="11">
        <v>9483</v>
      </c>
      <c r="E281" t="s">
        <v>450</v>
      </c>
      <c r="F281" s="111" t="s">
        <v>108</v>
      </c>
    </row>
    <row r="282" spans="1:6" x14ac:dyDescent="0.3">
      <c r="A282" s="115">
        <v>46053</v>
      </c>
      <c r="B282" t="s">
        <v>449</v>
      </c>
      <c r="C282" s="11">
        <v>28750</v>
      </c>
      <c r="D282" s="11"/>
      <c r="E282" t="s">
        <v>449</v>
      </c>
      <c r="F282" s="111" t="s">
        <v>108</v>
      </c>
    </row>
    <row r="283" spans="1:6" x14ac:dyDescent="0.3">
      <c r="A283" s="115">
        <v>46053</v>
      </c>
      <c r="B283" t="s">
        <v>55</v>
      </c>
      <c r="C283" s="11">
        <v>10120</v>
      </c>
      <c r="D283" s="96"/>
      <c r="E283" t="s">
        <v>450</v>
      </c>
      <c r="F283" s="111" t="s">
        <v>108</v>
      </c>
    </row>
    <row r="284" spans="1:6" x14ac:dyDescent="0.3">
      <c r="A284" s="115">
        <v>46053</v>
      </c>
      <c r="B284" t="s">
        <v>55</v>
      </c>
      <c r="C284" s="11">
        <v>17750</v>
      </c>
      <c r="D284" s="11"/>
      <c r="E284" t="s">
        <v>451</v>
      </c>
      <c r="F284" s="111" t="s">
        <v>108</v>
      </c>
    </row>
    <row r="285" spans="1:6" x14ac:dyDescent="0.3">
      <c r="A285" s="115">
        <v>46056</v>
      </c>
      <c r="B285" t="s">
        <v>52</v>
      </c>
      <c r="C285" s="11">
        <v>20000</v>
      </c>
      <c r="D285" s="11"/>
      <c r="E285" t="s">
        <v>452</v>
      </c>
      <c r="F285" s="111" t="s">
        <v>108</v>
      </c>
    </row>
    <row r="286" spans="1:6" x14ac:dyDescent="0.3">
      <c r="A286" s="132">
        <v>46063</v>
      </c>
      <c r="B286" s="131" t="s">
        <v>55</v>
      </c>
      <c r="C286" s="123">
        <v>9483</v>
      </c>
      <c r="D286" s="123"/>
      <c r="E286" s="131" t="s">
        <v>450</v>
      </c>
      <c r="F286" s="133" t="s">
        <v>108</v>
      </c>
    </row>
    <row r="287" spans="1:6" x14ac:dyDescent="0.3">
      <c r="A287" s="115"/>
      <c r="C287" s="11"/>
      <c r="D287" s="11"/>
      <c r="F287" s="111" t="s">
        <v>108</v>
      </c>
    </row>
    <row r="288" spans="1:6" x14ac:dyDescent="0.3">
      <c r="A288" s="115">
        <v>46058</v>
      </c>
      <c r="B288" t="s">
        <v>453</v>
      </c>
      <c r="C288" s="11"/>
      <c r="D288" s="11">
        <v>600000</v>
      </c>
      <c r="E288" t="s">
        <v>109</v>
      </c>
      <c r="F288" s="111" t="s">
        <v>108</v>
      </c>
    </row>
    <row r="289" spans="1:6" x14ac:dyDescent="0.3">
      <c r="A289" s="115">
        <v>46064</v>
      </c>
      <c r="B289" t="s">
        <v>453</v>
      </c>
      <c r="C289" s="11"/>
      <c r="D289" s="11">
        <v>400000</v>
      </c>
      <c r="E289" t="s">
        <v>109</v>
      </c>
      <c r="F289" s="111" t="s">
        <v>108</v>
      </c>
    </row>
    <row r="290" spans="1:6" x14ac:dyDescent="0.3">
      <c r="A290" s="115">
        <v>46058</v>
      </c>
      <c r="B290" t="s">
        <v>220</v>
      </c>
      <c r="C290" s="11">
        <v>600000</v>
      </c>
      <c r="D290" s="11"/>
      <c r="E290" t="s">
        <v>455</v>
      </c>
      <c r="F290" s="111" t="s">
        <v>108</v>
      </c>
    </row>
    <row r="291" spans="1:6" x14ac:dyDescent="0.3">
      <c r="A291" s="115">
        <v>46064</v>
      </c>
      <c r="B291" t="s">
        <v>220</v>
      </c>
      <c r="C291" s="11">
        <v>400000</v>
      </c>
      <c r="D291" s="11"/>
      <c r="E291" t="s">
        <v>454</v>
      </c>
      <c r="F291" s="111" t="s">
        <v>108</v>
      </c>
    </row>
    <row r="292" spans="1:6" x14ac:dyDescent="0.3">
      <c r="A292" s="115">
        <v>46047</v>
      </c>
      <c r="B292" t="s">
        <v>217</v>
      </c>
      <c r="C292" s="11"/>
      <c r="D292" s="11">
        <v>500000</v>
      </c>
      <c r="E292" t="s">
        <v>109</v>
      </c>
      <c r="F292" s="111" t="s">
        <v>108</v>
      </c>
    </row>
    <row r="293" spans="1:6" x14ac:dyDescent="0.3">
      <c r="A293" s="115">
        <v>46050</v>
      </c>
      <c r="B293" t="s">
        <v>217</v>
      </c>
      <c r="C293" s="11"/>
      <c r="D293" s="11">
        <v>228245</v>
      </c>
      <c r="E293" t="s">
        <v>424</v>
      </c>
      <c r="F293" s="111" t="s">
        <v>108</v>
      </c>
    </row>
    <row r="294" spans="1:6" x14ac:dyDescent="0.3">
      <c r="A294" s="115">
        <v>46050</v>
      </c>
      <c r="B294" t="s">
        <v>35</v>
      </c>
      <c r="C294" s="11"/>
      <c r="D294" s="11">
        <v>418000</v>
      </c>
      <c r="E294" t="s">
        <v>456</v>
      </c>
      <c r="F294" s="111" t="s">
        <v>108</v>
      </c>
    </row>
    <row r="295" spans="1:6" x14ac:dyDescent="0.3">
      <c r="A295" s="115">
        <v>46047</v>
      </c>
      <c r="B295" t="s">
        <v>220</v>
      </c>
      <c r="C295" s="11">
        <v>500000</v>
      </c>
      <c r="D295" s="11"/>
      <c r="E295" t="s">
        <v>457</v>
      </c>
      <c r="F295" s="111" t="s">
        <v>108</v>
      </c>
    </row>
    <row r="296" spans="1:6" x14ac:dyDescent="0.3">
      <c r="A296" s="115">
        <v>46050</v>
      </c>
      <c r="B296" t="s">
        <v>220</v>
      </c>
      <c r="C296" s="11">
        <v>228245</v>
      </c>
      <c r="D296" s="11"/>
      <c r="E296" t="s">
        <v>458</v>
      </c>
      <c r="F296" s="111" t="s">
        <v>108</v>
      </c>
    </row>
    <row r="297" spans="1:6" x14ac:dyDescent="0.3">
      <c r="A297" s="115">
        <v>46050</v>
      </c>
      <c r="B297" t="s">
        <v>220</v>
      </c>
      <c r="C297" s="11">
        <v>418000</v>
      </c>
      <c r="D297" s="11"/>
      <c r="E297" t="s">
        <v>459</v>
      </c>
      <c r="F297" s="111" t="s">
        <v>108</v>
      </c>
    </row>
    <row r="298" spans="1:6" x14ac:dyDescent="0.3">
      <c r="A298" s="115">
        <v>46064</v>
      </c>
      <c r="B298" t="s">
        <v>333</v>
      </c>
      <c r="C298" s="11"/>
      <c r="D298" s="11">
        <v>250000</v>
      </c>
      <c r="E298" t="s">
        <v>109</v>
      </c>
      <c r="F298" s="111" t="s">
        <v>108</v>
      </c>
    </row>
    <row r="299" spans="1:6" x14ac:dyDescent="0.3">
      <c r="A299" s="115">
        <v>46064</v>
      </c>
      <c r="B299" t="s">
        <v>220</v>
      </c>
      <c r="C299" s="11">
        <v>250000</v>
      </c>
      <c r="D299" s="11"/>
      <c r="E299" t="s">
        <v>460</v>
      </c>
      <c r="F299" s="111" t="s">
        <v>108</v>
      </c>
    </row>
    <row r="300" spans="1:6" x14ac:dyDescent="0.3">
      <c r="A300" s="115">
        <v>46064</v>
      </c>
      <c r="B300" t="s">
        <v>254</v>
      </c>
      <c r="C300" s="11"/>
      <c r="D300" s="11">
        <v>100000</v>
      </c>
      <c r="E300" t="s">
        <v>109</v>
      </c>
      <c r="F300" s="111" t="s">
        <v>108</v>
      </c>
    </row>
    <row r="301" spans="1:6" x14ac:dyDescent="0.3">
      <c r="A301" s="115">
        <v>46043</v>
      </c>
      <c r="B301" t="s">
        <v>254</v>
      </c>
      <c r="C301" s="11"/>
      <c r="D301" s="11">
        <v>38940</v>
      </c>
      <c r="E301" t="s">
        <v>461</v>
      </c>
      <c r="F301" s="111" t="s">
        <v>108</v>
      </c>
    </row>
    <row r="302" spans="1:6" x14ac:dyDescent="0.3">
      <c r="A302" s="115">
        <v>46064</v>
      </c>
      <c r="B302" t="s">
        <v>220</v>
      </c>
      <c r="C302" s="11">
        <v>100000</v>
      </c>
      <c r="D302" s="11"/>
      <c r="E302" t="s">
        <v>462</v>
      </c>
      <c r="F302" s="111" t="s">
        <v>108</v>
      </c>
    </row>
    <row r="303" spans="1:6" x14ac:dyDescent="0.3">
      <c r="A303" s="115">
        <v>46043</v>
      </c>
      <c r="B303" t="s">
        <v>220</v>
      </c>
      <c r="C303" s="11">
        <v>38940</v>
      </c>
      <c r="D303" s="11"/>
      <c r="E303" t="s">
        <v>463</v>
      </c>
      <c r="F303" s="111" t="s">
        <v>108</v>
      </c>
    </row>
    <row r="304" spans="1:6" x14ac:dyDescent="0.3">
      <c r="A304" s="115"/>
      <c r="C304" s="11"/>
      <c r="D304" s="11"/>
      <c r="F304" s="111" t="s">
        <v>108</v>
      </c>
    </row>
    <row r="305" spans="1:6" x14ac:dyDescent="0.3">
      <c r="A305" s="115">
        <v>46054</v>
      </c>
      <c r="B305" t="s">
        <v>385</v>
      </c>
      <c r="C305" s="11"/>
      <c r="D305" s="11">
        <v>1508520</v>
      </c>
      <c r="E305" t="s">
        <v>464</v>
      </c>
      <c r="F305" s="111" t="s">
        <v>108</v>
      </c>
    </row>
    <row r="306" spans="1:6" x14ac:dyDescent="0.3">
      <c r="A306" s="115">
        <v>46054</v>
      </c>
      <c r="B306" t="s">
        <v>220</v>
      </c>
      <c r="C306" s="11">
        <v>1508520</v>
      </c>
      <c r="D306" s="11"/>
      <c r="E306" t="s">
        <v>369</v>
      </c>
      <c r="F306" s="111" t="s">
        <v>108</v>
      </c>
    </row>
    <row r="307" spans="1:6" x14ac:dyDescent="0.3">
      <c r="A307" s="1">
        <v>46043</v>
      </c>
      <c r="B307" t="s">
        <v>152</v>
      </c>
      <c r="D307">
        <v>390000</v>
      </c>
      <c r="E307" t="s">
        <v>465</v>
      </c>
      <c r="F307" s="111" t="s">
        <v>108</v>
      </c>
    </row>
    <row r="308" spans="1:6" x14ac:dyDescent="0.3">
      <c r="A308" s="1">
        <v>46044</v>
      </c>
      <c r="B308" t="s">
        <v>152</v>
      </c>
      <c r="D308">
        <v>235000</v>
      </c>
      <c r="E308" t="s">
        <v>284</v>
      </c>
      <c r="F308" s="111" t="s">
        <v>108</v>
      </c>
    </row>
    <row r="309" spans="1:6" x14ac:dyDescent="0.3">
      <c r="A309" s="1">
        <v>46044</v>
      </c>
      <c r="B309" t="s">
        <v>152</v>
      </c>
      <c r="D309">
        <v>100000</v>
      </c>
      <c r="E309" t="s">
        <v>466</v>
      </c>
      <c r="F309" s="111" t="s">
        <v>108</v>
      </c>
    </row>
    <row r="310" spans="1:6" x14ac:dyDescent="0.3">
      <c r="A310" s="1">
        <v>46048</v>
      </c>
      <c r="B310" t="s">
        <v>152</v>
      </c>
      <c r="D310">
        <v>400000</v>
      </c>
      <c r="E310" t="s">
        <v>467</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468</v>
      </c>
      <c r="F314" s="111" t="s">
        <v>108</v>
      </c>
    </row>
    <row r="315" spans="1:6" x14ac:dyDescent="0.3">
      <c r="A315" s="38">
        <v>46063</v>
      </c>
      <c r="B315" t="s">
        <v>152</v>
      </c>
      <c r="C315" s="96"/>
      <c r="D315" s="96">
        <v>368000</v>
      </c>
      <c r="E315" t="s">
        <v>469</v>
      </c>
      <c r="F315" s="111" t="s">
        <v>108</v>
      </c>
    </row>
    <row r="316" spans="1:6" x14ac:dyDescent="0.3">
      <c r="A316" s="1">
        <v>46043</v>
      </c>
      <c r="B316" t="s">
        <v>220</v>
      </c>
      <c r="C316">
        <v>390000</v>
      </c>
      <c r="D316" s="96"/>
      <c r="E316" t="s">
        <v>470</v>
      </c>
      <c r="F316" s="111" t="s">
        <v>108</v>
      </c>
    </row>
    <row r="317" spans="1:6" x14ac:dyDescent="0.3">
      <c r="A317" s="1">
        <v>46044</v>
      </c>
      <c r="B317" t="s">
        <v>220</v>
      </c>
      <c r="C317">
        <v>235000</v>
      </c>
      <c r="D317" s="11"/>
      <c r="E317" t="s">
        <v>471</v>
      </c>
      <c r="F317" s="111" t="s">
        <v>108</v>
      </c>
    </row>
    <row r="318" spans="1:6" x14ac:dyDescent="0.3">
      <c r="A318" s="1">
        <v>46044</v>
      </c>
      <c r="B318" t="s">
        <v>220</v>
      </c>
      <c r="C318">
        <v>100000</v>
      </c>
      <c r="D318" s="11"/>
      <c r="E318" t="s">
        <v>472</v>
      </c>
      <c r="F318" s="111" t="s">
        <v>108</v>
      </c>
    </row>
    <row r="319" spans="1:6" x14ac:dyDescent="0.3">
      <c r="A319" s="1">
        <v>46048</v>
      </c>
      <c r="B319" t="s">
        <v>220</v>
      </c>
      <c r="C319">
        <v>400000</v>
      </c>
      <c r="D319" s="11"/>
      <c r="E319" t="s">
        <v>473</v>
      </c>
      <c r="F319" s="111" t="s">
        <v>108</v>
      </c>
    </row>
    <row r="320" spans="1:6" x14ac:dyDescent="0.3">
      <c r="A320" s="134">
        <v>46048</v>
      </c>
      <c r="B320" t="s">
        <v>220</v>
      </c>
      <c r="C320">
        <v>225000</v>
      </c>
      <c r="D320" s="11"/>
      <c r="E320" t="s">
        <v>474</v>
      </c>
      <c r="F320" s="111" t="s">
        <v>108</v>
      </c>
    </row>
    <row r="321" spans="1:12" x14ac:dyDescent="0.3">
      <c r="A321" s="1">
        <v>46050</v>
      </c>
      <c r="B321" t="s">
        <v>220</v>
      </c>
      <c r="C321">
        <v>220000</v>
      </c>
      <c r="D321" s="11"/>
      <c r="E321" t="s">
        <v>475</v>
      </c>
      <c r="F321" s="111" t="s">
        <v>108</v>
      </c>
    </row>
    <row r="322" spans="1:12" x14ac:dyDescent="0.3">
      <c r="A322" s="38">
        <v>46052</v>
      </c>
      <c r="B322" t="s">
        <v>220</v>
      </c>
      <c r="C322" s="96">
        <v>120000</v>
      </c>
      <c r="D322" s="11"/>
      <c r="E322" t="s">
        <v>476</v>
      </c>
      <c r="F322" s="111" t="s">
        <v>108</v>
      </c>
    </row>
    <row r="323" spans="1:12" x14ac:dyDescent="0.3">
      <c r="A323" s="38">
        <v>46059</v>
      </c>
      <c r="B323" t="s">
        <v>220</v>
      </c>
      <c r="C323" s="96">
        <v>100000</v>
      </c>
      <c r="D323" s="11"/>
      <c r="E323" t="s">
        <v>472</v>
      </c>
      <c r="F323" s="111" t="s">
        <v>108</v>
      </c>
    </row>
    <row r="324" spans="1:12" x14ac:dyDescent="0.3">
      <c r="A324" s="136">
        <v>46063</v>
      </c>
      <c r="B324" s="137" t="s">
        <v>220</v>
      </c>
      <c r="C324" s="138">
        <v>368000</v>
      </c>
      <c r="D324" s="127"/>
      <c r="E324" s="137" t="s">
        <v>477</v>
      </c>
      <c r="F324" s="139" t="s">
        <v>108</v>
      </c>
      <c r="G324" s="137"/>
    </row>
    <row r="325" spans="1:12" x14ac:dyDescent="0.3">
      <c r="A325" s="115">
        <v>46064</v>
      </c>
      <c r="B325" t="s">
        <v>287</v>
      </c>
      <c r="C325" s="11"/>
      <c r="D325" s="11">
        <v>7000</v>
      </c>
      <c r="E325" t="s">
        <v>478</v>
      </c>
      <c r="F325" s="111" t="s">
        <v>108</v>
      </c>
    </row>
    <row r="326" spans="1:12" x14ac:dyDescent="0.3">
      <c r="A326" s="115">
        <v>46064</v>
      </c>
      <c r="B326" t="s">
        <v>220</v>
      </c>
      <c r="C326" s="11"/>
      <c r="D326" s="11">
        <v>100000</v>
      </c>
      <c r="E326" t="s">
        <v>479</v>
      </c>
      <c r="F326" s="111" t="s">
        <v>108</v>
      </c>
    </row>
    <row r="327" spans="1:12" x14ac:dyDescent="0.3">
      <c r="A327" s="115">
        <v>46064</v>
      </c>
      <c r="B327" t="s">
        <v>193</v>
      </c>
      <c r="C327" s="11">
        <v>138250</v>
      </c>
      <c r="D327" s="11"/>
      <c r="E327" t="s">
        <v>480</v>
      </c>
      <c r="F327" s="111" t="s">
        <v>108</v>
      </c>
    </row>
    <row r="328" spans="1:12" x14ac:dyDescent="0.3">
      <c r="A328" s="115">
        <v>46064</v>
      </c>
      <c r="B328" t="s">
        <v>220</v>
      </c>
      <c r="C328" s="96"/>
      <c r="D328" s="96">
        <v>135000</v>
      </c>
      <c r="E328" t="s">
        <v>193</v>
      </c>
      <c r="F328" s="111" t="s">
        <v>108</v>
      </c>
      <c r="J328">
        <v>1000</v>
      </c>
      <c r="K328">
        <v>1000</v>
      </c>
      <c r="L328">
        <v>26000</v>
      </c>
    </row>
    <row r="329" spans="1:12" x14ac:dyDescent="0.3">
      <c r="A329" s="115">
        <v>46064</v>
      </c>
      <c r="B329" t="s">
        <v>54</v>
      </c>
      <c r="C329" s="11">
        <v>1000</v>
      </c>
      <c r="D329" s="11"/>
      <c r="E329" t="s">
        <v>482</v>
      </c>
      <c r="F329" s="111" t="s">
        <v>108</v>
      </c>
      <c r="J329">
        <v>22100</v>
      </c>
      <c r="K329">
        <v>22100</v>
      </c>
      <c r="L329">
        <v>44000</v>
      </c>
    </row>
    <row r="330" spans="1:12" x14ac:dyDescent="0.3">
      <c r="A330" s="115">
        <v>46064</v>
      </c>
      <c r="B330" t="s">
        <v>481</v>
      </c>
      <c r="C330" s="11">
        <v>500</v>
      </c>
      <c r="D330" s="11"/>
      <c r="E330" t="s">
        <v>483</v>
      </c>
      <c r="F330" s="111" t="s">
        <v>108</v>
      </c>
      <c r="J330">
        <v>15000</v>
      </c>
      <c r="K330">
        <v>15000</v>
      </c>
      <c r="L330">
        <v>40000</v>
      </c>
    </row>
    <row r="331" spans="1:12" x14ac:dyDescent="0.3">
      <c r="A331" s="115">
        <v>46064</v>
      </c>
      <c r="B331" t="s">
        <v>52</v>
      </c>
      <c r="C331" s="11">
        <v>55000</v>
      </c>
      <c r="D331" s="11"/>
      <c r="E331" t="s">
        <v>243</v>
      </c>
      <c r="F331" s="111" t="s">
        <v>108</v>
      </c>
      <c r="J331">
        <v>15350</v>
      </c>
      <c r="K331">
        <v>15350</v>
      </c>
      <c r="L331">
        <v>35200</v>
      </c>
    </row>
    <row r="332" spans="1:12" x14ac:dyDescent="0.3">
      <c r="A332" s="115">
        <v>46064</v>
      </c>
      <c r="B332" t="s">
        <v>52</v>
      </c>
      <c r="C332" s="11">
        <v>16000</v>
      </c>
      <c r="D332" s="11"/>
      <c r="E332" t="s">
        <v>484</v>
      </c>
      <c r="F332" s="111" t="s">
        <v>108</v>
      </c>
      <c r="J332">
        <v>13000</v>
      </c>
      <c r="K332">
        <v>13000</v>
      </c>
      <c r="L332">
        <v>22000</v>
      </c>
    </row>
    <row r="333" spans="1:12" x14ac:dyDescent="0.3">
      <c r="A333" s="115">
        <v>46064</v>
      </c>
      <c r="B333" t="s">
        <v>52</v>
      </c>
      <c r="C333">
        <v>26000</v>
      </c>
      <c r="D333" s="11"/>
      <c r="E333" t="s">
        <v>308</v>
      </c>
      <c r="F333" s="111" t="s">
        <v>108</v>
      </c>
      <c r="J333">
        <v>24500</v>
      </c>
      <c r="K333">
        <v>24500</v>
      </c>
      <c r="L333">
        <v>15000</v>
      </c>
    </row>
    <row r="334" spans="1:12" x14ac:dyDescent="0.3">
      <c r="A334" s="115">
        <v>46064</v>
      </c>
      <c r="B334" t="s">
        <v>52</v>
      </c>
      <c r="C334">
        <v>44000</v>
      </c>
      <c r="D334" s="11"/>
      <c r="E334" t="s">
        <v>308</v>
      </c>
      <c r="F334" s="111" t="s">
        <v>108</v>
      </c>
      <c r="J334">
        <v>18650</v>
      </c>
      <c r="K334">
        <v>18650</v>
      </c>
      <c r="L334">
        <v>32000</v>
      </c>
    </row>
    <row r="335" spans="1:12" x14ac:dyDescent="0.3">
      <c r="A335" s="115">
        <v>46064</v>
      </c>
      <c r="B335" t="s">
        <v>52</v>
      </c>
      <c r="C335">
        <v>40000</v>
      </c>
      <c r="D335" s="11"/>
      <c r="E335" t="s">
        <v>308</v>
      </c>
      <c r="F335" s="111" t="s">
        <v>108</v>
      </c>
      <c r="J335">
        <v>32000</v>
      </c>
      <c r="K335">
        <v>32000</v>
      </c>
      <c r="L335">
        <v>24500</v>
      </c>
    </row>
    <row r="336" spans="1:12" x14ac:dyDescent="0.3">
      <c r="A336" s="115">
        <v>46064</v>
      </c>
      <c r="B336" t="s">
        <v>52</v>
      </c>
      <c r="C336">
        <v>35200</v>
      </c>
      <c r="D336" s="11"/>
      <c r="E336" t="s">
        <v>308</v>
      </c>
      <c r="F336" s="111" t="s">
        <v>108</v>
      </c>
      <c r="J336">
        <v>7000</v>
      </c>
      <c r="K336">
        <v>7000</v>
      </c>
      <c r="L336">
        <v>22100</v>
      </c>
    </row>
    <row r="337" spans="1:12" x14ac:dyDescent="0.3">
      <c r="A337" s="115">
        <v>46064</v>
      </c>
      <c r="B337" t="s">
        <v>52</v>
      </c>
      <c r="C337">
        <v>22000</v>
      </c>
      <c r="D337" s="11"/>
      <c r="E337" t="s">
        <v>308</v>
      </c>
      <c r="F337" s="111" t="s">
        <v>108</v>
      </c>
      <c r="J337">
        <v>8800</v>
      </c>
      <c r="K337">
        <v>8800</v>
      </c>
      <c r="L337">
        <v>12650</v>
      </c>
    </row>
    <row r="338" spans="1:12" x14ac:dyDescent="0.3">
      <c r="A338" s="115">
        <v>46064</v>
      </c>
      <c r="B338" t="s">
        <v>52</v>
      </c>
      <c r="C338">
        <v>15000</v>
      </c>
      <c r="D338" s="96"/>
      <c r="E338" t="s">
        <v>308</v>
      </c>
      <c r="F338" s="111" t="s">
        <v>108</v>
      </c>
      <c r="J338">
        <v>15000</v>
      </c>
      <c r="K338">
        <v>15000</v>
      </c>
      <c r="L338">
        <v>7000</v>
      </c>
    </row>
    <row r="339" spans="1:12" x14ac:dyDescent="0.3">
      <c r="A339" s="115">
        <v>46064</v>
      </c>
      <c r="B339" t="s">
        <v>52</v>
      </c>
      <c r="C339">
        <v>32000</v>
      </c>
      <c r="D339" s="11"/>
      <c r="E339" t="s">
        <v>308</v>
      </c>
      <c r="F339" s="111" t="s">
        <v>108</v>
      </c>
      <c r="J339">
        <v>12600</v>
      </c>
      <c r="K339">
        <v>12600</v>
      </c>
      <c r="L339">
        <v>15000</v>
      </c>
    </row>
    <row r="340" spans="1:12" x14ac:dyDescent="0.3">
      <c r="A340" s="115">
        <v>46064</v>
      </c>
      <c r="B340" t="s">
        <v>52</v>
      </c>
      <c r="C340">
        <v>24500</v>
      </c>
      <c r="D340" s="11"/>
      <c r="E340" t="s">
        <v>308</v>
      </c>
      <c r="F340" s="111" t="s">
        <v>108</v>
      </c>
      <c r="J340">
        <v>13650</v>
      </c>
      <c r="K340">
        <v>13650</v>
      </c>
      <c r="L340">
        <v>15650</v>
      </c>
    </row>
    <row r="341" spans="1:12" x14ac:dyDescent="0.3">
      <c r="A341" s="115">
        <v>46064</v>
      </c>
      <c r="B341" t="s">
        <v>52</v>
      </c>
      <c r="C341">
        <v>22100</v>
      </c>
      <c r="D341" s="11"/>
      <c r="E341" t="s">
        <v>308</v>
      </c>
      <c r="F341" s="111" t="s">
        <v>108</v>
      </c>
      <c r="J341">
        <v>20000</v>
      </c>
      <c r="K341">
        <v>20000</v>
      </c>
      <c r="L341">
        <v>13000</v>
      </c>
    </row>
    <row r="342" spans="1:12" x14ac:dyDescent="0.3">
      <c r="A342" s="115">
        <v>46064</v>
      </c>
      <c r="B342" t="s">
        <v>52</v>
      </c>
      <c r="C342">
        <v>12650</v>
      </c>
      <c r="D342" s="11"/>
      <c r="E342" t="s">
        <v>308</v>
      </c>
      <c r="F342" s="111" t="s">
        <v>108</v>
      </c>
      <c r="J342">
        <v>26000</v>
      </c>
      <c r="K342">
        <v>26000</v>
      </c>
      <c r="L342">
        <v>18650</v>
      </c>
    </row>
    <row r="343" spans="1:12" x14ac:dyDescent="0.3">
      <c r="A343" s="115">
        <v>46064</v>
      </c>
      <c r="B343" t="s">
        <v>52</v>
      </c>
      <c r="C343">
        <v>7000</v>
      </c>
      <c r="D343" s="11"/>
      <c r="E343" t="s">
        <v>308</v>
      </c>
      <c r="F343" s="111" t="s">
        <v>108</v>
      </c>
      <c r="J343">
        <v>3850</v>
      </c>
      <c r="K343">
        <v>3850</v>
      </c>
      <c r="L343">
        <v>22650</v>
      </c>
    </row>
    <row r="344" spans="1:12" x14ac:dyDescent="0.3">
      <c r="A344" s="115">
        <v>46064</v>
      </c>
      <c r="B344" t="s">
        <v>52</v>
      </c>
      <c r="C344">
        <v>15000</v>
      </c>
      <c r="D344" s="11"/>
      <c r="E344" t="s">
        <v>308</v>
      </c>
      <c r="F344" s="111" t="s">
        <v>108</v>
      </c>
      <c r="J344">
        <v>44000</v>
      </c>
      <c r="K344">
        <v>44000</v>
      </c>
      <c r="L344">
        <v>13650</v>
      </c>
    </row>
    <row r="345" spans="1:12" x14ac:dyDescent="0.3">
      <c r="A345" s="115">
        <v>46064</v>
      </c>
      <c r="B345" t="s">
        <v>52</v>
      </c>
      <c r="C345">
        <v>15650</v>
      </c>
      <c r="D345" s="11"/>
      <c r="E345" t="s">
        <v>308</v>
      </c>
      <c r="F345" s="111" t="s">
        <v>108</v>
      </c>
      <c r="J345">
        <v>35200</v>
      </c>
      <c r="K345">
        <v>35200</v>
      </c>
      <c r="L345">
        <v>8800</v>
      </c>
    </row>
    <row r="346" spans="1:12" x14ac:dyDescent="0.3">
      <c r="A346" s="115">
        <v>46064</v>
      </c>
      <c r="B346" t="s">
        <v>52</v>
      </c>
      <c r="C346">
        <v>13000</v>
      </c>
      <c r="D346" s="11"/>
      <c r="E346" t="s">
        <v>308</v>
      </c>
      <c r="F346" s="111" t="s">
        <v>108</v>
      </c>
      <c r="J346">
        <v>18150</v>
      </c>
      <c r="K346">
        <v>18150</v>
      </c>
      <c r="L346">
        <v>1000</v>
      </c>
    </row>
    <row r="347" spans="1:12" x14ac:dyDescent="0.3">
      <c r="A347" s="115">
        <v>46064</v>
      </c>
      <c r="B347" t="s">
        <v>52</v>
      </c>
      <c r="C347">
        <v>18650</v>
      </c>
      <c r="D347" s="11"/>
      <c r="E347" t="s">
        <v>308</v>
      </c>
      <c r="F347" s="111" t="s">
        <v>108</v>
      </c>
      <c r="J347">
        <v>22650</v>
      </c>
      <c r="K347">
        <v>22650</v>
      </c>
      <c r="L347">
        <v>20000</v>
      </c>
    </row>
    <row r="348" spans="1:12" x14ac:dyDescent="0.3">
      <c r="A348" s="115">
        <v>46064</v>
      </c>
      <c r="B348" t="s">
        <v>52</v>
      </c>
      <c r="C348">
        <v>22650</v>
      </c>
      <c r="D348" s="11"/>
      <c r="E348" t="s">
        <v>308</v>
      </c>
      <c r="F348" s="111" t="s">
        <v>108</v>
      </c>
      <c r="J348">
        <v>22650</v>
      </c>
      <c r="L348">
        <v>13650</v>
      </c>
    </row>
    <row r="349" spans="1:12" x14ac:dyDescent="0.3">
      <c r="A349" s="115">
        <v>46064</v>
      </c>
      <c r="B349" t="s">
        <v>52</v>
      </c>
      <c r="C349">
        <v>13650</v>
      </c>
      <c r="D349" s="11"/>
      <c r="E349" t="s">
        <v>308</v>
      </c>
      <c r="F349" s="111" t="s">
        <v>108</v>
      </c>
      <c r="J349">
        <v>600</v>
      </c>
      <c r="K349">
        <v>600</v>
      </c>
      <c r="L349">
        <v>15350</v>
      </c>
    </row>
    <row r="350" spans="1:12" x14ac:dyDescent="0.3">
      <c r="A350" s="115">
        <v>46064</v>
      </c>
      <c r="B350" t="s">
        <v>52</v>
      </c>
      <c r="C350">
        <v>8800</v>
      </c>
      <c r="D350" s="11"/>
      <c r="E350" t="s">
        <v>308</v>
      </c>
      <c r="F350" s="111" t="s">
        <v>108</v>
      </c>
      <c r="J350">
        <v>15670</v>
      </c>
      <c r="K350">
        <v>15670</v>
      </c>
      <c r="L350">
        <v>3850</v>
      </c>
    </row>
    <row r="351" spans="1:12" x14ac:dyDescent="0.3">
      <c r="A351" s="115">
        <v>46064</v>
      </c>
      <c r="B351" t="s">
        <v>52</v>
      </c>
      <c r="C351">
        <v>1000</v>
      </c>
      <c r="D351" s="11"/>
      <c r="E351" t="s">
        <v>308</v>
      </c>
      <c r="F351" s="111" t="s">
        <v>108</v>
      </c>
      <c r="J351">
        <v>13650</v>
      </c>
      <c r="K351">
        <v>13650</v>
      </c>
      <c r="L351">
        <v>18150</v>
      </c>
    </row>
    <row r="352" spans="1:12" x14ac:dyDescent="0.3">
      <c r="A352" s="115">
        <v>46064</v>
      </c>
      <c r="B352" t="s">
        <v>52</v>
      </c>
      <c r="C352">
        <v>20000</v>
      </c>
      <c r="D352" s="11"/>
      <c r="E352" t="s">
        <v>308</v>
      </c>
      <c r="F352" s="111" t="s">
        <v>108</v>
      </c>
      <c r="J352">
        <v>22000</v>
      </c>
      <c r="K352">
        <v>22000</v>
      </c>
      <c r="L352">
        <v>45000</v>
      </c>
    </row>
    <row r="353" spans="1:12" x14ac:dyDescent="0.3">
      <c r="A353" s="115">
        <v>46064</v>
      </c>
      <c r="B353" t="s">
        <v>52</v>
      </c>
      <c r="C353">
        <v>13650</v>
      </c>
      <c r="D353" s="11"/>
      <c r="E353" t="s">
        <v>308</v>
      </c>
      <c r="F353" s="111" t="s">
        <v>108</v>
      </c>
      <c r="J353">
        <v>40000</v>
      </c>
      <c r="K353">
        <v>40000</v>
      </c>
      <c r="L353">
        <v>185000</v>
      </c>
    </row>
    <row r="354" spans="1:12" x14ac:dyDescent="0.3">
      <c r="A354" s="115">
        <v>46064</v>
      </c>
      <c r="B354" t="s">
        <v>52</v>
      </c>
      <c r="C354">
        <v>15350</v>
      </c>
      <c r="D354" s="11"/>
      <c r="E354" t="s">
        <v>308</v>
      </c>
      <c r="F354" s="111" t="s">
        <v>108</v>
      </c>
      <c r="J354">
        <v>185000</v>
      </c>
      <c r="K354">
        <v>185000</v>
      </c>
      <c r="L354">
        <v>600</v>
      </c>
    </row>
    <row r="355" spans="1:12" x14ac:dyDescent="0.3">
      <c r="A355" s="115">
        <v>46064</v>
      </c>
      <c r="B355" t="s">
        <v>52</v>
      </c>
      <c r="C355">
        <v>3850</v>
      </c>
      <c r="D355" s="11"/>
      <c r="E355" t="s">
        <v>308</v>
      </c>
      <c r="F355" s="111" t="s">
        <v>108</v>
      </c>
      <c r="J355">
        <v>45000</v>
      </c>
      <c r="K355">
        <v>45000</v>
      </c>
    </row>
    <row r="356" spans="1:12" x14ac:dyDescent="0.3">
      <c r="A356" s="115">
        <v>46064</v>
      </c>
      <c r="B356" t="s">
        <v>52</v>
      </c>
      <c r="C356">
        <v>18150</v>
      </c>
      <c r="D356" s="11"/>
      <c r="E356" t="s">
        <v>308</v>
      </c>
      <c r="F356" s="111" t="s">
        <v>108</v>
      </c>
    </row>
    <row r="357" spans="1:12" x14ac:dyDescent="0.3">
      <c r="A357" s="115">
        <v>46064</v>
      </c>
      <c r="B357" t="s">
        <v>52</v>
      </c>
      <c r="C357">
        <v>45000</v>
      </c>
      <c r="D357" s="11"/>
      <c r="E357" t="s">
        <v>308</v>
      </c>
      <c r="F357" s="111" t="s">
        <v>108</v>
      </c>
    </row>
    <row r="358" spans="1:12" x14ac:dyDescent="0.3">
      <c r="A358" s="115">
        <v>46064</v>
      </c>
      <c r="B358" t="s">
        <v>52</v>
      </c>
      <c r="C358">
        <v>185000</v>
      </c>
      <c r="D358" s="11"/>
      <c r="E358" t="s">
        <v>308</v>
      </c>
      <c r="F358" s="111" t="s">
        <v>108</v>
      </c>
    </row>
    <row r="359" spans="1:12" x14ac:dyDescent="0.3">
      <c r="A359" s="115">
        <v>46064</v>
      </c>
      <c r="B359" t="s">
        <v>52</v>
      </c>
      <c r="C359">
        <v>600</v>
      </c>
      <c r="D359" s="11"/>
      <c r="E359" t="s">
        <v>308</v>
      </c>
      <c r="F359" s="111" t="s">
        <v>108</v>
      </c>
    </row>
    <row r="360" spans="1:12" x14ac:dyDescent="0.3">
      <c r="A360" s="115">
        <v>46064</v>
      </c>
      <c r="B360" t="s">
        <v>54</v>
      </c>
      <c r="C360">
        <v>5000</v>
      </c>
      <c r="D360" s="11"/>
      <c r="E360" t="s">
        <v>406</v>
      </c>
      <c r="F360" s="111" t="s">
        <v>108</v>
      </c>
    </row>
    <row r="361" spans="1:12" x14ac:dyDescent="0.3">
      <c r="A361" s="115">
        <v>46064</v>
      </c>
      <c r="B361" t="s">
        <v>54</v>
      </c>
      <c r="C361" s="11">
        <v>1000</v>
      </c>
      <c r="D361" s="11"/>
      <c r="E361" t="s">
        <v>485</v>
      </c>
      <c r="F361" s="111" t="s">
        <v>108</v>
      </c>
    </row>
    <row r="362" spans="1:12" x14ac:dyDescent="0.3">
      <c r="A362" s="115">
        <v>46064</v>
      </c>
      <c r="B362" t="s">
        <v>298</v>
      </c>
      <c r="C362" s="11"/>
      <c r="D362" s="11">
        <v>162000</v>
      </c>
      <c r="E362" t="s">
        <v>486</v>
      </c>
      <c r="F362" s="111" t="s">
        <v>108</v>
      </c>
    </row>
    <row r="363" spans="1:12" x14ac:dyDescent="0.3">
      <c r="A363" s="115">
        <v>46064</v>
      </c>
      <c r="B363" t="s">
        <v>55</v>
      </c>
      <c r="C363" s="11">
        <v>1700</v>
      </c>
      <c r="D363" s="11"/>
      <c r="E363" t="s">
        <v>487</v>
      </c>
      <c r="F363" s="111" t="s">
        <v>108</v>
      </c>
    </row>
    <row r="364" spans="1:12" x14ac:dyDescent="0.3">
      <c r="A364" s="115">
        <v>46064</v>
      </c>
      <c r="B364" t="s">
        <v>481</v>
      </c>
      <c r="C364" s="11">
        <v>2540</v>
      </c>
      <c r="D364" s="11"/>
      <c r="E364" t="s">
        <v>488</v>
      </c>
      <c r="F364" s="111" t="s">
        <v>108</v>
      </c>
    </row>
    <row r="365" spans="1:12" x14ac:dyDescent="0.3">
      <c r="A365" s="115">
        <v>46064</v>
      </c>
      <c r="B365" t="s">
        <v>54</v>
      </c>
      <c r="C365" s="11">
        <v>1010</v>
      </c>
      <c r="D365" s="11"/>
      <c r="E365" t="s">
        <v>489</v>
      </c>
      <c r="F365" s="111" t="s">
        <v>108</v>
      </c>
    </row>
    <row r="366" spans="1:12" x14ac:dyDescent="0.3">
      <c r="A366" s="115">
        <v>46064</v>
      </c>
      <c r="B366" t="s">
        <v>222</v>
      </c>
      <c r="C366" s="11">
        <v>4482</v>
      </c>
      <c r="D366" s="11"/>
      <c r="E366" t="s">
        <v>490</v>
      </c>
      <c r="F366" s="111" t="s">
        <v>108</v>
      </c>
    </row>
    <row r="367" spans="1:12" x14ac:dyDescent="0.3">
      <c r="A367" s="115">
        <v>46064</v>
      </c>
      <c r="B367" t="s">
        <v>55</v>
      </c>
      <c r="C367" s="11">
        <v>28000</v>
      </c>
      <c r="D367" s="11"/>
      <c r="E367" t="s">
        <v>491</v>
      </c>
      <c r="F367" s="111" t="s">
        <v>108</v>
      </c>
    </row>
    <row r="368" spans="1:12" x14ac:dyDescent="0.3">
      <c r="A368" s="115">
        <v>46064</v>
      </c>
      <c r="B368" t="s">
        <v>481</v>
      </c>
      <c r="C368" s="11">
        <v>1890</v>
      </c>
      <c r="D368" s="11"/>
      <c r="E368" t="s">
        <v>492</v>
      </c>
      <c r="F368" s="111" t="s">
        <v>108</v>
      </c>
    </row>
    <row r="369" spans="1:6" x14ac:dyDescent="0.3">
      <c r="A369" s="115">
        <v>46064</v>
      </c>
      <c r="B369" t="s">
        <v>220</v>
      </c>
      <c r="C369" s="11"/>
      <c r="D369" s="11">
        <v>40000</v>
      </c>
      <c r="E369" t="s">
        <v>493</v>
      </c>
      <c r="F369" s="111" t="s">
        <v>108</v>
      </c>
    </row>
    <row r="370" spans="1:6" x14ac:dyDescent="0.3">
      <c r="A370" s="115">
        <v>46064</v>
      </c>
      <c r="B370" t="s">
        <v>9</v>
      </c>
      <c r="C370" s="11"/>
      <c r="D370" s="11">
        <v>95000</v>
      </c>
      <c r="E370" t="s">
        <v>494</v>
      </c>
      <c r="F370" s="111" t="s">
        <v>108</v>
      </c>
    </row>
    <row r="371" spans="1:6" x14ac:dyDescent="0.3">
      <c r="A371" s="115">
        <v>46064</v>
      </c>
      <c r="B371" t="s">
        <v>55</v>
      </c>
      <c r="C371" s="11">
        <v>40000</v>
      </c>
      <c r="D371" s="11"/>
      <c r="E371" t="s">
        <v>495</v>
      </c>
      <c r="F371" s="111" t="s">
        <v>108</v>
      </c>
    </row>
    <row r="372" spans="1:6" x14ac:dyDescent="0.3">
      <c r="A372" s="115">
        <v>46064</v>
      </c>
      <c r="B372" t="s">
        <v>258</v>
      </c>
      <c r="C372" s="11">
        <v>150000</v>
      </c>
      <c r="D372" s="11"/>
      <c r="E372" t="s">
        <v>496</v>
      </c>
      <c r="F372" s="111" t="s">
        <v>108</v>
      </c>
    </row>
    <row r="373" spans="1:6" x14ac:dyDescent="0.3">
      <c r="A373" s="115">
        <v>46064</v>
      </c>
      <c r="B373" t="s">
        <v>165</v>
      </c>
      <c r="C373" s="11">
        <v>60000</v>
      </c>
      <c r="D373" s="11"/>
      <c r="E373" t="s">
        <v>497</v>
      </c>
      <c r="F373" s="111" t="s">
        <v>108</v>
      </c>
    </row>
    <row r="374" spans="1:6" x14ac:dyDescent="0.3">
      <c r="A374" s="38">
        <v>46064</v>
      </c>
      <c r="B374" t="s">
        <v>210</v>
      </c>
      <c r="C374" s="96">
        <f>800+2060</f>
        <v>2860</v>
      </c>
      <c r="D374" s="96"/>
      <c r="F374" s="111" t="s">
        <v>108</v>
      </c>
    </row>
    <row r="375" spans="1:6" x14ac:dyDescent="0.3">
      <c r="A375" s="38">
        <v>46065</v>
      </c>
      <c r="B375" t="s">
        <v>54</v>
      </c>
      <c r="C375" s="96">
        <v>5000</v>
      </c>
      <c r="D375" s="96"/>
      <c r="E375" t="s">
        <v>499</v>
      </c>
      <c r="F375" s="111" t="s">
        <v>108</v>
      </c>
    </row>
    <row r="376" spans="1:6" x14ac:dyDescent="0.3">
      <c r="A376" s="38">
        <v>46065</v>
      </c>
      <c r="B376" t="s">
        <v>222</v>
      </c>
      <c r="C376" s="11">
        <v>4900</v>
      </c>
      <c r="D376" s="11"/>
      <c r="E376" t="s">
        <v>500</v>
      </c>
      <c r="F376" s="111" t="s">
        <v>108</v>
      </c>
    </row>
    <row r="377" spans="1:6" x14ac:dyDescent="0.3">
      <c r="A377" s="38">
        <v>46065</v>
      </c>
      <c r="B377" t="s">
        <v>481</v>
      </c>
      <c r="C377" s="11">
        <v>1000</v>
      </c>
      <c r="D377" s="11"/>
      <c r="E377" t="s">
        <v>501</v>
      </c>
      <c r="F377" s="111" t="s">
        <v>108</v>
      </c>
    </row>
    <row r="378" spans="1:6" x14ac:dyDescent="0.3">
      <c r="A378" s="38">
        <v>46065</v>
      </c>
      <c r="B378" t="s">
        <v>152</v>
      </c>
      <c r="C378" s="11"/>
      <c r="D378" s="11">
        <v>155000</v>
      </c>
      <c r="E378" t="s">
        <v>109</v>
      </c>
      <c r="F378" s="111" t="s">
        <v>108</v>
      </c>
    </row>
    <row r="379" spans="1:6" x14ac:dyDescent="0.3">
      <c r="A379" s="38">
        <v>46065</v>
      </c>
      <c r="B379" t="s">
        <v>335</v>
      </c>
      <c r="C379" s="11"/>
      <c r="D379" s="11">
        <v>150000</v>
      </c>
      <c r="E379" t="s">
        <v>109</v>
      </c>
      <c r="F379" s="111" t="s">
        <v>108</v>
      </c>
    </row>
    <row r="380" spans="1:6" x14ac:dyDescent="0.3">
      <c r="A380" s="38">
        <v>46065</v>
      </c>
      <c r="B380" t="s">
        <v>52</v>
      </c>
      <c r="C380" s="11">
        <f>67000+5000</f>
        <v>72000</v>
      </c>
      <c r="D380" s="11"/>
      <c r="E380" t="s">
        <v>231</v>
      </c>
      <c r="F380" s="111" t="s">
        <v>108</v>
      </c>
    </row>
    <row r="381" spans="1:6" x14ac:dyDescent="0.3">
      <c r="A381" s="38">
        <v>46065</v>
      </c>
      <c r="B381" t="s">
        <v>52</v>
      </c>
      <c r="C381" s="11">
        <v>95500</v>
      </c>
      <c r="D381" s="11"/>
      <c r="E381" t="s">
        <v>243</v>
      </c>
      <c r="F381" s="111" t="s">
        <v>108</v>
      </c>
    </row>
    <row r="382" spans="1:6" x14ac:dyDescent="0.3">
      <c r="A382" s="38">
        <v>46065</v>
      </c>
      <c r="B382" t="s">
        <v>52</v>
      </c>
      <c r="C382" s="11">
        <v>80000</v>
      </c>
      <c r="D382" s="11"/>
      <c r="E382" t="s">
        <v>502</v>
      </c>
      <c r="F382" s="111" t="s">
        <v>108</v>
      </c>
    </row>
    <row r="383" spans="1:6" x14ac:dyDescent="0.3">
      <c r="A383" s="38">
        <v>46065</v>
      </c>
      <c r="B383" t="s">
        <v>52</v>
      </c>
      <c r="C383" s="11">
        <v>25000</v>
      </c>
      <c r="D383" s="11"/>
      <c r="E383" t="s">
        <v>301</v>
      </c>
      <c r="F383" s="111" t="s">
        <v>108</v>
      </c>
    </row>
    <row r="384" spans="1:6" x14ac:dyDescent="0.3">
      <c r="A384" s="38">
        <v>46065</v>
      </c>
      <c r="B384" t="s">
        <v>225</v>
      </c>
      <c r="C384" s="11">
        <v>15000</v>
      </c>
      <c r="D384" s="11"/>
      <c r="E384" t="s">
        <v>417</v>
      </c>
      <c r="F384" s="111" t="s">
        <v>108</v>
      </c>
    </row>
    <row r="385" spans="1:6" x14ac:dyDescent="0.3">
      <c r="A385" s="38">
        <v>46065</v>
      </c>
      <c r="B385" t="s">
        <v>225</v>
      </c>
      <c r="C385" s="11">
        <v>50000</v>
      </c>
      <c r="D385" s="11"/>
      <c r="E385" t="s">
        <v>503</v>
      </c>
      <c r="F385" s="111" t="s">
        <v>108</v>
      </c>
    </row>
    <row r="386" spans="1:6" x14ac:dyDescent="0.3">
      <c r="A386" s="38">
        <v>46065</v>
      </c>
      <c r="B386" t="s">
        <v>54</v>
      </c>
      <c r="C386" s="11">
        <v>5000</v>
      </c>
      <c r="D386" s="11"/>
      <c r="E386" t="s">
        <v>406</v>
      </c>
      <c r="F386" s="111" t="s">
        <v>108</v>
      </c>
    </row>
    <row r="387" spans="1:6" x14ac:dyDescent="0.3">
      <c r="A387" s="115">
        <v>46065</v>
      </c>
      <c r="B387" t="s">
        <v>54</v>
      </c>
      <c r="C387" s="11">
        <f>960*2</f>
        <v>1920</v>
      </c>
      <c r="D387" s="11"/>
      <c r="E387" t="s">
        <v>512</v>
      </c>
      <c r="F387" s="111" t="s">
        <v>108</v>
      </c>
    </row>
    <row r="388" spans="1:6" x14ac:dyDescent="0.3">
      <c r="A388" s="38">
        <v>46065</v>
      </c>
      <c r="B388" t="s">
        <v>222</v>
      </c>
      <c r="C388" s="11">
        <v>2000</v>
      </c>
      <c r="D388" s="11"/>
      <c r="E388" t="s">
        <v>504</v>
      </c>
      <c r="F388" s="111" t="s">
        <v>108</v>
      </c>
    </row>
    <row r="389" spans="1:6" x14ac:dyDescent="0.3">
      <c r="A389" s="115">
        <v>46065</v>
      </c>
      <c r="B389" t="s">
        <v>481</v>
      </c>
      <c r="C389" s="11">
        <v>2000</v>
      </c>
      <c r="D389" s="11"/>
      <c r="E389" t="s">
        <v>518</v>
      </c>
      <c r="F389" s="111" t="s">
        <v>108</v>
      </c>
    </row>
    <row r="390" spans="1:6" x14ac:dyDescent="0.3">
      <c r="A390" s="38">
        <v>46065</v>
      </c>
      <c r="B390" t="s">
        <v>55</v>
      </c>
      <c r="C390" s="11">
        <v>1900</v>
      </c>
      <c r="D390" s="11"/>
      <c r="E390" t="s">
        <v>505</v>
      </c>
      <c r="F390" s="111" t="s">
        <v>108</v>
      </c>
    </row>
    <row r="391" spans="1:6" x14ac:dyDescent="0.3">
      <c r="A391" s="38">
        <v>46065</v>
      </c>
      <c r="B391" t="s">
        <v>233</v>
      </c>
      <c r="C391" s="11"/>
      <c r="D391" s="11">
        <v>200000</v>
      </c>
      <c r="E391" t="s">
        <v>506</v>
      </c>
      <c r="F391" s="111" t="s">
        <v>108</v>
      </c>
    </row>
    <row r="392" spans="1:6" x14ac:dyDescent="0.3">
      <c r="A392" s="38">
        <v>46065</v>
      </c>
      <c r="B392" t="s">
        <v>172</v>
      </c>
      <c r="C392" s="11">
        <v>97520</v>
      </c>
      <c r="D392" s="11"/>
      <c r="E392" t="s">
        <v>214</v>
      </c>
      <c r="F392" s="111" t="s">
        <v>108</v>
      </c>
    </row>
    <row r="393" spans="1:6" x14ac:dyDescent="0.3">
      <c r="A393" s="38">
        <v>46065</v>
      </c>
      <c r="B393" t="s">
        <v>55</v>
      </c>
      <c r="C393" s="11">
        <v>1020</v>
      </c>
      <c r="D393" s="11"/>
      <c r="E393" t="s">
        <v>507</v>
      </c>
      <c r="F393" s="111" t="s">
        <v>108</v>
      </c>
    </row>
    <row r="394" spans="1:6" x14ac:dyDescent="0.3">
      <c r="A394" s="38">
        <v>46065</v>
      </c>
      <c r="B394" t="s">
        <v>260</v>
      </c>
      <c r="C394" s="11">
        <v>100270</v>
      </c>
      <c r="D394" s="11"/>
      <c r="E394" t="s">
        <v>508</v>
      </c>
      <c r="F394" s="111" t="s">
        <v>108</v>
      </c>
    </row>
    <row r="395" spans="1:6" x14ac:dyDescent="0.3">
      <c r="A395" s="38">
        <v>46065</v>
      </c>
      <c r="B395" t="s">
        <v>258</v>
      </c>
      <c r="C395" s="11">
        <v>200250</v>
      </c>
      <c r="D395" s="11"/>
      <c r="E395" t="s">
        <v>509</v>
      </c>
      <c r="F395" s="111" t="s">
        <v>108</v>
      </c>
    </row>
    <row r="396" spans="1:6" x14ac:dyDescent="0.3">
      <c r="A396" s="38">
        <v>46065</v>
      </c>
      <c r="B396" t="s">
        <v>175</v>
      </c>
      <c r="C396" s="96"/>
      <c r="D396" s="96">
        <v>500000</v>
      </c>
      <c r="F396" s="111" t="s">
        <v>108</v>
      </c>
    </row>
    <row r="397" spans="1:6" x14ac:dyDescent="0.3">
      <c r="A397" s="38">
        <v>46065</v>
      </c>
      <c r="B397" t="s">
        <v>254</v>
      </c>
      <c r="C397" s="96"/>
      <c r="D397" s="96">
        <v>100000</v>
      </c>
      <c r="E397" t="s">
        <v>109</v>
      </c>
      <c r="F397" s="111" t="s">
        <v>108</v>
      </c>
    </row>
    <row r="398" spans="1:6" x14ac:dyDescent="0.3">
      <c r="A398" s="38">
        <v>46065</v>
      </c>
      <c r="B398" t="s">
        <v>258</v>
      </c>
      <c r="C398" s="96">
        <v>200111</v>
      </c>
      <c r="D398" s="96"/>
      <c r="E398" t="s">
        <v>510</v>
      </c>
      <c r="F398" s="111" t="s">
        <v>108</v>
      </c>
    </row>
    <row r="399" spans="1:6" x14ac:dyDescent="0.3">
      <c r="A399" s="38">
        <v>46065</v>
      </c>
      <c r="B399" t="s">
        <v>225</v>
      </c>
      <c r="C399" s="11">
        <v>25000</v>
      </c>
      <c r="D399" s="11"/>
      <c r="E399" t="s">
        <v>511</v>
      </c>
      <c r="F399" s="111" t="s">
        <v>108</v>
      </c>
    </row>
    <row r="400" spans="1:6" x14ac:dyDescent="0.3">
      <c r="A400" s="38">
        <v>46066</v>
      </c>
      <c r="B400" t="s">
        <v>175</v>
      </c>
      <c r="C400" s="11"/>
      <c r="D400" s="11">
        <v>300000</v>
      </c>
      <c r="E400" t="s">
        <v>514</v>
      </c>
      <c r="F400" s="111" t="s">
        <v>108</v>
      </c>
    </row>
    <row r="401" spans="1:15" x14ac:dyDescent="0.3">
      <c r="A401" s="38">
        <v>46066</v>
      </c>
      <c r="B401" t="s">
        <v>113</v>
      </c>
      <c r="C401" s="11">
        <f>51540+2300</f>
        <v>53840</v>
      </c>
      <c r="D401" s="11"/>
      <c r="E401" t="s">
        <v>515</v>
      </c>
      <c r="F401" s="111" t="s">
        <v>108</v>
      </c>
    </row>
    <row r="402" spans="1:15" x14ac:dyDescent="0.3">
      <c r="A402" s="38">
        <v>46066</v>
      </c>
      <c r="B402" t="s">
        <v>52</v>
      </c>
      <c r="C402" s="11">
        <v>28000</v>
      </c>
      <c r="D402" s="11"/>
      <c r="E402" t="s">
        <v>397</v>
      </c>
      <c r="F402" s="111" t="s">
        <v>108</v>
      </c>
    </row>
    <row r="403" spans="1:15" x14ac:dyDescent="0.3">
      <c r="A403" s="38">
        <v>46066</v>
      </c>
      <c r="B403" t="s">
        <v>52</v>
      </c>
      <c r="C403" s="11">
        <v>165000</v>
      </c>
      <c r="D403" s="11"/>
      <c r="E403" t="s">
        <v>245</v>
      </c>
      <c r="F403" s="111" t="s">
        <v>108</v>
      </c>
    </row>
    <row r="404" spans="1:15" x14ac:dyDescent="0.3">
      <c r="A404" s="38">
        <v>46066</v>
      </c>
      <c r="B404" t="s">
        <v>169</v>
      </c>
      <c r="C404" s="11">
        <v>150000</v>
      </c>
      <c r="D404" s="11"/>
      <c r="E404" t="s">
        <v>516</v>
      </c>
      <c r="F404" s="111" t="s">
        <v>108</v>
      </c>
    </row>
    <row r="405" spans="1:15" x14ac:dyDescent="0.3">
      <c r="A405" s="38">
        <v>46066</v>
      </c>
      <c r="B405" t="s">
        <v>52</v>
      </c>
      <c r="C405" s="11">
        <v>32800</v>
      </c>
      <c r="D405" s="11"/>
      <c r="E405" t="s">
        <v>517</v>
      </c>
      <c r="F405" s="111" t="s">
        <v>108</v>
      </c>
    </row>
    <row r="406" spans="1:15" x14ac:dyDescent="0.3">
      <c r="A406" s="38">
        <v>46066</v>
      </c>
      <c r="B406" t="s">
        <v>258</v>
      </c>
      <c r="C406" s="11">
        <v>3000</v>
      </c>
      <c r="D406" s="11"/>
      <c r="E406" t="s">
        <v>447</v>
      </c>
      <c r="F406" s="111" t="s">
        <v>108</v>
      </c>
    </row>
    <row r="407" spans="1:15" x14ac:dyDescent="0.3">
      <c r="A407" s="38">
        <v>46066</v>
      </c>
      <c r="B407" t="s">
        <v>335</v>
      </c>
      <c r="C407" s="11"/>
      <c r="D407" s="11">
        <v>150000</v>
      </c>
      <c r="F407" s="111" t="s">
        <v>108</v>
      </c>
    </row>
    <row r="408" spans="1:15" x14ac:dyDescent="0.3">
      <c r="A408" s="38">
        <v>46066</v>
      </c>
      <c r="B408" t="s">
        <v>254</v>
      </c>
      <c r="C408" s="11"/>
      <c r="D408" s="11">
        <v>100000</v>
      </c>
      <c r="F408" s="111" t="s">
        <v>108</v>
      </c>
    </row>
    <row r="409" spans="1:15" x14ac:dyDescent="0.3">
      <c r="A409" s="38">
        <v>46066</v>
      </c>
      <c r="C409" s="11"/>
      <c r="D409" s="11"/>
      <c r="F409" s="111" t="s">
        <v>108</v>
      </c>
    </row>
    <row r="410" spans="1:15" x14ac:dyDescent="0.3">
      <c r="A410" s="115">
        <v>46067</v>
      </c>
      <c r="B410" s="122" t="s">
        <v>513</v>
      </c>
      <c r="C410" s="11"/>
      <c r="D410" s="11">
        <v>15855</v>
      </c>
      <c r="F410" s="111" t="s">
        <v>108</v>
      </c>
    </row>
    <row r="411" spans="1:15" x14ac:dyDescent="0.3">
      <c r="A411" s="115">
        <v>46067</v>
      </c>
      <c r="B411" t="s">
        <v>9</v>
      </c>
      <c r="C411" s="11"/>
      <c r="D411" s="11">
        <v>200000</v>
      </c>
      <c r="E411" t="s">
        <v>520</v>
      </c>
      <c r="F411" s="111" t="s">
        <v>108</v>
      </c>
    </row>
    <row r="412" spans="1:15" x14ac:dyDescent="0.3">
      <c r="A412" s="115">
        <v>46067</v>
      </c>
      <c r="B412" t="s">
        <v>54</v>
      </c>
      <c r="C412" s="11">
        <v>2000</v>
      </c>
      <c r="D412" s="11"/>
      <c r="E412" t="s">
        <v>426</v>
      </c>
      <c r="F412" s="111" t="s">
        <v>108</v>
      </c>
    </row>
    <row r="413" spans="1:15" x14ac:dyDescent="0.3">
      <c r="A413" s="115">
        <v>46067</v>
      </c>
      <c r="B413" t="s">
        <v>287</v>
      </c>
      <c r="C413" s="11"/>
      <c r="D413" s="11">
        <v>300000</v>
      </c>
      <c r="E413" t="s">
        <v>521</v>
      </c>
      <c r="F413" s="111" t="s">
        <v>108</v>
      </c>
    </row>
    <row r="414" spans="1:15" x14ac:dyDescent="0.3">
      <c r="A414" s="115">
        <v>46067</v>
      </c>
      <c r="B414" t="s">
        <v>193</v>
      </c>
      <c r="C414" s="11">
        <v>24650</v>
      </c>
      <c r="D414" s="11"/>
      <c r="E414" t="s">
        <v>522</v>
      </c>
      <c r="F414" s="111" t="s">
        <v>108</v>
      </c>
    </row>
    <row r="415" spans="1:15" x14ac:dyDescent="0.3">
      <c r="A415" s="115">
        <v>46067</v>
      </c>
      <c r="B415" t="s">
        <v>258</v>
      </c>
      <c r="C415" s="11">
        <v>300003</v>
      </c>
      <c r="D415" s="11"/>
      <c r="E415" t="s">
        <v>523</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524</v>
      </c>
      <c r="F417" s="111" t="s">
        <v>108</v>
      </c>
      <c r="J417">
        <v>35000</v>
      </c>
      <c r="L417">
        <v>22800</v>
      </c>
      <c r="M417">
        <v>22650</v>
      </c>
      <c r="O417">
        <v>10810</v>
      </c>
    </row>
    <row r="418" spans="1:15" x14ac:dyDescent="0.3">
      <c r="A418" s="115">
        <v>46067</v>
      </c>
      <c r="B418" t="s">
        <v>64</v>
      </c>
      <c r="C418" s="11">
        <v>110000</v>
      </c>
      <c r="D418" s="11"/>
      <c r="E418" t="s">
        <v>525</v>
      </c>
      <c r="F418" s="111" t="s">
        <v>108</v>
      </c>
      <c r="J418">
        <v>29600</v>
      </c>
      <c r="L418">
        <v>29600</v>
      </c>
      <c r="M418">
        <v>22800</v>
      </c>
      <c r="O418">
        <v>12000</v>
      </c>
    </row>
    <row r="419" spans="1:15" x14ac:dyDescent="0.3">
      <c r="A419" s="115">
        <v>46067</v>
      </c>
      <c r="B419" t="s">
        <v>52</v>
      </c>
      <c r="C419" s="11">
        <v>15970</v>
      </c>
      <c r="D419" s="11"/>
      <c r="E419" t="s">
        <v>526</v>
      </c>
      <c r="F419" s="111" t="s">
        <v>108</v>
      </c>
      <c r="J419">
        <v>46600</v>
      </c>
      <c r="L419">
        <v>46600</v>
      </c>
      <c r="M419">
        <v>15000</v>
      </c>
      <c r="O419">
        <v>11650</v>
      </c>
    </row>
    <row r="420" spans="1:15" x14ac:dyDescent="0.3">
      <c r="A420" s="115">
        <v>46067</v>
      </c>
      <c r="B420" t="s">
        <v>94</v>
      </c>
      <c r="C420" s="11">
        <v>1000</v>
      </c>
      <c r="D420" s="11"/>
      <c r="E420" t="s">
        <v>447</v>
      </c>
      <c r="F420" s="111" t="s">
        <v>108</v>
      </c>
      <c r="J420">
        <v>22800</v>
      </c>
      <c r="L420">
        <v>20800</v>
      </c>
      <c r="M420">
        <v>18450</v>
      </c>
      <c r="O420">
        <v>16300</v>
      </c>
    </row>
    <row r="421" spans="1:15" x14ac:dyDescent="0.3">
      <c r="A421" s="115">
        <v>46067</v>
      </c>
      <c r="B421" t="s">
        <v>481</v>
      </c>
      <c r="C421" s="11">
        <v>3000</v>
      </c>
      <c r="D421" s="11"/>
      <c r="E421" t="s">
        <v>536</v>
      </c>
      <c r="F421" s="111" t="s">
        <v>108</v>
      </c>
      <c r="J421">
        <v>3200</v>
      </c>
      <c r="L421">
        <v>20000</v>
      </c>
      <c r="M421">
        <v>24600</v>
      </c>
      <c r="O421">
        <v>17300</v>
      </c>
    </row>
    <row r="422" spans="1:15" x14ac:dyDescent="0.3">
      <c r="A422" s="115">
        <v>46067</v>
      </c>
      <c r="B422" t="s">
        <v>258</v>
      </c>
      <c r="C422" s="11">
        <v>2000</v>
      </c>
      <c r="D422" s="11"/>
      <c r="E422" t="s">
        <v>447</v>
      </c>
      <c r="F422" s="111" t="s">
        <v>108</v>
      </c>
      <c r="J422">
        <v>11640</v>
      </c>
      <c r="L422">
        <v>80000</v>
      </c>
      <c r="M422">
        <v>15000</v>
      </c>
      <c r="O422">
        <v>17460</v>
      </c>
    </row>
    <row r="423" spans="1:15" x14ac:dyDescent="0.3">
      <c r="A423" s="115">
        <v>46067</v>
      </c>
      <c r="B423" t="s">
        <v>527</v>
      </c>
      <c r="C423" s="11">
        <v>29000</v>
      </c>
      <c r="D423" s="11"/>
      <c r="E423" t="s">
        <v>528</v>
      </c>
      <c r="F423" s="111" t="s">
        <v>108</v>
      </c>
      <c r="J423">
        <v>17500</v>
      </c>
      <c r="L423">
        <v>30000</v>
      </c>
      <c r="M423">
        <v>12000</v>
      </c>
      <c r="O423">
        <v>18450</v>
      </c>
    </row>
    <row r="424" spans="1:15" x14ac:dyDescent="0.3">
      <c r="A424" s="115">
        <v>46067</v>
      </c>
      <c r="B424" t="s">
        <v>55</v>
      </c>
      <c r="C424" s="11">
        <v>2600</v>
      </c>
      <c r="D424" s="11"/>
      <c r="E424" t="s">
        <v>529</v>
      </c>
      <c r="F424" s="111" t="s">
        <v>108</v>
      </c>
      <c r="J424">
        <v>20800</v>
      </c>
      <c r="L424">
        <v>15600</v>
      </c>
      <c r="M424">
        <v>18300</v>
      </c>
      <c r="O424">
        <v>12800</v>
      </c>
    </row>
    <row r="425" spans="1:15" x14ac:dyDescent="0.3">
      <c r="A425" s="115">
        <v>46067</v>
      </c>
      <c r="B425" t="s">
        <v>55</v>
      </c>
      <c r="C425" s="11">
        <v>2500</v>
      </c>
      <c r="D425" s="11"/>
      <c r="E425" t="s">
        <v>530</v>
      </c>
      <c r="F425" s="111" t="s">
        <v>108</v>
      </c>
      <c r="J425">
        <v>15600</v>
      </c>
      <c r="L425">
        <v>15000</v>
      </c>
      <c r="M425">
        <v>20000</v>
      </c>
      <c r="O425">
        <v>24600</v>
      </c>
    </row>
    <row r="426" spans="1:15" x14ac:dyDescent="0.3">
      <c r="A426" s="115">
        <v>46067</v>
      </c>
      <c r="B426" t="s">
        <v>481</v>
      </c>
      <c r="C426" s="11">
        <v>250</v>
      </c>
      <c r="D426" s="11"/>
      <c r="E426" t="s">
        <v>531</v>
      </c>
      <c r="F426" s="111" t="s">
        <v>108</v>
      </c>
      <c r="J426">
        <v>11000</v>
      </c>
      <c r="L426">
        <v>14300</v>
      </c>
      <c r="M426">
        <v>20000</v>
      </c>
      <c r="O426">
        <v>22800</v>
      </c>
    </row>
    <row r="427" spans="1:15" x14ac:dyDescent="0.3">
      <c r="A427" s="115">
        <v>46067</v>
      </c>
      <c r="B427" t="s">
        <v>254</v>
      </c>
      <c r="C427" s="11"/>
      <c r="D427" s="11">
        <v>100000</v>
      </c>
      <c r="F427" s="111" t="s">
        <v>108</v>
      </c>
      <c r="J427">
        <v>17000</v>
      </c>
      <c r="L427">
        <v>16500</v>
      </c>
      <c r="M427">
        <v>38400</v>
      </c>
      <c r="O427">
        <v>20000</v>
      </c>
    </row>
    <row r="428" spans="1:15" x14ac:dyDescent="0.3">
      <c r="A428" s="115">
        <v>46067</v>
      </c>
      <c r="B428" t="s">
        <v>64</v>
      </c>
      <c r="C428" s="11">
        <v>45000</v>
      </c>
      <c r="D428" s="11"/>
      <c r="E428" t="s">
        <v>532</v>
      </c>
      <c r="F428" s="111" t="s">
        <v>108</v>
      </c>
      <c r="J428">
        <v>10000</v>
      </c>
      <c r="L428">
        <v>17500</v>
      </c>
      <c r="M428">
        <v>12300</v>
      </c>
      <c r="O428">
        <v>18300</v>
      </c>
    </row>
    <row r="429" spans="1:15" x14ac:dyDescent="0.3">
      <c r="A429" s="115">
        <v>46067</v>
      </c>
      <c r="B429" t="s">
        <v>94</v>
      </c>
      <c r="C429" s="11">
        <v>200040</v>
      </c>
      <c r="D429" s="11"/>
      <c r="E429" t="s">
        <v>533</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220</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220</v>
      </c>
      <c r="C433" s="11"/>
      <c r="D433" s="11">
        <v>7250</v>
      </c>
      <c r="E433" t="s">
        <v>113</v>
      </c>
      <c r="F433" s="111" t="s">
        <v>108</v>
      </c>
      <c r="L433">
        <v>7000</v>
      </c>
      <c r="M433">
        <v>20000</v>
      </c>
      <c r="O433">
        <v>5850</v>
      </c>
    </row>
    <row r="434" spans="1:15" x14ac:dyDescent="0.3">
      <c r="A434" s="115">
        <v>46068</v>
      </c>
      <c r="B434" t="s">
        <v>260</v>
      </c>
      <c r="C434" s="11">
        <v>100500</v>
      </c>
      <c r="D434" s="11"/>
      <c r="E434" t="s">
        <v>534</v>
      </c>
      <c r="F434" s="111" t="s">
        <v>108</v>
      </c>
      <c r="L434">
        <v>5332</v>
      </c>
      <c r="O434">
        <v>3300</v>
      </c>
    </row>
    <row r="435" spans="1:15" x14ac:dyDescent="0.3">
      <c r="A435" s="115">
        <v>46068</v>
      </c>
      <c r="B435" t="s">
        <v>94</v>
      </c>
      <c r="C435" s="96">
        <v>54950</v>
      </c>
      <c r="D435" s="96"/>
      <c r="E435" t="s">
        <v>414</v>
      </c>
      <c r="F435" s="111" t="s">
        <v>108</v>
      </c>
      <c r="L435">
        <v>35000</v>
      </c>
      <c r="O435">
        <v>17500</v>
      </c>
    </row>
    <row r="436" spans="1:15" x14ac:dyDescent="0.3">
      <c r="A436" s="115">
        <v>46068</v>
      </c>
      <c r="B436" t="s">
        <v>210</v>
      </c>
      <c r="C436" s="11"/>
      <c r="D436" s="11">
        <v>54940</v>
      </c>
      <c r="E436" t="s">
        <v>535</v>
      </c>
      <c r="F436" s="111" t="s">
        <v>108</v>
      </c>
      <c r="L436">
        <v>11000</v>
      </c>
      <c r="M436">
        <v>17000</v>
      </c>
      <c r="O436">
        <v>17500</v>
      </c>
    </row>
    <row r="437" spans="1:15" x14ac:dyDescent="0.3">
      <c r="A437" s="115">
        <v>46068</v>
      </c>
      <c r="B437" t="s">
        <v>481</v>
      </c>
      <c r="C437" s="11">
        <v>1300</v>
      </c>
      <c r="D437" s="11"/>
      <c r="E437" t="s">
        <v>539</v>
      </c>
      <c r="F437" s="111" t="s">
        <v>108</v>
      </c>
      <c r="L437">
        <v>17460</v>
      </c>
      <c r="M437">
        <v>22000</v>
      </c>
      <c r="O437">
        <v>17500</v>
      </c>
    </row>
    <row r="438" spans="1:15" x14ac:dyDescent="0.3">
      <c r="A438" s="115">
        <v>46068</v>
      </c>
      <c r="B438" t="s">
        <v>54</v>
      </c>
      <c r="C438" s="11">
        <v>600</v>
      </c>
      <c r="D438" s="11"/>
      <c r="E438" t="s">
        <v>540</v>
      </c>
      <c r="F438" s="111" t="s">
        <v>108</v>
      </c>
      <c r="L438">
        <v>11640</v>
      </c>
      <c r="O438">
        <v>16500</v>
      </c>
    </row>
    <row r="439" spans="1:15" x14ac:dyDescent="0.3">
      <c r="A439" s="115">
        <v>46069</v>
      </c>
      <c r="B439" t="s">
        <v>584</v>
      </c>
      <c r="C439" s="11"/>
      <c r="D439" s="11">
        <v>-30000</v>
      </c>
      <c r="E439" t="s">
        <v>541</v>
      </c>
      <c r="F439" s="111" t="s">
        <v>108</v>
      </c>
      <c r="L439">
        <v>10800</v>
      </c>
      <c r="O439">
        <v>14300</v>
      </c>
    </row>
    <row r="440" spans="1:15" x14ac:dyDescent="0.3">
      <c r="A440" s="115">
        <v>46069</v>
      </c>
      <c r="B440" t="s">
        <v>210</v>
      </c>
      <c r="C440" s="11"/>
      <c r="D440" s="11">
        <v>30000</v>
      </c>
      <c r="E440" t="s">
        <v>541</v>
      </c>
      <c r="F440" s="111" t="s">
        <v>108</v>
      </c>
      <c r="L440">
        <v>17000</v>
      </c>
      <c r="O440">
        <v>15000</v>
      </c>
    </row>
    <row r="441" spans="1:15" x14ac:dyDescent="0.3">
      <c r="A441" s="115">
        <v>46069</v>
      </c>
      <c r="B441" t="s">
        <v>210</v>
      </c>
      <c r="C441" s="11">
        <v>680</v>
      </c>
      <c r="D441" s="11"/>
      <c r="E441" t="s">
        <v>542</v>
      </c>
      <c r="F441" s="111" t="s">
        <v>108</v>
      </c>
      <c r="O441">
        <v>22650</v>
      </c>
    </row>
    <row r="442" spans="1:15" x14ac:dyDescent="0.3">
      <c r="A442" s="115">
        <v>46069</v>
      </c>
      <c r="B442" t="s">
        <v>260</v>
      </c>
      <c r="C442" s="11">
        <v>34000</v>
      </c>
      <c r="D442" s="11"/>
      <c r="E442" t="s">
        <v>414</v>
      </c>
      <c r="F442" s="111" t="s">
        <v>108</v>
      </c>
      <c r="O442">
        <v>20000</v>
      </c>
    </row>
    <row r="443" spans="1:15" x14ac:dyDescent="0.3">
      <c r="A443" s="115">
        <v>46069</v>
      </c>
      <c r="B443" t="s">
        <v>210</v>
      </c>
      <c r="C443" s="11"/>
      <c r="D443" s="11">
        <v>34000</v>
      </c>
      <c r="E443" t="s">
        <v>543</v>
      </c>
      <c r="F443" s="111" t="s">
        <v>108</v>
      </c>
      <c r="O443">
        <v>15600</v>
      </c>
    </row>
    <row r="444" spans="1:15" x14ac:dyDescent="0.3">
      <c r="A444" s="115">
        <v>46069</v>
      </c>
      <c r="B444" t="s">
        <v>527</v>
      </c>
      <c r="C444" s="11">
        <v>52000</v>
      </c>
      <c r="D444" s="11"/>
      <c r="E444" t="s">
        <v>544</v>
      </c>
      <c r="F444" s="111" t="s">
        <v>108</v>
      </c>
      <c r="O444">
        <v>15000</v>
      </c>
    </row>
    <row r="445" spans="1:15" x14ac:dyDescent="0.3">
      <c r="A445" s="115">
        <v>46069</v>
      </c>
      <c r="B445" t="s">
        <v>210</v>
      </c>
      <c r="C445" s="96"/>
      <c r="D445" s="96">
        <v>52000</v>
      </c>
      <c r="E445" t="s">
        <v>545</v>
      </c>
      <c r="F445" s="111" t="s">
        <v>108</v>
      </c>
      <c r="O445">
        <v>400</v>
      </c>
    </row>
    <row r="446" spans="1:15" x14ac:dyDescent="0.3">
      <c r="A446" s="115">
        <v>46069</v>
      </c>
      <c r="B446" t="s">
        <v>55</v>
      </c>
      <c r="C446" s="11">
        <v>3580</v>
      </c>
      <c r="D446" s="11"/>
      <c r="E446" t="s">
        <v>546</v>
      </c>
      <c r="F446" s="111" t="s">
        <v>108</v>
      </c>
      <c r="O446">
        <v>20000</v>
      </c>
    </row>
    <row r="447" spans="1:15" x14ac:dyDescent="0.3">
      <c r="A447" s="115">
        <v>46069</v>
      </c>
      <c r="B447" t="s">
        <v>210</v>
      </c>
      <c r="C447" s="11"/>
      <c r="D447" s="11">
        <v>3580</v>
      </c>
      <c r="E447" t="s">
        <v>547</v>
      </c>
      <c r="F447" s="111" t="s">
        <v>108</v>
      </c>
      <c r="O447">
        <v>30000</v>
      </c>
    </row>
    <row r="448" spans="1:15" x14ac:dyDescent="0.3">
      <c r="A448" s="115">
        <v>46069</v>
      </c>
      <c r="B448" t="s">
        <v>210</v>
      </c>
      <c r="C448" s="11"/>
      <c r="D448" s="11">
        <v>10000</v>
      </c>
      <c r="E448" t="s">
        <v>109</v>
      </c>
      <c r="F448" s="111" t="s">
        <v>108</v>
      </c>
      <c r="O448">
        <v>8350</v>
      </c>
    </row>
    <row r="449" spans="1:16" x14ac:dyDescent="0.3">
      <c r="A449" s="115">
        <v>46069</v>
      </c>
      <c r="B449" t="s">
        <v>258</v>
      </c>
      <c r="C449" s="11">
        <v>1000</v>
      </c>
      <c r="D449" s="11"/>
      <c r="E449" t="s">
        <v>447</v>
      </c>
      <c r="F449" s="111" t="s">
        <v>108</v>
      </c>
      <c r="O449">
        <v>9850</v>
      </c>
      <c r="P449">
        <v>17000</v>
      </c>
    </row>
    <row r="450" spans="1:16" x14ac:dyDescent="0.3">
      <c r="A450" s="115">
        <v>46069</v>
      </c>
      <c r="B450" t="s">
        <v>169</v>
      </c>
      <c r="C450" s="11">
        <v>2000</v>
      </c>
      <c r="D450" s="11"/>
      <c r="E450" t="s">
        <v>447</v>
      </c>
      <c r="F450" s="111" t="s">
        <v>108</v>
      </c>
      <c r="O450">
        <v>80000</v>
      </c>
    </row>
    <row r="451" spans="1:16" x14ac:dyDescent="0.3">
      <c r="A451" s="115">
        <v>46069</v>
      </c>
      <c r="B451" t="s">
        <v>260</v>
      </c>
      <c r="C451" s="11">
        <v>2000</v>
      </c>
      <c r="D451" s="11"/>
      <c r="E451" t="s">
        <v>447</v>
      </c>
      <c r="F451" s="111" t="s">
        <v>108</v>
      </c>
      <c r="O451">
        <v>20000</v>
      </c>
    </row>
    <row r="452" spans="1:16" x14ac:dyDescent="0.3">
      <c r="A452" s="115">
        <v>46069</v>
      </c>
      <c r="B452" t="s">
        <v>54</v>
      </c>
      <c r="C452" s="96">
        <v>200</v>
      </c>
      <c r="D452" s="96"/>
      <c r="E452" t="s">
        <v>271</v>
      </c>
      <c r="F452" s="111" t="s">
        <v>108</v>
      </c>
      <c r="O452">
        <v>20800</v>
      </c>
    </row>
    <row r="453" spans="1:16" x14ac:dyDescent="0.3">
      <c r="A453" s="115">
        <v>46069</v>
      </c>
      <c r="B453" t="s">
        <v>527</v>
      </c>
      <c r="C453" s="11">
        <v>3600</v>
      </c>
      <c r="D453" s="11"/>
      <c r="E453" t="s">
        <v>500</v>
      </c>
      <c r="F453" s="111" t="s">
        <v>108</v>
      </c>
      <c r="O453">
        <v>46600</v>
      </c>
    </row>
    <row r="454" spans="1:16" x14ac:dyDescent="0.3">
      <c r="A454" s="115">
        <v>46069</v>
      </c>
      <c r="B454" t="s">
        <v>55</v>
      </c>
      <c r="C454" s="11">
        <v>1400</v>
      </c>
      <c r="D454" s="11"/>
      <c r="E454" t="s">
        <v>548</v>
      </c>
      <c r="F454" s="111" t="s">
        <v>108</v>
      </c>
      <c r="L454" s="19">
        <v>48600</v>
      </c>
      <c r="N454" s="19">
        <v>27400</v>
      </c>
      <c r="O454">
        <v>29600</v>
      </c>
    </row>
    <row r="455" spans="1:16" x14ac:dyDescent="0.3">
      <c r="A455" s="115">
        <v>46069</v>
      </c>
      <c r="B455" t="s">
        <v>248</v>
      </c>
      <c r="C455" s="11">
        <v>1000</v>
      </c>
      <c r="D455" s="11"/>
      <c r="E455" t="s">
        <v>549</v>
      </c>
      <c r="F455" s="111" t="s">
        <v>108</v>
      </c>
      <c r="L455">
        <v>49200</v>
      </c>
      <c r="N455">
        <v>3400</v>
      </c>
      <c r="O455">
        <v>22800</v>
      </c>
    </row>
    <row r="456" spans="1:16" x14ac:dyDescent="0.3">
      <c r="A456" s="115">
        <v>46069</v>
      </c>
      <c r="B456" t="s">
        <v>298</v>
      </c>
      <c r="C456" s="11"/>
      <c r="D456" s="11">
        <v>150000</v>
      </c>
      <c r="E456" t="s">
        <v>550</v>
      </c>
      <c r="F456" s="111" t="s">
        <v>108</v>
      </c>
      <c r="L456">
        <v>52000</v>
      </c>
      <c r="N456" s="19">
        <v>6200</v>
      </c>
      <c r="O456">
        <v>3200</v>
      </c>
    </row>
    <row r="457" spans="1:16" x14ac:dyDescent="0.3">
      <c r="A457" s="115">
        <v>46069</v>
      </c>
      <c r="B457" t="s">
        <v>258</v>
      </c>
      <c r="C457" s="11">
        <v>250000</v>
      </c>
      <c r="D457" s="11"/>
      <c r="E457" t="s">
        <v>551</v>
      </c>
      <c r="F457" s="111" t="s">
        <v>108</v>
      </c>
      <c r="L457">
        <v>42800</v>
      </c>
      <c r="N457">
        <v>3400</v>
      </c>
      <c r="O457">
        <v>48400</v>
      </c>
    </row>
    <row r="458" spans="1:16" x14ac:dyDescent="0.3">
      <c r="A458" s="115">
        <v>46069</v>
      </c>
      <c r="B458" t="s">
        <v>9</v>
      </c>
      <c r="C458" s="11"/>
      <c r="D458" s="11">
        <v>150000</v>
      </c>
      <c r="E458" t="s">
        <v>109</v>
      </c>
      <c r="F458" s="111" t="s">
        <v>108</v>
      </c>
      <c r="L458">
        <v>25200</v>
      </c>
      <c r="N458" s="19">
        <v>25200</v>
      </c>
      <c r="O458">
        <v>5330</v>
      </c>
    </row>
    <row r="459" spans="1:16" x14ac:dyDescent="0.3">
      <c r="A459" s="115">
        <v>46069</v>
      </c>
      <c r="B459" t="s">
        <v>335</v>
      </c>
      <c r="C459" s="11"/>
      <c r="D459" s="11">
        <v>150000</v>
      </c>
      <c r="E459" t="s">
        <v>109</v>
      </c>
      <c r="F459" s="111" t="s">
        <v>108</v>
      </c>
      <c r="L459">
        <v>37600</v>
      </c>
      <c r="N459" s="19">
        <v>19500</v>
      </c>
      <c r="O459">
        <v>17000</v>
      </c>
    </row>
    <row r="460" spans="1:16" x14ac:dyDescent="0.3">
      <c r="A460" s="115">
        <v>46069</v>
      </c>
      <c r="B460" t="s">
        <v>169</v>
      </c>
      <c r="C460" s="11">
        <v>200046</v>
      </c>
      <c r="D460" s="11"/>
      <c r="E460" t="s">
        <v>552</v>
      </c>
      <c r="F460" s="111" t="s">
        <v>108</v>
      </c>
      <c r="L460">
        <v>23000</v>
      </c>
      <c r="N460" s="19">
        <v>20300</v>
      </c>
    </row>
    <row r="461" spans="1:16" x14ac:dyDescent="0.3">
      <c r="A461" s="115">
        <v>46069</v>
      </c>
      <c r="B461" t="s">
        <v>453</v>
      </c>
      <c r="C461" s="11"/>
      <c r="D461" s="11">
        <v>276500</v>
      </c>
      <c r="E461" t="s">
        <v>109</v>
      </c>
      <c r="F461" s="111" t="s">
        <v>108</v>
      </c>
      <c r="L461">
        <v>6200</v>
      </c>
      <c r="N461" s="19">
        <v>21000</v>
      </c>
    </row>
    <row r="462" spans="1:16" x14ac:dyDescent="0.3">
      <c r="A462" s="115">
        <v>46069</v>
      </c>
      <c r="B462" t="s">
        <v>438</v>
      </c>
      <c r="C462" s="11"/>
      <c r="D462" s="11">
        <v>136000</v>
      </c>
      <c r="E462" t="s">
        <v>109</v>
      </c>
      <c r="F462" s="111" t="s">
        <v>108</v>
      </c>
      <c r="L462">
        <v>3400</v>
      </c>
      <c r="N462" s="19">
        <v>40000</v>
      </c>
    </row>
    <row r="463" spans="1:16" x14ac:dyDescent="0.3">
      <c r="A463" s="115">
        <v>46069</v>
      </c>
      <c r="B463" t="s">
        <v>220</v>
      </c>
      <c r="C463" s="11"/>
      <c r="D463" s="11"/>
      <c r="E463" t="s">
        <v>553</v>
      </c>
      <c r="F463" s="111" t="s">
        <v>108</v>
      </c>
      <c r="L463">
        <v>19800</v>
      </c>
      <c r="N463" s="19">
        <v>3000</v>
      </c>
    </row>
    <row r="464" spans="1:16" x14ac:dyDescent="0.3">
      <c r="A464" s="115">
        <v>46070</v>
      </c>
      <c r="B464" t="s">
        <v>225</v>
      </c>
      <c r="C464" s="11">
        <v>50000</v>
      </c>
      <c r="D464" s="11"/>
      <c r="E464" t="s">
        <v>503</v>
      </c>
      <c r="F464" s="111" t="s">
        <v>108</v>
      </c>
      <c r="L464">
        <v>3400</v>
      </c>
      <c r="N464" s="19">
        <v>20600</v>
      </c>
    </row>
    <row r="465" spans="1:14" x14ac:dyDescent="0.3">
      <c r="A465" s="115">
        <v>46070</v>
      </c>
      <c r="B465" t="s">
        <v>260</v>
      </c>
      <c r="C465" s="11">
        <v>136000</v>
      </c>
      <c r="D465" s="11"/>
      <c r="E465" t="s">
        <v>554</v>
      </c>
      <c r="F465" s="111" t="s">
        <v>108</v>
      </c>
      <c r="L465">
        <v>31150</v>
      </c>
      <c r="N465" s="19">
        <v>12750</v>
      </c>
    </row>
    <row r="466" spans="1:14" x14ac:dyDescent="0.3">
      <c r="A466" s="115">
        <v>46070</v>
      </c>
      <c r="B466" t="s">
        <v>54</v>
      </c>
      <c r="C466" s="11">
        <v>2000</v>
      </c>
      <c r="D466" s="11"/>
      <c r="E466" t="s">
        <v>555</v>
      </c>
      <c r="F466" s="111" t="s">
        <v>108</v>
      </c>
      <c r="L466">
        <v>12750</v>
      </c>
      <c r="N466" s="19">
        <v>14400</v>
      </c>
    </row>
    <row r="467" spans="1:14" x14ac:dyDescent="0.3">
      <c r="A467" s="115">
        <v>46070</v>
      </c>
      <c r="B467" t="s">
        <v>94</v>
      </c>
      <c r="C467" s="11">
        <v>41000</v>
      </c>
      <c r="D467" s="11"/>
      <c r="E467" t="s">
        <v>414</v>
      </c>
      <c r="F467" s="111" t="s">
        <v>108</v>
      </c>
      <c r="L467">
        <v>27400</v>
      </c>
      <c r="N467" s="19">
        <v>9000</v>
      </c>
    </row>
    <row r="468" spans="1:14" x14ac:dyDescent="0.3">
      <c r="A468" s="115">
        <v>46070</v>
      </c>
      <c r="B468" t="s">
        <v>225</v>
      </c>
      <c r="C468" s="11">
        <v>10000</v>
      </c>
      <c r="D468" s="11"/>
      <c r="E468" t="s">
        <v>556</v>
      </c>
      <c r="F468" s="111" t="s">
        <v>108</v>
      </c>
      <c r="L468">
        <v>15700</v>
      </c>
      <c r="N468" s="19">
        <v>17400</v>
      </c>
    </row>
    <row r="469" spans="1:14" x14ac:dyDescent="0.3">
      <c r="A469" s="115">
        <v>46070</v>
      </c>
      <c r="B469" t="s">
        <v>149</v>
      </c>
      <c r="C469" s="11">
        <v>20380</v>
      </c>
      <c r="D469" s="11"/>
      <c r="E469" t="s">
        <v>214</v>
      </c>
      <c r="F469" s="111" t="s">
        <v>108</v>
      </c>
      <c r="L469">
        <v>12550</v>
      </c>
      <c r="N469" s="19">
        <v>19782</v>
      </c>
    </row>
    <row r="470" spans="1:14" x14ac:dyDescent="0.3">
      <c r="A470" s="115">
        <v>46070</v>
      </c>
      <c r="B470" t="s">
        <v>193</v>
      </c>
      <c r="C470" s="11">
        <v>21750</v>
      </c>
      <c r="D470" s="11"/>
      <c r="E470" t="s">
        <v>522</v>
      </c>
      <c r="F470" s="111" t="s">
        <v>108</v>
      </c>
      <c r="L470">
        <v>14800</v>
      </c>
      <c r="N470" s="19">
        <v>23000</v>
      </c>
    </row>
    <row r="471" spans="1:14" x14ac:dyDescent="0.3">
      <c r="A471" s="115">
        <v>46070</v>
      </c>
      <c r="B471" t="s">
        <v>335</v>
      </c>
      <c r="C471" s="11"/>
      <c r="D471" s="11">
        <v>150000</v>
      </c>
      <c r="E471" t="s">
        <v>558</v>
      </c>
      <c r="F471" s="111" t="s">
        <v>108</v>
      </c>
      <c r="L471">
        <v>14350</v>
      </c>
      <c r="N471" s="19">
        <v>15700</v>
      </c>
    </row>
    <row r="472" spans="1:14" x14ac:dyDescent="0.3">
      <c r="A472" s="115">
        <v>46070</v>
      </c>
      <c r="B472" t="s">
        <v>258</v>
      </c>
      <c r="C472" s="11">
        <v>200775</v>
      </c>
      <c r="D472" s="11"/>
      <c r="E472" t="s">
        <v>557</v>
      </c>
      <c r="F472" s="111" t="s">
        <v>108</v>
      </c>
      <c r="L472">
        <v>40000</v>
      </c>
      <c r="N472" s="19">
        <v>14800</v>
      </c>
    </row>
    <row r="473" spans="1:14" x14ac:dyDescent="0.3">
      <c r="A473" s="115">
        <v>46070</v>
      </c>
      <c r="B473" t="s">
        <v>527</v>
      </c>
      <c r="C473" s="11">
        <v>5000</v>
      </c>
      <c r="D473" s="11"/>
      <c r="E473" t="s">
        <v>500</v>
      </c>
      <c r="F473" s="111" t="s">
        <v>108</v>
      </c>
      <c r="L473">
        <v>17400</v>
      </c>
      <c r="N473" s="19">
        <v>12550</v>
      </c>
    </row>
    <row r="474" spans="1:14" x14ac:dyDescent="0.3">
      <c r="A474" s="115">
        <v>46070</v>
      </c>
      <c r="B474" t="s">
        <v>54</v>
      </c>
      <c r="C474" s="11">
        <v>200</v>
      </c>
      <c r="D474" s="11"/>
      <c r="E474" t="s">
        <v>247</v>
      </c>
      <c r="F474" s="111" t="s">
        <v>108</v>
      </c>
      <c r="L474">
        <v>19500</v>
      </c>
      <c r="N474" s="19">
        <v>31150</v>
      </c>
    </row>
    <row r="475" spans="1:14" x14ac:dyDescent="0.3">
      <c r="A475" s="115">
        <v>46070</v>
      </c>
      <c r="B475" t="s">
        <v>55</v>
      </c>
      <c r="C475" s="11">
        <v>2870</v>
      </c>
      <c r="D475" s="11"/>
      <c r="E475" t="s">
        <v>559</v>
      </c>
      <c r="F475" s="111" t="s">
        <v>108</v>
      </c>
      <c r="L475">
        <v>3000</v>
      </c>
      <c r="N475" s="19">
        <v>27500</v>
      </c>
    </row>
    <row r="476" spans="1:14" x14ac:dyDescent="0.3">
      <c r="A476" s="115">
        <v>46071</v>
      </c>
      <c r="B476" t="s">
        <v>54</v>
      </c>
      <c r="C476" s="11">
        <v>3000</v>
      </c>
      <c r="D476" s="11"/>
      <c r="E476" t="s">
        <v>560</v>
      </c>
      <c r="F476" s="111" t="s">
        <v>108</v>
      </c>
      <c r="L476">
        <v>1000</v>
      </c>
      <c r="N476" s="19">
        <v>20000</v>
      </c>
    </row>
    <row r="477" spans="1:14" x14ac:dyDescent="0.3">
      <c r="A477" s="115">
        <v>46071</v>
      </c>
      <c r="B477" t="s">
        <v>54</v>
      </c>
      <c r="C477" s="11">
        <v>2800</v>
      </c>
      <c r="D477" s="11"/>
      <c r="E477" t="s">
        <v>561</v>
      </c>
      <c r="F477" s="111" t="s">
        <v>108</v>
      </c>
      <c r="L477">
        <v>9000</v>
      </c>
      <c r="N477" s="19">
        <v>52000</v>
      </c>
    </row>
    <row r="478" spans="1:14" x14ac:dyDescent="0.3">
      <c r="A478" s="115">
        <v>46071</v>
      </c>
      <c r="B478" t="s">
        <v>527</v>
      </c>
      <c r="C478" s="11">
        <v>4500</v>
      </c>
      <c r="D478" s="11"/>
      <c r="E478" t="s">
        <v>500</v>
      </c>
      <c r="F478" s="111" t="s">
        <v>108</v>
      </c>
      <c r="L478">
        <v>21000</v>
      </c>
      <c r="N478" s="19">
        <v>49200</v>
      </c>
    </row>
    <row r="479" spans="1:14" x14ac:dyDescent="0.3">
      <c r="A479" s="115">
        <v>46071</v>
      </c>
      <c r="B479" t="s">
        <v>220</v>
      </c>
      <c r="C479" s="11"/>
      <c r="D479" s="11">
        <v>25000</v>
      </c>
      <c r="E479" t="s">
        <v>562</v>
      </c>
      <c r="F479" s="111" t="s">
        <v>108</v>
      </c>
      <c r="L479">
        <v>20300</v>
      </c>
      <c r="N479" s="19">
        <v>37600</v>
      </c>
    </row>
    <row r="480" spans="1:14" x14ac:dyDescent="0.3">
      <c r="A480" s="115">
        <v>46071</v>
      </c>
      <c r="B480" t="s">
        <v>55</v>
      </c>
      <c r="C480" s="11">
        <v>25000</v>
      </c>
      <c r="D480" s="11"/>
      <c r="E480" t="s">
        <v>562</v>
      </c>
      <c r="F480" s="111" t="s">
        <v>108</v>
      </c>
      <c r="L480">
        <v>27500</v>
      </c>
      <c r="N480" s="19">
        <v>48600</v>
      </c>
    </row>
    <row r="481" spans="1:14" x14ac:dyDescent="0.3">
      <c r="A481" s="115">
        <v>46071</v>
      </c>
      <c r="B481" t="s">
        <v>220</v>
      </c>
      <c r="C481" s="11"/>
      <c r="D481" s="11">
        <v>408000</v>
      </c>
      <c r="E481" t="s">
        <v>563</v>
      </c>
      <c r="F481" s="111" t="s">
        <v>108</v>
      </c>
      <c r="L481">
        <v>20000</v>
      </c>
      <c r="N481" s="19">
        <v>42800</v>
      </c>
    </row>
    <row r="482" spans="1:14" x14ac:dyDescent="0.3">
      <c r="A482" s="115">
        <v>46071</v>
      </c>
      <c r="B482" t="s">
        <v>189</v>
      </c>
      <c r="C482" s="96">
        <v>351000</v>
      </c>
      <c r="D482" s="96"/>
      <c r="E482" t="s">
        <v>564</v>
      </c>
      <c r="F482" s="111" t="s">
        <v>108</v>
      </c>
      <c r="L482">
        <v>20600</v>
      </c>
    </row>
    <row r="483" spans="1:14" x14ac:dyDescent="0.3">
      <c r="A483" s="115">
        <v>46071</v>
      </c>
      <c r="B483" t="s">
        <v>196</v>
      </c>
      <c r="C483" s="11">
        <v>10000</v>
      </c>
      <c r="D483" s="11"/>
      <c r="E483" t="s">
        <v>565</v>
      </c>
      <c r="F483" s="111" t="s">
        <v>108</v>
      </c>
      <c r="L483">
        <v>3400</v>
      </c>
    </row>
    <row r="484" spans="1:14" x14ac:dyDescent="0.3">
      <c r="A484" s="115">
        <v>46071</v>
      </c>
      <c r="B484" t="s">
        <v>225</v>
      </c>
      <c r="C484" s="11">
        <v>2000</v>
      </c>
      <c r="D484" s="11"/>
      <c r="E484" t="s">
        <v>566</v>
      </c>
      <c r="F484" s="111" t="s">
        <v>108</v>
      </c>
    </row>
    <row r="485" spans="1:14" x14ac:dyDescent="0.3">
      <c r="A485" s="115">
        <v>46071</v>
      </c>
      <c r="B485" t="s">
        <v>260</v>
      </c>
      <c r="C485" s="11">
        <v>100130</v>
      </c>
      <c r="D485" s="11"/>
      <c r="E485" t="s">
        <v>567</v>
      </c>
      <c r="F485" s="111" t="s">
        <v>108</v>
      </c>
    </row>
    <row r="486" spans="1:14" x14ac:dyDescent="0.3">
      <c r="A486" s="115">
        <v>46071</v>
      </c>
      <c r="B486" t="s">
        <v>481</v>
      </c>
      <c r="C486" s="11">
        <v>500</v>
      </c>
      <c r="D486" s="11"/>
      <c r="E486" t="s">
        <v>568</v>
      </c>
      <c r="F486" s="111" t="s">
        <v>108</v>
      </c>
    </row>
    <row r="487" spans="1:14" x14ac:dyDescent="0.3">
      <c r="A487" s="115">
        <v>46071</v>
      </c>
      <c r="B487" t="s">
        <v>54</v>
      </c>
      <c r="C487" s="11">
        <v>200</v>
      </c>
      <c r="D487" s="11"/>
      <c r="E487" t="s">
        <v>247</v>
      </c>
      <c r="F487" s="111" t="s">
        <v>108</v>
      </c>
    </row>
    <row r="488" spans="1:14" x14ac:dyDescent="0.3">
      <c r="A488" s="115">
        <v>46072</v>
      </c>
      <c r="B488" t="s">
        <v>54</v>
      </c>
      <c r="C488" s="11">
        <v>2400</v>
      </c>
      <c r="D488" s="11"/>
      <c r="E488" t="s">
        <v>569</v>
      </c>
      <c r="F488" s="111" t="s">
        <v>108</v>
      </c>
    </row>
    <row r="489" spans="1:14" x14ac:dyDescent="0.3">
      <c r="A489" s="38">
        <v>46072</v>
      </c>
      <c r="B489" t="s">
        <v>210</v>
      </c>
      <c r="C489" s="96">
        <v>1400</v>
      </c>
      <c r="D489" s="96"/>
      <c r="F489" s="111" t="s">
        <v>108</v>
      </c>
    </row>
    <row r="490" spans="1:14" x14ac:dyDescent="0.3">
      <c r="A490" s="115">
        <v>46072</v>
      </c>
      <c r="B490" t="s">
        <v>220</v>
      </c>
      <c r="C490" s="11"/>
      <c r="D490" s="11">
        <v>200000</v>
      </c>
      <c r="E490" t="s">
        <v>570</v>
      </c>
      <c r="F490" s="111" t="s">
        <v>108</v>
      </c>
    </row>
    <row r="491" spans="1:14" x14ac:dyDescent="0.3">
      <c r="A491" s="38">
        <v>46072</v>
      </c>
      <c r="B491" t="s">
        <v>169</v>
      </c>
      <c r="C491" s="11">
        <v>150000</v>
      </c>
      <c r="D491" s="11"/>
      <c r="E491" t="s">
        <v>571</v>
      </c>
      <c r="F491" s="111" t="s">
        <v>108</v>
      </c>
    </row>
    <row r="492" spans="1:14" x14ac:dyDescent="0.3">
      <c r="A492" s="115">
        <v>46072</v>
      </c>
      <c r="B492" t="s">
        <v>94</v>
      </c>
      <c r="C492" s="11">
        <v>35500</v>
      </c>
      <c r="D492" s="11"/>
      <c r="E492" t="s">
        <v>414</v>
      </c>
      <c r="F492" s="111" t="s">
        <v>108</v>
      </c>
    </row>
    <row r="493" spans="1:14" x14ac:dyDescent="0.3">
      <c r="A493" s="38">
        <v>46072</v>
      </c>
      <c r="B493" t="s">
        <v>220</v>
      </c>
      <c r="C493" s="11"/>
      <c r="D493" s="11">
        <v>50000</v>
      </c>
      <c r="E493" t="s">
        <v>572</v>
      </c>
      <c r="F493" s="111" t="s">
        <v>108</v>
      </c>
    </row>
    <row r="494" spans="1:14" x14ac:dyDescent="0.3">
      <c r="A494" s="115">
        <v>46072</v>
      </c>
      <c r="B494" t="s">
        <v>55</v>
      </c>
      <c r="C494" s="11">
        <v>21450</v>
      </c>
      <c r="D494" s="11"/>
      <c r="E494" t="s">
        <v>573</v>
      </c>
      <c r="F494" s="111" t="s">
        <v>108</v>
      </c>
    </row>
    <row r="495" spans="1:14" x14ac:dyDescent="0.3">
      <c r="A495" s="38">
        <v>46072</v>
      </c>
      <c r="B495" t="s">
        <v>55</v>
      </c>
      <c r="C495" s="11">
        <v>5800</v>
      </c>
      <c r="D495" s="11"/>
      <c r="E495" t="s">
        <v>574</v>
      </c>
      <c r="F495" s="111" t="s">
        <v>108</v>
      </c>
    </row>
    <row r="496" spans="1:14" x14ac:dyDescent="0.3">
      <c r="A496" s="115">
        <v>46072</v>
      </c>
      <c r="B496" t="s">
        <v>55</v>
      </c>
      <c r="C496" s="11">
        <v>5530</v>
      </c>
      <c r="D496" s="11"/>
      <c r="E496" t="s">
        <v>575</v>
      </c>
      <c r="F496" s="111" t="s">
        <v>108</v>
      </c>
    </row>
    <row r="497" spans="1:7" x14ac:dyDescent="0.3">
      <c r="A497" s="38">
        <v>46072</v>
      </c>
      <c r="B497" t="s">
        <v>220</v>
      </c>
      <c r="C497" s="11"/>
      <c r="D497" s="11">
        <v>68000</v>
      </c>
      <c r="E497" t="s">
        <v>576</v>
      </c>
      <c r="F497" s="111" t="s">
        <v>108</v>
      </c>
    </row>
    <row r="498" spans="1:7" x14ac:dyDescent="0.3">
      <c r="A498" s="115">
        <v>46072</v>
      </c>
      <c r="B498" t="s">
        <v>577</v>
      </c>
      <c r="C498" s="11">
        <v>28750</v>
      </c>
      <c r="D498" s="11"/>
      <c r="E498" t="s">
        <v>578</v>
      </c>
      <c r="F498" s="111" t="s">
        <v>108</v>
      </c>
    </row>
    <row r="499" spans="1:7" x14ac:dyDescent="0.3">
      <c r="A499" s="38">
        <v>46072</v>
      </c>
      <c r="B499" t="s">
        <v>55</v>
      </c>
      <c r="C499" s="11">
        <v>1000</v>
      </c>
      <c r="D499" s="11"/>
      <c r="E499" t="s">
        <v>579</v>
      </c>
      <c r="F499" s="111" t="s">
        <v>108</v>
      </c>
    </row>
    <row r="500" spans="1:7" x14ac:dyDescent="0.3">
      <c r="A500" s="115">
        <v>46072</v>
      </c>
      <c r="B500" t="s">
        <v>580</v>
      </c>
      <c r="C500" s="11">
        <v>72500</v>
      </c>
      <c r="D500" s="11"/>
      <c r="E500" t="s">
        <v>64</v>
      </c>
      <c r="F500" s="111" t="s">
        <v>108</v>
      </c>
    </row>
    <row r="501" spans="1:7" x14ac:dyDescent="0.3">
      <c r="A501" s="38">
        <v>46072</v>
      </c>
      <c r="B501" t="s">
        <v>220</v>
      </c>
      <c r="C501" s="11"/>
      <c r="D501" s="11">
        <v>50000</v>
      </c>
      <c r="E501" t="s">
        <v>581</v>
      </c>
      <c r="F501" s="111" t="s">
        <v>108</v>
      </c>
    </row>
    <row r="502" spans="1:7" x14ac:dyDescent="0.3">
      <c r="A502" s="143">
        <v>46076</v>
      </c>
      <c r="B502" s="144" t="s">
        <v>220</v>
      </c>
      <c r="C502" s="96"/>
      <c r="D502" s="96">
        <v>6825308</v>
      </c>
      <c r="E502" s="144"/>
      <c r="F502" s="111" t="s">
        <v>108</v>
      </c>
      <c r="G502" s="144"/>
    </row>
    <row r="503" spans="1:7" x14ac:dyDescent="0.3">
      <c r="A503" s="142">
        <v>46076</v>
      </c>
      <c r="B503" t="s">
        <v>210</v>
      </c>
      <c r="C503" s="11">
        <v>658663</v>
      </c>
      <c r="D503" s="11"/>
      <c r="F503" s="111" t="s">
        <v>108</v>
      </c>
    </row>
    <row r="504" spans="1:7" x14ac:dyDescent="0.3">
      <c r="A504" s="142">
        <v>46076</v>
      </c>
      <c r="B504" t="s">
        <v>222</v>
      </c>
      <c r="C504" s="11"/>
      <c r="D504" s="11">
        <v>783072</v>
      </c>
      <c r="F504" s="111" t="s">
        <v>108</v>
      </c>
    </row>
    <row r="505" spans="1:7" x14ac:dyDescent="0.3">
      <c r="A505" s="143"/>
      <c r="B505" s="144"/>
      <c r="C505" s="96"/>
      <c r="D505" s="96"/>
      <c r="E505" s="144"/>
      <c r="F505" s="145"/>
      <c r="G505" s="144"/>
    </row>
    <row r="506" spans="1:7" x14ac:dyDescent="0.3">
      <c r="A506" s="142"/>
      <c r="C506" s="11"/>
      <c r="D506" s="11"/>
      <c r="F506" s="111" t="s">
        <v>108</v>
      </c>
    </row>
    <row r="507" spans="1:7" x14ac:dyDescent="0.3">
      <c r="A507" s="142"/>
      <c r="C507" s="11"/>
      <c r="D507" s="11"/>
      <c r="F507" s="111" t="s">
        <v>108</v>
      </c>
    </row>
    <row r="508" spans="1:7" x14ac:dyDescent="0.3">
      <c r="A508" s="38"/>
      <c r="C508" s="14">
        <f>SUBTOTAL(109,Table14[Debit])</f>
        <v>24260975.203986831</v>
      </c>
      <c r="D508" s="14">
        <f>SUBTOTAL(109,Table14[Credit])</f>
        <v>31270241.203986831</v>
      </c>
      <c r="F508" s="54">
        <f>(Table14[[#Totals],[Credit]]-Table14[[#Totals],[Debit]])</f>
        <v>7009266</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45" zoomScale="107" zoomScaleNormal="210" workbookViewId="0">
      <selection activeCell="C41" sqref="C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192</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378</v>
      </c>
    </row>
    <row r="9" spans="1:14" x14ac:dyDescent="0.3">
      <c r="A9" s="1">
        <v>46053</v>
      </c>
      <c r="B9" t="s">
        <v>64</v>
      </c>
      <c r="E9">
        <v>86250</v>
      </c>
      <c r="F9" t="s">
        <v>115</v>
      </c>
      <c r="G9">
        <f>SUMIFS(Table14[Debit], Table14[Date], Table8[[#This Row],[Date]], Table14[Party], Table8[[#This Row],[Party]])</f>
        <v>0</v>
      </c>
      <c r="H9">
        <f>Table8[[#This Row],[Price]]-Table8[[#This Row],[Paid]]</f>
        <v>86250</v>
      </c>
      <c r="I9" t="s">
        <v>379</v>
      </c>
      <c r="K9" s="3" t="s">
        <v>6</v>
      </c>
      <c r="L9" t="s">
        <v>127</v>
      </c>
      <c r="M9" t="s">
        <v>128</v>
      </c>
    </row>
    <row r="10" spans="1:14" x14ac:dyDescent="0.3">
      <c r="A10" s="1">
        <v>46056</v>
      </c>
      <c r="B10" t="s">
        <v>64</v>
      </c>
      <c r="F10" t="s">
        <v>380</v>
      </c>
      <c r="G10">
        <f>SUMIFS(Table14[Debit], Table14[Date], Table8[[#This Row],[Date]], Table14[Party], Table8[[#This Row],[Party]])</f>
        <v>0</v>
      </c>
      <c r="H10">
        <f>Table8[[#This Row],[Price]]-Table8[[#This Row],[Paid]]</f>
        <v>0</v>
      </c>
      <c r="K10" s="26">
        <v>46008</v>
      </c>
      <c r="M10">
        <v>0</v>
      </c>
    </row>
    <row r="11" spans="1:14" x14ac:dyDescent="0.3">
      <c r="A11" s="1">
        <v>46058</v>
      </c>
      <c r="F11" t="s">
        <v>420</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410</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432</v>
      </c>
      <c r="G13">
        <f>SUMIFS(Table14[Debit], Table14[Date], Table8[[#This Row],[Date]], Table14[Party], Table8[[#This Row],[Party]])</f>
        <v>122500</v>
      </c>
      <c r="H13">
        <f>Table8[[#This Row],[Price]]-Table8[[#This Row],[Paid]]</f>
        <v>0</v>
      </c>
      <c r="K13" s="26">
        <v>46051</v>
      </c>
      <c r="L13">
        <v>423000</v>
      </c>
      <c r="M13">
        <v>423000</v>
      </c>
    </row>
    <row r="14" spans="1:14" x14ac:dyDescent="0.3">
      <c r="A14" s="134">
        <v>46053</v>
      </c>
      <c r="B14" t="s">
        <v>64</v>
      </c>
      <c r="E14">
        <v>28750</v>
      </c>
      <c r="F14" t="s">
        <v>449</v>
      </c>
      <c r="G14">
        <f>SUMIFS(Table14[Debit], Table14[Date], Table8[[#This Row],[Date]], Table14[Party], Table8[[#This Row],[Party]])</f>
        <v>28750</v>
      </c>
      <c r="H14">
        <f>Table8[[#This Row],[Price]]-Table8[[#This Row],[Paid]]</f>
        <v>0</v>
      </c>
      <c r="K14" s="26">
        <v>46053</v>
      </c>
      <c r="L14">
        <v>115000</v>
      </c>
      <c r="M14">
        <v>86250</v>
      </c>
    </row>
    <row r="15" spans="1:14" x14ac:dyDescent="0.3">
      <c r="A15" s="134">
        <v>46067</v>
      </c>
      <c r="B15" t="s">
        <v>537</v>
      </c>
      <c r="E15">
        <v>24650</v>
      </c>
      <c r="F15" t="s">
        <v>176</v>
      </c>
      <c r="G15">
        <f>SUMIFS(Table14[Debit], Table14[Date], Table8[[#This Row],[Date]], Table14[Party], Table8[[#This Row],[Party]])</f>
        <v>24650</v>
      </c>
      <c r="H15">
        <f>Table8[[#This Row],[Price]]-Table8[[#This Row],[Paid]]</f>
        <v>0</v>
      </c>
      <c r="K15" s="26">
        <v>46056</v>
      </c>
      <c r="M15">
        <v>0</v>
      </c>
    </row>
    <row r="16" spans="1:14" x14ac:dyDescent="0.3">
      <c r="A16" s="134">
        <v>46067</v>
      </c>
      <c r="B16" t="s">
        <v>538</v>
      </c>
      <c r="E16">
        <v>155000</v>
      </c>
      <c r="F16" t="s">
        <v>64</v>
      </c>
      <c r="G16">
        <f>SUMIFS(Table14[Debit], Table14[Date], Table8[[#This Row],[Date]], Table14[Party], Table8[[#This Row],[Party]])</f>
        <v>155000</v>
      </c>
      <c r="H16">
        <f>Table8[[#This Row],[Price]]-Table8[[#This Row],[Paid]]</f>
        <v>0</v>
      </c>
      <c r="K16" s="4" t="s">
        <v>103</v>
      </c>
      <c r="M16">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A18" s="134">
        <v>46070</v>
      </c>
      <c r="B18" t="s">
        <v>537</v>
      </c>
      <c r="E18">
        <v>21750</v>
      </c>
      <c r="F18" t="s">
        <v>176</v>
      </c>
      <c r="G18">
        <f>SUMIFS(Table14[Debit], Table14[Date], Table8[[#This Row],[Date]], Table14[Party], Table8[[#This Row],[Party]])</f>
        <v>21750</v>
      </c>
      <c r="H18">
        <f>Table8[[#This Row],[Price]]-Table8[[#This Row],[Paid]]</f>
        <v>0</v>
      </c>
      <c r="K18" s="26">
        <v>46060</v>
      </c>
      <c r="L18">
        <v>15000</v>
      </c>
      <c r="M18">
        <v>0</v>
      </c>
    </row>
    <row r="19" spans="1:13" x14ac:dyDescent="0.3">
      <c r="A19" s="134">
        <v>46072</v>
      </c>
      <c r="B19" t="s">
        <v>64</v>
      </c>
      <c r="E19">
        <f>SUMIFS(Table14[Debit], Table14[Date], Table8[[#This Row],[Date]], Table14[Party], Table8[[#This Row],[Party]])</f>
        <v>72500</v>
      </c>
      <c r="F19" t="s">
        <v>580</v>
      </c>
      <c r="G19">
        <f>SUMIFS(Table14[Debit], Table14[Date], Table8[[#This Row],[Date]], Table14[Party], Table8[[#This Row],[Party]])</f>
        <v>72500</v>
      </c>
      <c r="H19">
        <f>Table8[[#This Row],[Price]]-Table8[[#This Row],[Paid]]</f>
        <v>0</v>
      </c>
      <c r="K19" s="26">
        <v>46062</v>
      </c>
      <c r="L19">
        <v>122500</v>
      </c>
      <c r="M19">
        <v>0</v>
      </c>
    </row>
    <row r="20" spans="1:13" x14ac:dyDescent="0.3">
      <c r="A20" s="134">
        <v>46072</v>
      </c>
      <c r="B20" t="s">
        <v>64</v>
      </c>
      <c r="E20">
        <f>SUMIFS(Table14[Debit], Table14[Date], Table8[[#This Row],[Date]], Table14[Party], Table8[[#This Row],[Party]])</f>
        <v>28750</v>
      </c>
      <c r="F20" t="s">
        <v>449</v>
      </c>
      <c r="G20">
        <f>SUMIFS(Table14[Debit], Table14[Date], Table8[[#This Row],[Date]], Table14[Party], Table8[[#This Row],[Party]])</f>
        <v>28750</v>
      </c>
      <c r="H20">
        <f>Table8[[#This Row],[Price]]-Table8[[#This Row],[Paid]]</f>
        <v>0</v>
      </c>
      <c r="K20" s="26">
        <v>46067</v>
      </c>
      <c r="L20">
        <v>214650</v>
      </c>
      <c r="M20">
        <v>0</v>
      </c>
    </row>
    <row r="21" spans="1:13" x14ac:dyDescent="0.3">
      <c r="A21" s="134">
        <v>46073</v>
      </c>
      <c r="B21" t="s">
        <v>64</v>
      </c>
      <c r="E21">
        <f>SUMIFS(Table14[Debit], Table14[Date], Table8[[#This Row],[Date]], Table14[Party], Table8[[#This Row],[Party]])</f>
        <v>0</v>
      </c>
      <c r="F21" t="s">
        <v>580</v>
      </c>
      <c r="G21">
        <f>SUMIFS(Table14[Debit], Table14[Date], Table8[[#This Row],[Date]], Table14[Party], Table8[[#This Row],[Party]])</f>
        <v>0</v>
      </c>
      <c r="H21">
        <f>Table8[[#This Row],[Price]]-Table8[[#This Row],[Paid]]</f>
        <v>0</v>
      </c>
      <c r="K21" s="26">
        <v>46070</v>
      </c>
      <c r="L21">
        <v>21750</v>
      </c>
      <c r="M21">
        <v>0</v>
      </c>
    </row>
    <row r="22" spans="1:13" x14ac:dyDescent="0.3">
      <c r="A22" s="134">
        <v>46075</v>
      </c>
      <c r="B22" t="s">
        <v>64</v>
      </c>
      <c r="F22" t="s">
        <v>380</v>
      </c>
      <c r="G22">
        <f>SUMIFS(Table14[Debit], Table14[Date], Table8[[#This Row],[Date]], Table14[Party], Table8[[#This Row],[Party]])</f>
        <v>0</v>
      </c>
      <c r="H22">
        <f>Table8[[#This Row],[Price]]-Table8[[#This Row],[Paid]]</f>
        <v>0</v>
      </c>
      <c r="K22" s="26">
        <v>46072</v>
      </c>
      <c r="L22">
        <v>101250</v>
      </c>
      <c r="M22">
        <v>0</v>
      </c>
    </row>
    <row r="23" spans="1:13" x14ac:dyDescent="0.3">
      <c r="G23">
        <f>SUMIFS(Table14[Debit], Table14[Date], Table8[[#This Row],[Date]], Table14[Party], Table8[[#This Row],[Party]])</f>
        <v>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1427400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D39">
        <v>1400</v>
      </c>
      <c r="E39">
        <f>Table2325[[#This Row],[boxes]]*Table2325[[#This Row],[kgs]]*Table2325[[#This Row],[Rate]]</f>
        <v>0</v>
      </c>
      <c r="L39" t="s">
        <v>146</v>
      </c>
      <c r="M39">
        <v>1</v>
      </c>
      <c r="O39">
        <v>1300</v>
      </c>
      <c r="P39">
        <f>Table23[[#This Row],[boxes]]*Table23[[#This Row],[kgs]]*Table23[[#This Row],[Rate]]</f>
        <v>0</v>
      </c>
    </row>
    <row r="40" spans="1:16" x14ac:dyDescent="0.3">
      <c r="A40" t="s">
        <v>129</v>
      </c>
      <c r="B40">
        <v>1</v>
      </c>
      <c r="D40">
        <v>1340</v>
      </c>
      <c r="E40">
        <f>Table2325[[#This Row],[boxes]]*Table2325[[#This Row],[kgs]]*Table2325[[#This Row],[Rate]]</f>
        <v>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D42">
        <v>1120</v>
      </c>
      <c r="E42">
        <f>Table2325[[#This Row],[boxes]]*Table2325[[#This Row],[kgs]]*Table2325[[#This Row],[Rate]]</f>
        <v>0</v>
      </c>
      <c r="L42" t="s">
        <v>125</v>
      </c>
      <c r="M42">
        <v>1</v>
      </c>
      <c r="O42">
        <v>1130</v>
      </c>
      <c r="P42">
        <f>Table23[[#This Row],[boxes]]*Table23[[#This Row],[kgs]]*Table23[[#This Row],[Rate]]</f>
        <v>0</v>
      </c>
    </row>
    <row r="43" spans="1:16" x14ac:dyDescent="0.3">
      <c r="A43" t="s">
        <v>125</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D45">
        <v>1450</v>
      </c>
      <c r="E45">
        <f>Table2325[[#This Row],[boxes]]*Table2325[[#This Row],[kgs]]*Table2325[[#This Row],[Rate]]</f>
        <v>0</v>
      </c>
      <c r="L45" t="s">
        <v>129</v>
      </c>
      <c r="M45">
        <v>1</v>
      </c>
      <c r="O45">
        <v>1340</v>
      </c>
      <c r="P45">
        <f>Table23[[#This Row],[boxes]]*Table23[[#This Row],[kgs]]*Table23[[#This Row],[Rate]]</f>
        <v>0</v>
      </c>
    </row>
    <row r="46" spans="1:16" x14ac:dyDescent="0.3">
      <c r="A46" t="s">
        <v>159</v>
      </c>
      <c r="B46">
        <v>1</v>
      </c>
      <c r="D46">
        <v>940</v>
      </c>
      <c r="E46">
        <f>Table2325[[#This Row],[boxes]]*Table2325[[#This Row],[kgs]]*Table2325[[#This Row],[Rate]]</f>
        <v>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10</v>
      </c>
      <c r="D48">
        <v>1300</v>
      </c>
      <c r="E48">
        <f>Table2325[[#This Row],[boxes]]*Table2325[[#This Row],[kgs]]*Table2325[[#This Row],[Rate]]</f>
        <v>13000</v>
      </c>
      <c r="L48" t="s">
        <v>160</v>
      </c>
      <c r="M48">
        <v>1</v>
      </c>
      <c r="O48">
        <v>1000</v>
      </c>
      <c r="P48">
        <f>Table23[[#This Row],[boxes]]*Table23[[#This Row],[kgs]]*Table23[[#This Row],[Rate]]</f>
        <v>0</v>
      </c>
    </row>
    <row r="49" spans="1:16" x14ac:dyDescent="0.3">
      <c r="A49" t="s">
        <v>133</v>
      </c>
      <c r="B49">
        <v>1</v>
      </c>
      <c r="C49">
        <v>40</v>
      </c>
      <c r="D49">
        <v>1650</v>
      </c>
      <c r="E49">
        <f>Table2325[[#This Row],[boxes]]*Table2325[[#This Row],[kgs]]*Table2325[[#This Row],[Rate]]</f>
        <v>66000</v>
      </c>
      <c r="L49" t="s">
        <v>130</v>
      </c>
      <c r="M49">
        <v>1</v>
      </c>
      <c r="N49">
        <v>5</v>
      </c>
      <c r="O49">
        <v>1650</v>
      </c>
      <c r="P49">
        <f>Table23[[#This Row],[boxes]]*Table23[[#This Row],[kgs]]*Table23[[#This Row],[Rate]]</f>
        <v>8250</v>
      </c>
    </row>
    <row r="50" spans="1:16" x14ac:dyDescent="0.3">
      <c r="A50" t="s">
        <v>129</v>
      </c>
      <c r="B50">
        <v>1</v>
      </c>
      <c r="C50">
        <v>15</v>
      </c>
      <c r="D50">
        <v>1340</v>
      </c>
      <c r="E50">
        <f>Table2325[[#This Row],[boxes]]*Table2325[[#This Row],[kgs]]*Table2325[[#This Row],[Rate]]</f>
        <v>20100</v>
      </c>
      <c r="L50" t="s">
        <v>114</v>
      </c>
      <c r="M50">
        <v>1</v>
      </c>
      <c r="N50">
        <v>20</v>
      </c>
      <c r="O50">
        <v>1130</v>
      </c>
      <c r="P50">
        <f>Table23[[#This Row],[boxes]]*Table23[[#This Row],[kgs]]*Table23[[#This Row],[Rate]]</f>
        <v>22600</v>
      </c>
    </row>
    <row r="51" spans="1:16" x14ac:dyDescent="0.3">
      <c r="A51" t="s">
        <v>132</v>
      </c>
      <c r="B51">
        <v>1</v>
      </c>
      <c r="C51">
        <v>40</v>
      </c>
      <c r="D51">
        <v>1450</v>
      </c>
      <c r="E51">
        <f>Table2325[[#This Row],[boxes]]*Table2325[[#This Row],[kgs]]*Table2325[[#This Row],[Rate]]</f>
        <v>58000</v>
      </c>
      <c r="L51" t="s">
        <v>153</v>
      </c>
      <c r="M51">
        <v>1</v>
      </c>
      <c r="O51">
        <v>3100</v>
      </c>
      <c r="P51">
        <f>Table23[[#This Row],[boxes]]*Table23[[#This Row],[kgs]]*Table23[[#This Row],[Rate]]</f>
        <v>0</v>
      </c>
    </row>
    <row r="52" spans="1:16" x14ac:dyDescent="0.3">
      <c r="A52" t="s">
        <v>131</v>
      </c>
      <c r="B52">
        <v>1</v>
      </c>
      <c r="C52">
        <v>45</v>
      </c>
      <c r="D52">
        <v>1400</v>
      </c>
      <c r="E52">
        <f>Table2325[[#This Row],[boxes]]*Table2325[[#This Row],[kgs]]*Table2325[[#This Row],[Rate]]</f>
        <v>63000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10</v>
      </c>
      <c r="D54">
        <v>1650</v>
      </c>
      <c r="E54">
        <f>Table2325[[#This Row],[boxes]]*Table2325[[#This Row],[kgs]]*Table2325[[#This Row],[Rate]]</f>
        <v>16500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0</v>
      </c>
      <c r="D56">
        <v>3100</v>
      </c>
      <c r="E56">
        <f>Table2325[[#This Row],[boxes]]*Table2325[[#This Row],[kgs]]*Table2325[[#This Row],[Rate]]</f>
        <v>0</v>
      </c>
      <c r="L56" t="s">
        <v>5</v>
      </c>
      <c r="P56">
        <f>SUM(P34:P55)</f>
        <v>244910</v>
      </c>
    </row>
    <row r="57" spans="1:16" x14ac:dyDescent="0.3">
      <c r="A57" t="s">
        <v>126</v>
      </c>
      <c r="B57">
        <v>1</v>
      </c>
      <c r="C57">
        <v>25</v>
      </c>
      <c r="D57">
        <v>1140</v>
      </c>
      <c r="E57">
        <f>Table2325[[#This Row],[boxes]]*Table2325[[#This Row],[kgs]]*Table2325[[#This Row],[Rate]]</f>
        <v>28500</v>
      </c>
    </row>
    <row r="58" spans="1:16" x14ac:dyDescent="0.3">
      <c r="A58" t="s">
        <v>147</v>
      </c>
      <c r="B58">
        <v>1</v>
      </c>
      <c r="C58">
        <v>0</v>
      </c>
      <c r="D58">
        <v>1140</v>
      </c>
      <c r="E58">
        <f>Table2325[[#This Row],[boxes]]*Table2325[[#This Row],[kgs]]*Table2325[[#This Row],[Rate]]</f>
        <v>0</v>
      </c>
    </row>
    <row r="59" spans="1:16" x14ac:dyDescent="0.3">
      <c r="A59" t="s">
        <v>161</v>
      </c>
      <c r="B59">
        <v>1</v>
      </c>
      <c r="C59">
        <v>2</v>
      </c>
      <c r="D59">
        <v>1000</v>
      </c>
      <c r="E59">
        <f>Table2325[[#This Row],[boxes]]*Table2325[[#This Row],[kgs]]*Table2325[[#This Row],[Rate]]</f>
        <v>2000</v>
      </c>
    </row>
    <row r="60" spans="1:16" x14ac:dyDescent="0.3">
      <c r="A60" t="s">
        <v>162</v>
      </c>
      <c r="B60">
        <v>1</v>
      </c>
      <c r="C60">
        <v>10</v>
      </c>
      <c r="D60">
        <v>1600</v>
      </c>
      <c r="E60">
        <f>Table2325[[#This Row],[boxes]]*Table2325[[#This Row],[kgs]]*Table2325[[#This Row],[Rate]]</f>
        <v>16000</v>
      </c>
    </row>
    <row r="61" spans="1:16" x14ac:dyDescent="0.3">
      <c r="A61" t="s">
        <v>114</v>
      </c>
      <c r="B61">
        <v>1</v>
      </c>
      <c r="C61">
        <v>10</v>
      </c>
      <c r="D61">
        <v>1120</v>
      </c>
      <c r="E61">
        <f>Table2325[[#This Row],[boxes]]*Table2325[[#This Row],[kgs]]*Table2325[[#This Row],[Rate]]</f>
        <v>11200</v>
      </c>
    </row>
    <row r="62" spans="1:16" x14ac:dyDescent="0.3">
      <c r="A62" t="s">
        <v>187</v>
      </c>
      <c r="B62">
        <v>1</v>
      </c>
      <c r="C62">
        <v>8</v>
      </c>
      <c r="D62">
        <v>920</v>
      </c>
      <c r="E62">
        <f>Table2325[[#This Row],[boxes]]*Table2325[[#This Row],[kgs]]*Table2325[[#This Row],[Rate]]</f>
        <v>7360</v>
      </c>
    </row>
    <row r="65" spans="5:5" x14ac:dyDescent="0.3">
      <c r="E65">
        <f>SUM(Table2325[total])</f>
        <v>301660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7" zoomScale="104" workbookViewId="0">
      <selection activeCell="D15" sqref="D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209</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209</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209</v>
      </c>
      <c r="F7" s="82">
        <f>Table2[[#This Row],[Quantity]]*200*Table2[[#This Row],[Boxes]]</f>
        <v>0</v>
      </c>
      <c r="G7" s="82">
        <f>SUMIFS(Table14[Debit], Table14[Date], Table2[[#This Row],[Date]], Table14[Party], Table2[[#This Row],[Party Name]])</f>
        <v>0</v>
      </c>
      <c r="H7" s="81">
        <v>0</v>
      </c>
      <c r="J7" s="4" t="s">
        <v>117</v>
      </c>
      <c r="K7">
        <v>176400</v>
      </c>
      <c r="L7">
        <v>176400</v>
      </c>
      <c r="M7">
        <v>0</v>
      </c>
    </row>
    <row r="8" spans="1:13" x14ac:dyDescent="0.3">
      <c r="A8" s="85">
        <v>46042</v>
      </c>
      <c r="B8" s="95" t="s">
        <v>189</v>
      </c>
      <c r="C8" s="82" t="s">
        <v>209</v>
      </c>
      <c r="F8" s="82">
        <f>Table2[[#This Row],[Quantity]]*200*Table2[[#This Row],[Boxes]]</f>
        <v>0</v>
      </c>
      <c r="G8" s="82">
        <f>SUMIFS(Table14[Debit], Table14[Date], Table2[[#This Row],[Date]], Table14[Party], Table2[[#This Row],[Party Name]])</f>
        <v>0</v>
      </c>
      <c r="H8" s="81">
        <v>0</v>
      </c>
      <c r="J8" s="4" t="s">
        <v>165</v>
      </c>
      <c r="K8">
        <v>300000</v>
      </c>
      <c r="L8">
        <v>122500</v>
      </c>
      <c r="M8">
        <v>177500</v>
      </c>
    </row>
    <row r="9" spans="1:13" x14ac:dyDescent="0.3">
      <c r="A9" s="85">
        <v>46042</v>
      </c>
      <c r="B9" s="116" t="s">
        <v>193</v>
      </c>
      <c r="C9" s="88" t="s">
        <v>209</v>
      </c>
      <c r="F9" s="82">
        <f>Table2[[#This Row],[Quantity]]*200*Table2[[#This Row],[Boxes]]</f>
        <v>0</v>
      </c>
      <c r="G9" s="82">
        <f>SUMIFS(Table14[Debit], Table14[Date], Table2[[#This Row],[Date]], Table14[Party], Table2[[#This Row],[Party Name]])</f>
        <v>0</v>
      </c>
      <c r="H9" s="81">
        <f>Table2[[#This Row],[Price]]-Table2[[#This Row],[Paid]]</f>
        <v>0</v>
      </c>
      <c r="J9" s="4" t="s">
        <v>189</v>
      </c>
      <c r="K9">
        <v>351000</v>
      </c>
      <c r="L9">
        <v>351000</v>
      </c>
      <c r="M9">
        <v>0</v>
      </c>
    </row>
    <row r="10" spans="1:13" x14ac:dyDescent="0.3">
      <c r="A10" s="1">
        <v>46042</v>
      </c>
      <c r="B10" s="1" t="s">
        <v>189</v>
      </c>
      <c r="C10" t="s">
        <v>61</v>
      </c>
      <c r="D10">
        <v>45</v>
      </c>
      <c r="F10">
        <v>351000</v>
      </c>
      <c r="G10">
        <f>SUMIFS(Table14[Debit], Table14[Date], Table2[[#This Row],[Date]], Table14[Party], Table2[[#This Row],[Party Name]])</f>
        <v>0</v>
      </c>
      <c r="H10">
        <f>Table2[[#This Row],[Price]]-Table2[[#This Row],[Paid]]</f>
        <v>351000</v>
      </c>
      <c r="J10" s="4" t="s">
        <v>193</v>
      </c>
      <c r="K10">
        <v>49200</v>
      </c>
      <c r="L10">
        <v>49200</v>
      </c>
      <c r="M10">
        <v>0</v>
      </c>
    </row>
    <row r="11" spans="1:13" x14ac:dyDescent="0.3">
      <c r="A11" s="1">
        <v>46043</v>
      </c>
      <c r="B11" s="1" t="s">
        <v>193</v>
      </c>
      <c r="C11" t="s">
        <v>164</v>
      </c>
      <c r="F11">
        <v>49200</v>
      </c>
      <c r="G11">
        <f>SUMIFS(Table14[Debit], Table14[Date], Table2[[#This Row],[Date]], Table14[Party], Table2[[#This Row],[Party Name]])</f>
        <v>49200</v>
      </c>
      <c r="H11">
        <f>Table2[[#This Row],[Price]]-Table2[[#This Row],[Paid]]</f>
        <v>0</v>
      </c>
      <c r="J11" s="4" t="s">
        <v>304</v>
      </c>
      <c r="L11">
        <v>0</v>
      </c>
      <c r="M11">
        <v>0</v>
      </c>
    </row>
    <row r="12" spans="1:13" x14ac:dyDescent="0.3">
      <c r="A12" s="1">
        <v>46044</v>
      </c>
      <c r="B12" s="1" t="s">
        <v>165</v>
      </c>
      <c r="C12" t="s">
        <v>212</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876600</v>
      </c>
      <c r="L12">
        <v>749100</v>
      </c>
      <c r="M12">
        <v>177500</v>
      </c>
    </row>
    <row r="13" spans="1:13" x14ac:dyDescent="0.3">
      <c r="A13" s="1">
        <v>46048</v>
      </c>
      <c r="B13" s="1" t="s">
        <v>165</v>
      </c>
      <c r="C13" t="s">
        <v>212</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304</v>
      </c>
      <c r="C14" t="s">
        <v>303</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303</v>
      </c>
      <c r="F15">
        <v>20400</v>
      </c>
      <c r="G15">
        <f>SUMIFS(Table14[Debit], Table14[Date], Table2[[#This Row],[Date]], Table14[Party], Table2[[#This Row],[Party Name]])</f>
        <v>20400</v>
      </c>
      <c r="H15">
        <f>Table2[[#This Row],[Price]]-Table2[[#This Row],[Paid]]</f>
        <v>0</v>
      </c>
    </row>
    <row r="16" spans="1:13" x14ac:dyDescent="0.3">
      <c r="A16" s="1">
        <v>46058</v>
      </c>
      <c r="B16" s="1" t="s">
        <v>165</v>
      </c>
      <c r="C16" t="s">
        <v>212</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v>46071</v>
      </c>
      <c r="B21" s="1" t="s">
        <v>189</v>
      </c>
      <c r="F21">
        <f>Table2[[#This Row],[Quantity]]*200*Table2[[#This Row],[Boxes]]</f>
        <v>0</v>
      </c>
      <c r="G21">
        <f>SUMIFS(Table14[Debit], Table14[Date], Table2[[#This Row],[Date]], Table14[Party], Table2[[#This Row],[Party Name]])</f>
        <v>351000</v>
      </c>
      <c r="H21">
        <f>Table2[[#This Row],[Price]]-Table2[[#This Row],[Paid]]</f>
        <v>-351000</v>
      </c>
    </row>
    <row r="22" spans="1:11" x14ac:dyDescent="0.3">
      <c r="A22" s="1"/>
      <c r="B22" s="1"/>
    </row>
    <row r="23" spans="1:11" x14ac:dyDescent="0.3">
      <c r="A23" s="1"/>
      <c r="B23" s="1"/>
    </row>
    <row r="24" spans="1:11" x14ac:dyDescent="0.3">
      <c r="A24" s="1"/>
      <c r="B24" s="1"/>
      <c r="I24" t="s">
        <v>57</v>
      </c>
      <c r="J24" t="s">
        <v>174</v>
      </c>
      <c r="K24" t="s">
        <v>201</v>
      </c>
    </row>
    <row r="25" spans="1:11" x14ac:dyDescent="0.3">
      <c r="A25" s="1"/>
      <c r="B25" s="1"/>
      <c r="I25" t="s">
        <v>61</v>
      </c>
      <c r="J25">
        <f>7800*60</f>
        <v>468000</v>
      </c>
      <c r="K25">
        <f>2*7800</f>
        <v>15600</v>
      </c>
    </row>
    <row r="26" spans="1:11" x14ac:dyDescent="0.3">
      <c r="A26" s="1"/>
      <c r="F26">
        <f>SUBTOTAL(109,Table2[Price])</f>
        <v>738600</v>
      </c>
      <c r="G26">
        <f>SUBTOTAL(109,Table2[Paid])</f>
        <v>668600</v>
      </c>
      <c r="H26">
        <f>SUBTOTAL(109,Table2[Balance])</f>
        <v>120000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213</v>
      </c>
      <c r="C3" s="19" t="s">
        <v>97</v>
      </c>
      <c r="D3" s="19" t="s">
        <v>97</v>
      </c>
      <c r="E3" s="20">
        <v>2222081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C19" zoomScale="118" workbookViewId="0">
      <selection activeCell="H30" sqref="H30: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46066</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46067</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46068</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46069</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46070</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218</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302</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334</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498</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519</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H3" sqref="H3:H4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46037</v>
      </c>
      <c r="C3" t="s">
        <v>113</v>
      </c>
      <c r="D3">
        <f>SUMIFS(Table14[Debit], Table14[Date], Table5[[#This Row],[Date]], Table14[Party], "Rashan")</f>
        <v>0</v>
      </c>
      <c r="H3" s="1">
        <v>46037</v>
      </c>
      <c r="J3">
        <f>SUMIFS(Table14[Debit], Table14[Date], Table15[[#This Row],[Date]], Table14[Party], "Parts")</f>
        <v>0</v>
      </c>
    </row>
    <row r="4" spans="2:10" x14ac:dyDescent="0.3">
      <c r="B4" s="1">
        <v>46038</v>
      </c>
      <c r="C4" t="s">
        <v>113</v>
      </c>
      <c r="D4">
        <f>SUMIFS(Table14[Debit], Table14[Date], Table5[[#This Row],[Date]], Table14[Party], "Rashan")</f>
        <v>0</v>
      </c>
      <c r="H4" s="1">
        <v>46038</v>
      </c>
      <c r="I4" t="s">
        <v>55</v>
      </c>
      <c r="J4">
        <f>SUMIFS(Table14[Debit], Table14[Date], Table15[[#This Row],[Date]], Table14[Party], "Parts")</f>
        <v>0</v>
      </c>
    </row>
    <row r="5" spans="2:10" x14ac:dyDescent="0.3">
      <c r="B5" s="1">
        <v>46039</v>
      </c>
      <c r="C5" t="s">
        <v>113</v>
      </c>
      <c r="D5">
        <f>SUMIFS(Table14[Debit], Table14[Date], Table5[[#This Row],[Date]], Table14[Party], "Rashan")</f>
        <v>0</v>
      </c>
      <c r="H5" s="1">
        <v>46039</v>
      </c>
      <c r="I5" t="s">
        <v>55</v>
      </c>
      <c r="J5">
        <f>SUMIFS(Table14[Debit], Table14[Date], Table15[[#This Row],[Date]], Table14[Party], "Parts")</f>
        <v>0</v>
      </c>
    </row>
    <row r="6" spans="2:10" x14ac:dyDescent="0.3">
      <c r="B6" s="1">
        <v>46040</v>
      </c>
      <c r="C6" t="s">
        <v>113</v>
      </c>
      <c r="D6">
        <f>SUMIFS(Table14[Debit], Table14[Date], Table5[[#This Row],[Date]], Table14[Party], "Rashan")</f>
        <v>0</v>
      </c>
      <c r="H6" s="1">
        <v>46040</v>
      </c>
      <c r="I6" t="s">
        <v>55</v>
      </c>
      <c r="J6">
        <f>SUMIFS(Table14[Debit], Table14[Date], Table15[[#This Row],[Date]], Table14[Party], "Parts")</f>
        <v>0</v>
      </c>
    </row>
    <row r="7" spans="2:10" x14ac:dyDescent="0.3">
      <c r="B7" s="1">
        <v>46041</v>
      </c>
      <c r="C7" t="s">
        <v>113</v>
      </c>
      <c r="D7">
        <f>SUMIFS(Table14[Debit], Table14[Date], Table5[[#This Row],[Date]], Table14[Party], "Rashan")</f>
        <v>0</v>
      </c>
      <c r="H7" s="1">
        <v>46041</v>
      </c>
      <c r="I7" t="s">
        <v>55</v>
      </c>
      <c r="J7">
        <f>SUMIFS(Table14[Debit], Table14[Date], Table15[[#This Row],[Date]], Table14[Party], "Parts")</f>
        <v>0</v>
      </c>
    </row>
    <row r="8" spans="2:10" x14ac:dyDescent="0.3">
      <c r="B8" s="1">
        <v>46042</v>
      </c>
      <c r="C8" t="s">
        <v>113</v>
      </c>
      <c r="D8">
        <f>SUMIFS(Table14[Debit], Table14[Date], Table5[[#This Row],[Date]], Table14[Party], "Rashan")</f>
        <v>0</v>
      </c>
      <c r="H8" s="1">
        <v>46042</v>
      </c>
      <c r="J8">
        <f>SUMIFS(Table14[Debit], Table14[Date], Table15[[#This Row],[Date]], Table14[Party], "Parts")</f>
        <v>0</v>
      </c>
    </row>
    <row r="9" spans="2:10" x14ac:dyDescent="0.3">
      <c r="B9" s="1">
        <v>46043</v>
      </c>
      <c r="C9" t="s">
        <v>113</v>
      </c>
      <c r="D9">
        <f>SUMIFS(Table14[Debit], Table14[Date], Table5[[#This Row],[Date]], Table14[Party], "Rashan")</f>
        <v>20000</v>
      </c>
      <c r="H9" s="1">
        <v>46043</v>
      </c>
      <c r="J9">
        <f>SUMIFS(Table14[Debit], Table14[Date], Table15[[#This Row],[Date]], Table14[Party], "Parts")</f>
        <v>45193</v>
      </c>
    </row>
    <row r="10" spans="2:10" x14ac:dyDescent="0.3">
      <c r="B10" s="1">
        <v>46044</v>
      </c>
      <c r="C10" t="s">
        <v>113</v>
      </c>
      <c r="D10">
        <f>SUMIFS(Table14[Debit], Table14[Date], Table5[[#This Row],[Date]], Table14[Party], "Rashan")</f>
        <v>25950</v>
      </c>
      <c r="H10" s="1">
        <v>46044</v>
      </c>
      <c r="J10">
        <f>SUMIFS(Table14[Debit], Table14[Date], Table15[[#This Row],[Date]], Table14[Party], "Parts")</f>
        <v>0</v>
      </c>
    </row>
    <row r="11" spans="2:10" x14ac:dyDescent="0.3">
      <c r="B11" s="1">
        <v>46045</v>
      </c>
      <c r="C11" t="s">
        <v>113</v>
      </c>
      <c r="D11">
        <f>SUMIFS(Table14[Debit], Table14[Date], Table5[[#This Row],[Date]], Table14[Party], "Rashan")</f>
        <v>0</v>
      </c>
      <c r="H11" s="1">
        <v>46045</v>
      </c>
      <c r="J11">
        <f>SUMIFS(Table14[Debit], Table14[Date], Table15[[#This Row],[Date]], Table14[Party], "Parts")</f>
        <v>0</v>
      </c>
    </row>
    <row r="12" spans="2:10" x14ac:dyDescent="0.3">
      <c r="B12" s="1">
        <v>46046</v>
      </c>
      <c r="C12" t="s">
        <v>113</v>
      </c>
      <c r="D12">
        <f>SUMIFS(Table14[Debit], Table14[Date], Table5[[#This Row],[Date]], Table14[Party], "Rashan")</f>
        <v>0</v>
      </c>
      <c r="H12" s="1">
        <v>46046</v>
      </c>
      <c r="J12">
        <f>SUMIFS(Table14[Debit], Table14[Date], Table15[[#This Row],[Date]], Table14[Party], "Parts")</f>
        <v>4220</v>
      </c>
    </row>
    <row r="13" spans="2:10" x14ac:dyDescent="0.3">
      <c r="B13" s="1">
        <v>46047</v>
      </c>
      <c r="C13" t="s">
        <v>113</v>
      </c>
      <c r="D13">
        <f>SUMIFS(Table14[Debit], Table14[Date], Table5[[#This Row],[Date]], Table14[Party], "Rashan")</f>
        <v>0</v>
      </c>
      <c r="H13" s="1">
        <v>46047</v>
      </c>
      <c r="J13">
        <f>SUMIFS(Table14[Debit], Table14[Date], Table15[[#This Row],[Date]], Table14[Party], "Parts")</f>
        <v>0</v>
      </c>
    </row>
    <row r="14" spans="2:10" x14ac:dyDescent="0.3">
      <c r="B14" s="1">
        <v>46048</v>
      </c>
      <c r="C14" t="s">
        <v>113</v>
      </c>
      <c r="D14">
        <f>SUMIFS(Table14[Debit], Table14[Date], Table5[[#This Row],[Date]], Table14[Party], "Rashan")</f>
        <v>0</v>
      </c>
      <c r="H14" s="1">
        <v>46048</v>
      </c>
      <c r="J14">
        <f>SUMIFS(Table14[Debit], Table14[Date], Table15[[#This Row],[Date]], Table14[Party], "Parts")</f>
        <v>9310</v>
      </c>
    </row>
    <row r="15" spans="2:10" x14ac:dyDescent="0.3">
      <c r="B15" s="1">
        <v>46049</v>
      </c>
      <c r="C15" t="s">
        <v>113</v>
      </c>
      <c r="D15">
        <f>SUMIFS(Table14[Debit], Table14[Date], Table5[[#This Row],[Date]], Table14[Party], "Rashan")</f>
        <v>0</v>
      </c>
      <c r="H15" s="1">
        <v>46049</v>
      </c>
      <c r="J15">
        <f>SUMIFS(Table14[Debit], Table14[Date], Table15[[#This Row],[Date]], Table14[Party], "Parts")</f>
        <v>3500</v>
      </c>
    </row>
    <row r="16" spans="2:10" x14ac:dyDescent="0.3">
      <c r="B16" s="1">
        <v>46050</v>
      </c>
      <c r="C16" t="s">
        <v>113</v>
      </c>
      <c r="D16">
        <f>SUMIFS(Table14[Debit], Table14[Date], Table5[[#This Row],[Date]], Table14[Party], "Rashan")</f>
        <v>0</v>
      </c>
      <c r="H16" s="1">
        <v>46050</v>
      </c>
      <c r="J16">
        <f>SUMIFS(Table14[Debit], Table14[Date], Table15[[#This Row],[Date]], Table14[Party], "Parts")</f>
        <v>1610</v>
      </c>
    </row>
    <row r="17" spans="2:10" x14ac:dyDescent="0.3">
      <c r="B17" s="1">
        <v>46051</v>
      </c>
      <c r="C17" t="s">
        <v>113</v>
      </c>
      <c r="D17">
        <f>SUMIFS(Table14[Debit], Table14[Date], Table5[[#This Row],[Date]], Table14[Party], "Rashan")</f>
        <v>9000</v>
      </c>
      <c r="H17" s="1">
        <v>46051</v>
      </c>
      <c r="J17">
        <f>SUMIFS(Table14[Debit], Table14[Date], Table15[[#This Row],[Date]], Table14[Party], "Parts")</f>
        <v>0</v>
      </c>
    </row>
    <row r="18" spans="2:10" x14ac:dyDescent="0.3">
      <c r="B18" s="1">
        <v>46052</v>
      </c>
      <c r="C18" t="s">
        <v>113</v>
      </c>
      <c r="D18">
        <f>SUMIFS(Table14[Debit], Table14[Date], Table5[[#This Row],[Date]], Table14[Party], "Rashan")</f>
        <v>4050</v>
      </c>
      <c r="H18" s="1">
        <v>46052</v>
      </c>
      <c r="J18">
        <f>SUMIFS(Table14[Debit], Table14[Date], Table15[[#This Row],[Date]], Table14[Party], "Parts")</f>
        <v>11100</v>
      </c>
    </row>
    <row r="19" spans="2:10" x14ac:dyDescent="0.3">
      <c r="B19" s="1">
        <v>46053</v>
      </c>
      <c r="C19" t="s">
        <v>113</v>
      </c>
      <c r="D19">
        <f>SUMIFS(Table14[Debit], Table14[Date], Table5[[#This Row],[Date]], Table14[Party], "Rashan")</f>
        <v>0</v>
      </c>
      <c r="H19" s="1">
        <v>46053</v>
      </c>
      <c r="J19">
        <f>SUMIFS(Table14[Debit], Table14[Date], Table15[[#This Row],[Date]], Table14[Party], "Parts")</f>
        <v>36230</v>
      </c>
    </row>
    <row r="20" spans="2:10" x14ac:dyDescent="0.3">
      <c r="B20" s="1">
        <v>46054</v>
      </c>
      <c r="C20" t="s">
        <v>113</v>
      </c>
      <c r="D20">
        <f>SUMIFS(Table14[Debit], Table14[Date], Table5[[#This Row],[Date]], Table14[Party], "Rashan")</f>
        <v>0</v>
      </c>
      <c r="H20" s="1">
        <v>46054</v>
      </c>
      <c r="J20">
        <f>SUMIFS(Table14[Debit], Table14[Date], Table15[[#This Row],[Date]], Table14[Party], "Parts")</f>
        <v>2900</v>
      </c>
    </row>
    <row r="21" spans="2:10" x14ac:dyDescent="0.3">
      <c r="B21" s="1">
        <v>46055</v>
      </c>
      <c r="C21" t="s">
        <v>113</v>
      </c>
      <c r="D21">
        <f>SUMIFS(Table14[Debit], Table14[Date], Table5[[#This Row],[Date]], Table14[Party], "Rashan")</f>
        <v>22640</v>
      </c>
      <c r="H21" s="1">
        <v>46055</v>
      </c>
      <c r="J21">
        <f>SUMIFS(Table14[Debit], Table14[Date], Table15[[#This Row],[Date]], Table14[Party], "Parts")</f>
        <v>0</v>
      </c>
    </row>
    <row r="22" spans="2:10" x14ac:dyDescent="0.3">
      <c r="B22" s="1">
        <v>46056</v>
      </c>
      <c r="C22" t="s">
        <v>113</v>
      </c>
      <c r="D22">
        <f>SUMIFS(Table14[Debit], Table14[Date], Table5[[#This Row],[Date]], Table14[Party], "Rashan")</f>
        <v>0</v>
      </c>
      <c r="H22" s="1">
        <v>46056</v>
      </c>
      <c r="J22">
        <f>SUMIFS(Table14[Debit], Table14[Date], Table15[[#This Row],[Date]], Table14[Party], "Parts")</f>
        <v>28000</v>
      </c>
    </row>
    <row r="23" spans="2:10" x14ac:dyDescent="0.3">
      <c r="B23" s="1">
        <v>46057</v>
      </c>
      <c r="C23" t="s">
        <v>113</v>
      </c>
      <c r="D23">
        <f>SUMIFS(Table14[Debit], Table14[Date], Table5[[#This Row],[Date]], Table14[Party], "Rashan")</f>
        <v>0</v>
      </c>
      <c r="H23" s="1">
        <v>46057</v>
      </c>
      <c r="J23">
        <f>SUMIFS(Table14[Debit], Table14[Date], Table15[[#This Row],[Date]], Table14[Party], "Parts")</f>
        <v>1000</v>
      </c>
    </row>
    <row r="24" spans="2:10" x14ac:dyDescent="0.3">
      <c r="B24" s="1">
        <v>46058</v>
      </c>
      <c r="C24" t="s">
        <v>113</v>
      </c>
      <c r="D24">
        <f>SUMIFS(Table14[Debit], Table14[Date], Table5[[#This Row],[Date]], Table14[Party], "Rashan")</f>
        <v>0</v>
      </c>
      <c r="H24" s="1">
        <v>46058</v>
      </c>
      <c r="J24">
        <f>SUMIFS(Table14[Debit], Table14[Date], Table15[[#This Row],[Date]], Table14[Party], "Parts")</f>
        <v>9375</v>
      </c>
    </row>
    <row r="25" spans="2:10" x14ac:dyDescent="0.3">
      <c r="B25" s="1">
        <v>46059</v>
      </c>
      <c r="C25" t="s">
        <v>113</v>
      </c>
      <c r="D25">
        <f>SUMIFS(Table14[Debit], Table14[Date], Table5[[#This Row],[Date]], Table14[Party], "Rashan")</f>
        <v>0</v>
      </c>
      <c r="H25" s="1">
        <v>46059</v>
      </c>
      <c r="J25">
        <f>SUMIFS(Table14[Debit], Table14[Date], Table15[[#This Row],[Date]], Table14[Party], "Parts")</f>
        <v>1500</v>
      </c>
    </row>
    <row r="26" spans="2:10" x14ac:dyDescent="0.3">
      <c r="B26" s="1">
        <v>46060</v>
      </c>
      <c r="C26" t="s">
        <v>113</v>
      </c>
      <c r="D26">
        <f>SUMIFS(Table14[Debit], Table14[Date], Table5[[#This Row],[Date]], Table14[Party], "Rashan")</f>
        <v>0</v>
      </c>
      <c r="H26" s="1">
        <v>46060</v>
      </c>
      <c r="J26">
        <f>SUMIFS(Table14[Debit], Table14[Date], Table15[[#This Row],[Date]], Table14[Party], "Parts")</f>
        <v>0</v>
      </c>
    </row>
    <row r="27" spans="2:10" x14ac:dyDescent="0.3">
      <c r="B27" s="1">
        <v>46061</v>
      </c>
      <c r="C27" t="s">
        <v>113</v>
      </c>
      <c r="D27">
        <f>SUMIFS(Table14[Debit], Table14[Date], Table5[[#This Row],[Date]], Table14[Party], "Rashan")</f>
        <v>0</v>
      </c>
      <c r="H27" s="1">
        <v>46061</v>
      </c>
      <c r="J27">
        <f>SUMIFS(Table14[Debit], Table14[Date], Table15[[#This Row],[Date]], Table14[Party], "Parts")</f>
        <v>0</v>
      </c>
    </row>
    <row r="28" spans="2:10" x14ac:dyDescent="0.3">
      <c r="B28" s="1">
        <v>46062</v>
      </c>
      <c r="C28" t="s">
        <v>113</v>
      </c>
      <c r="D28">
        <f>SUMIFS(Table14[Debit], Table14[Date], Table5[[#This Row],[Date]], Table14[Party], "Rashan")</f>
        <v>0</v>
      </c>
      <c r="H28" s="1">
        <v>46062</v>
      </c>
      <c r="J28">
        <f>SUMIFS(Table14[Debit], Table14[Date], Table15[[#This Row],[Date]], Table14[Party], "Parts")</f>
        <v>0</v>
      </c>
    </row>
    <row r="29" spans="2:10" x14ac:dyDescent="0.3">
      <c r="B29" s="1">
        <v>46063</v>
      </c>
      <c r="C29" t="s">
        <v>113</v>
      </c>
      <c r="D29">
        <f>SUMIFS(Table14[Debit], Table14[Date], Table5[[#This Row],[Date]], Table14[Party], "Rashan")</f>
        <v>0</v>
      </c>
      <c r="H29" s="1">
        <v>46063</v>
      </c>
      <c r="J29">
        <f>SUMIFS(Table14[Debit], Table14[Date], Table15[[#This Row],[Date]], Table14[Party], "Parts")</f>
        <v>9483</v>
      </c>
    </row>
    <row r="30" spans="2:10" x14ac:dyDescent="0.3">
      <c r="B30" s="1">
        <v>46064</v>
      </c>
      <c r="C30" t="s">
        <v>113</v>
      </c>
      <c r="D30">
        <f>SUMIFS(Table14[Debit], Table14[Date], Table5[[#This Row],[Date]], Table14[Party], "Rashan")</f>
        <v>0</v>
      </c>
      <c r="H30" s="1">
        <v>46064</v>
      </c>
      <c r="J30">
        <f>SUMIFS(Table14[Debit], Table14[Date], Table15[[#This Row],[Date]], Table14[Party], "Parts")</f>
        <v>69700</v>
      </c>
    </row>
    <row r="31" spans="2:10" x14ac:dyDescent="0.3">
      <c r="B31" s="1">
        <v>46065</v>
      </c>
      <c r="C31" t="s">
        <v>113</v>
      </c>
      <c r="D31">
        <f>SUMIFS(Table14[Debit], Table14[Date], Table5[[#This Row],[Date]], Table14[Party], "Rashan")</f>
        <v>0</v>
      </c>
      <c r="H31" s="1">
        <v>46065</v>
      </c>
      <c r="J31">
        <f>SUMIFS(Table14[Debit], Table14[Date], Table15[[#This Row],[Date]], Table14[Party], "Parts")</f>
        <v>2920</v>
      </c>
    </row>
    <row r="32" spans="2:10" x14ac:dyDescent="0.3">
      <c r="B32" s="1">
        <v>46066</v>
      </c>
      <c r="C32" t="s">
        <v>113</v>
      </c>
      <c r="D32">
        <f>SUMIFS(Table14[Debit], Table14[Date], Table5[[#This Row],[Date]], Table14[Party], "Rashan")</f>
        <v>53840</v>
      </c>
      <c r="H32" s="1">
        <v>46066</v>
      </c>
      <c r="J32">
        <f>SUMIFS(Table14[Debit], Table14[Date], Table15[[#This Row],[Date]], Table14[Party], "Parts")</f>
        <v>0</v>
      </c>
    </row>
    <row r="33" spans="2:10" x14ac:dyDescent="0.3">
      <c r="B33" s="1">
        <v>46067</v>
      </c>
      <c r="C33" t="s">
        <v>113</v>
      </c>
      <c r="D33">
        <f>SUMIFS(Table14[Debit], Table14[Date], Table5[[#This Row],[Date]], Table14[Party], "Rashan")</f>
        <v>0</v>
      </c>
      <c r="H33" s="1">
        <v>46067</v>
      </c>
      <c r="J33">
        <f>SUMIFS(Table14[Debit], Table14[Date], Table15[[#This Row],[Date]], Table14[Party], "Parts")</f>
        <v>5100</v>
      </c>
    </row>
    <row r="34" spans="2:10" x14ac:dyDescent="0.3">
      <c r="B34" s="1">
        <v>46068</v>
      </c>
      <c r="C34" t="s">
        <v>113</v>
      </c>
      <c r="D34">
        <f>SUMIFS(Table14[Debit], Table14[Date], Table5[[#This Row],[Date]], Table14[Party], "Rashan")</f>
        <v>7250</v>
      </c>
      <c r="H34" s="1">
        <v>46068</v>
      </c>
      <c r="J34">
        <f>SUMIFS(Table14[Debit], Table14[Date], Table15[[#This Row],[Date]], Table14[Party], "Parts")</f>
        <v>0</v>
      </c>
    </row>
    <row r="35" spans="2:10" x14ac:dyDescent="0.3">
      <c r="B35" s="1">
        <v>46069</v>
      </c>
      <c r="C35" t="s">
        <v>113</v>
      </c>
      <c r="D35">
        <f>SUMIFS(Table14[Debit], Table14[Date], Table5[[#This Row],[Date]], Table14[Party], "Rashan")</f>
        <v>0</v>
      </c>
      <c r="H35" s="1">
        <v>46069</v>
      </c>
      <c r="J35">
        <f>SUMIFS(Table14[Debit], Table14[Date], Table15[[#This Row],[Date]], Table14[Party], "Parts")</f>
        <v>4980</v>
      </c>
    </row>
    <row r="36" spans="2:10" x14ac:dyDescent="0.3">
      <c r="B36" s="1">
        <v>46070</v>
      </c>
      <c r="C36" t="s">
        <v>113</v>
      </c>
      <c r="D36">
        <f>SUMIFS(Table14[Debit], Table14[Date], Table5[[#This Row],[Date]], Table14[Party], "Rashan")</f>
        <v>0</v>
      </c>
      <c r="H36" s="1">
        <v>46070</v>
      </c>
      <c r="J36">
        <f>SUMIFS(Table14[Debit], Table14[Date], Table15[[#This Row],[Date]], Table14[Party], "Parts")</f>
        <v>2870</v>
      </c>
    </row>
    <row r="37" spans="2:10" x14ac:dyDescent="0.3">
      <c r="B37" s="1">
        <v>46071</v>
      </c>
      <c r="C37" t="s">
        <v>113</v>
      </c>
      <c r="D37">
        <f>SUMIFS(Table14[Debit], Table14[Date], Table5[[#This Row],[Date]], Table14[Party], "Rashan")</f>
        <v>0</v>
      </c>
      <c r="H37" s="1">
        <v>46071</v>
      </c>
      <c r="J37">
        <f>SUMIFS(Table14[Debit], Table14[Date], Table15[[#This Row],[Date]], Table14[Party], "Parts")</f>
        <v>25000</v>
      </c>
    </row>
    <row r="38" spans="2:10" x14ac:dyDescent="0.3">
      <c r="B38" s="1">
        <v>46072</v>
      </c>
      <c r="C38" t="s">
        <v>113</v>
      </c>
      <c r="D38">
        <f>SUMIFS(Table14[Debit], Table14[Date], Table5[[#This Row],[Date]], Table14[Party], "Rashan")</f>
        <v>0</v>
      </c>
      <c r="H38" s="1">
        <v>46072</v>
      </c>
      <c r="J38">
        <f>SUMIFS(Table14[Debit], Table14[Date], Table15[[#This Row],[Date]], Table14[Party], "Parts")</f>
        <v>33780</v>
      </c>
    </row>
    <row r="39" spans="2:10" x14ac:dyDescent="0.3">
      <c r="B39" s="1">
        <v>46073</v>
      </c>
      <c r="C39" t="s">
        <v>113</v>
      </c>
      <c r="D39">
        <f>SUMIFS(Table14[Debit], Table14[Date], Table5[[#This Row],[Date]], Table14[Party], "Rashan")</f>
        <v>0</v>
      </c>
      <c r="H39" s="1">
        <v>46073</v>
      </c>
      <c r="J39">
        <f>SUMIFS(Table14[Debit], Table14[Date], Table15[[#This Row],[Date]], Table14[Party], "Parts")</f>
        <v>0</v>
      </c>
    </row>
    <row r="40" spans="2:10" x14ac:dyDescent="0.3">
      <c r="B40" s="1">
        <v>46074</v>
      </c>
      <c r="C40" t="s">
        <v>113</v>
      </c>
      <c r="D40">
        <f>SUMIFS(Table14[Debit], Table14[Date], Table5[[#This Row],[Date]], Table14[Party], "Rashan")</f>
        <v>0</v>
      </c>
      <c r="H40" s="1">
        <v>46074</v>
      </c>
      <c r="J40">
        <f>SUMIFS(Table14[Debit], Table14[Date], Table15[[#This Row],[Date]], Table14[Party], "Parts")</f>
        <v>0</v>
      </c>
    </row>
    <row r="41" spans="2:10" x14ac:dyDescent="0.3">
      <c r="B41" s="1">
        <v>46046</v>
      </c>
      <c r="D41">
        <f>SUMIFS(Table14[Debit], Table14[Date], Table5[[#This Row],[Date]], Table14[Party], "Rashan")</f>
        <v>0</v>
      </c>
      <c r="H41" s="1">
        <v>46075</v>
      </c>
      <c r="J41">
        <f>SUMIFS(Table14[Debit], Table14[Date], Table15[[#This Row],[Date]], Table14[Party], "Parts")</f>
        <v>0</v>
      </c>
    </row>
    <row r="42" spans="2:10" x14ac:dyDescent="0.3">
      <c r="B42" s="1"/>
      <c r="D42">
        <f>SUM(Table5[Amount])</f>
        <v>142730</v>
      </c>
      <c r="H42" s="1">
        <v>46076</v>
      </c>
      <c r="J42">
        <f>SUMIFS(Table14[Debit], Table14[Date], Table15[[#This Row],[Date]], Table14[Party], "Parts")</f>
        <v>0</v>
      </c>
    </row>
    <row r="43" spans="2:10" x14ac:dyDescent="0.3">
      <c r="H43" s="1"/>
      <c r="J43">
        <f>SUM(Table15[Amount])</f>
        <v>307771</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topLeftCell="A12" zoomScale="70" workbookViewId="0">
      <selection activeCell="C29" sqref="C29"/>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15256826.19019752</v>
      </c>
    </row>
    <row r="3" spans="1:3" ht="21" x14ac:dyDescent="0.4">
      <c r="A3" s="102" t="str">
        <f>Billing!Q6</f>
        <v>Ejaz Sahab</v>
      </c>
      <c r="B3" s="105">
        <f>Billing!AD6</f>
        <v>6067319</v>
      </c>
      <c r="C3" s="103">
        <f>Billing!AE6</f>
        <v>329454.04316020571</v>
      </c>
    </row>
    <row r="4" spans="1:3" ht="21" x14ac:dyDescent="0.4">
      <c r="A4" s="102" t="str">
        <f>Billing!Q7</f>
        <v>Arshad</v>
      </c>
      <c r="B4" s="105">
        <f>Billing!AD7</f>
        <v>8492501</v>
      </c>
      <c r="C4" s="104">
        <f>Billing!AE7</f>
        <v>111493.14776883647</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4146179</v>
      </c>
      <c r="C12" s="103">
        <f>Billing!AE15</f>
        <v>10980.839063643478</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6024187</v>
      </c>
      <c r="C18" s="104">
        <f>Billing!AE21</f>
        <v>67297.089246526361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1300000</v>
      </c>
      <c r="C29" s="103">
        <f>Billing!AE32</f>
        <v>789305.96196049778</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6" priority="1" operator="lessThan">
      <formula>10</formula>
    </cfRule>
  </conditionalFormatting>
  <conditionalFormatting sqref="C2:C41">
    <cfRule type="cellIs" dxfId="15"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217</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188</v>
      </c>
      <c r="B22" s="10">
        <f>_xlfn.XLOOKUP($A22,[1]Billing!$Q$5:$Q$40,[1]Billing!$AD$5:$AD$40)</f>
        <v>2761895</v>
      </c>
    </row>
    <row r="23" spans="1:2" x14ac:dyDescent="0.3">
      <c r="A23" s="81" t="s">
        <v>191</v>
      </c>
      <c r="B23" s="10">
        <f>_xlfn.XLOOKUP($A23,[1]Billing!$Q$5:$Q$40,[1]Billing!$AD$5:$AD$40)</f>
        <v>424323</v>
      </c>
    </row>
    <row r="24" spans="1:2" x14ac:dyDescent="0.3">
      <c r="A24" s="81" t="s">
        <v>190</v>
      </c>
      <c r="B24" s="10">
        <f>_xlfn.XLOOKUP($A24,[1]Billing!$Q$5:$Q$40,[1]Billing!$AD$5:$AD$40)</f>
        <v>790500</v>
      </c>
    </row>
    <row r="25" spans="1:2" x14ac:dyDescent="0.3">
      <c r="A25" s="81" t="s">
        <v>195</v>
      </c>
      <c r="B25" s="10">
        <f>_xlfn.XLOOKUP($A25,[1]Billing!$Q$5:$Q$40,[1]Billing!$AD$5:$AD$40)</f>
        <v>124560</v>
      </c>
    </row>
    <row r="26" spans="1:2" x14ac:dyDescent="0.3">
      <c r="A26" s="81" t="s">
        <v>200</v>
      </c>
      <c r="B26" s="10">
        <f>_xlfn.XLOOKUP($A26,[1]Billing!$Q$5:$Q$40,[1]Billing!$AD$5:$AD$40)</f>
        <v>250000</v>
      </c>
    </row>
    <row r="27" spans="1:2" x14ac:dyDescent="0.3">
      <c r="A27" s="117" t="s">
        <v>202</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2026-02-22T23:42:37Z</dcterms:modified>
  <cp:category/>
  <cp:contentStatus/>
</cp:coreProperties>
</file>