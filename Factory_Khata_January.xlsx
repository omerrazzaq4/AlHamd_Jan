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242" documentId="8_{EB9B3F02-843B-43AB-9D1E-44A7B86FB663}" xr6:coauthVersionLast="47" xr6:coauthVersionMax="47" xr10:uidLastSave="{23A7B676-8E37-4272-8D2F-858405750812}"/>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18" r:id="rId22"/>
    <pivotCache cacheId="23"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2" i="1" l="1"/>
  <c r="J172" i="1" a="1"/>
  <c r="J172" i="1" s="1"/>
  <c r="I173" i="1"/>
  <c r="J173" i="1" a="1"/>
  <c r="J173" i="1"/>
  <c r="I174" i="1"/>
  <c r="J174" i="1" a="1"/>
  <c r="J174" i="1"/>
  <c r="I175" i="1"/>
  <c r="J175" i="1" a="1"/>
  <c r="J175" i="1"/>
  <c r="H176" i="1"/>
  <c r="H177" i="1"/>
  <c r="H178" i="1"/>
  <c r="H179" i="1"/>
  <c r="H180" i="1"/>
  <c r="H181" i="1"/>
  <c r="G16" i="7"/>
  <c r="H16" i="7" s="1"/>
  <c r="G17" i="7"/>
  <c r="H17" i="7" s="1"/>
  <c r="G18" i="7"/>
  <c r="H18" i="7" s="1"/>
  <c r="G19" i="7"/>
  <c r="H19" i="7"/>
  <c r="C374" i="17"/>
  <c r="I166" i="1"/>
  <c r="J166" i="1" a="1"/>
  <c r="J166" i="1" s="1"/>
  <c r="I167" i="1"/>
  <c r="J167" i="1" a="1"/>
  <c r="J167" i="1" s="1"/>
  <c r="I168" i="1"/>
  <c r="J168" i="1" a="1"/>
  <c r="J168" i="1" s="1"/>
  <c r="I169" i="1"/>
  <c r="J169" i="1" a="1"/>
  <c r="J169" i="1" s="1"/>
  <c r="I170" i="1"/>
  <c r="J170" i="1" a="1"/>
  <c r="J170" i="1" s="1"/>
  <c r="I171" i="1"/>
  <c r="J171" i="1" a="1"/>
  <c r="J171" i="1" s="1"/>
  <c r="C401" i="17"/>
  <c r="A33" i="20"/>
  <c r="C33" i="20"/>
  <c r="A34" i="20"/>
  <c r="B34" i="20"/>
  <c r="C34" i="20"/>
  <c r="A35" i="20"/>
  <c r="B35" i="20"/>
  <c r="C35" i="20"/>
  <c r="A36" i="20"/>
  <c r="B36" i="20"/>
  <c r="C36" i="20"/>
  <c r="A37" i="20"/>
  <c r="B37" i="20"/>
  <c r="C37" i="20"/>
  <c r="A38" i="20"/>
  <c r="B38" i="20"/>
  <c r="C38" i="20"/>
  <c r="A39" i="20"/>
  <c r="B39" i="20"/>
  <c r="C39" i="20"/>
  <c r="A40" i="20"/>
  <c r="B40" i="20"/>
  <c r="C40" i="20"/>
  <c r="I163" i="1"/>
  <c r="J163" i="1" a="1"/>
  <c r="J163" i="1" s="1"/>
  <c r="I164" i="1"/>
  <c r="J164" i="1" a="1"/>
  <c r="J164" i="1" s="1"/>
  <c r="I165" i="1"/>
  <c r="J165" i="1" s="1"/>
  <c r="C387" i="17"/>
  <c r="C380" i="17"/>
  <c r="I158" i="1"/>
  <c r="J158" i="1" a="1"/>
  <c r="J158" i="1" s="1"/>
  <c r="I159" i="1"/>
  <c r="J159" i="1" a="1"/>
  <c r="J159" i="1" s="1"/>
  <c r="I160" i="1"/>
  <c r="J160" i="1" a="1"/>
  <c r="J160" i="1" s="1"/>
  <c r="I161" i="1"/>
  <c r="J161" i="1" a="1"/>
  <c r="J161" i="1" s="1"/>
  <c r="I162" i="1"/>
  <c r="J162" i="1" a="1"/>
  <c r="J162" i="1" s="1"/>
  <c r="I149" i="1"/>
  <c r="J149" i="1" a="1"/>
  <c r="J149" i="1" s="1"/>
  <c r="I150" i="1"/>
  <c r="J150" i="1" a="1"/>
  <c r="J150" i="1" s="1"/>
  <c r="I151" i="1"/>
  <c r="J151" i="1" a="1"/>
  <c r="J151" i="1" s="1"/>
  <c r="I152" i="1"/>
  <c r="J152" i="1" a="1"/>
  <c r="J152" i="1" s="1"/>
  <c r="I153" i="1"/>
  <c r="J153" i="1" a="1"/>
  <c r="J153" i="1" s="1"/>
  <c r="I154" i="1"/>
  <c r="J154" i="1" a="1"/>
  <c r="J154" i="1" s="1"/>
  <c r="I155" i="1"/>
  <c r="J155" i="1" a="1"/>
  <c r="J155" i="1" s="1"/>
  <c r="I156" i="1"/>
  <c r="J156" i="1" a="1"/>
  <c r="J156" i="1" s="1"/>
  <c r="I157" i="1"/>
  <c r="J157" i="1" a="1"/>
  <c r="J157" i="1" s="1"/>
  <c r="I141" i="1"/>
  <c r="J141" i="1" a="1"/>
  <c r="J141" i="1" s="1"/>
  <c r="I142" i="1"/>
  <c r="J142" i="1" a="1"/>
  <c r="J142" i="1" s="1"/>
  <c r="I143" i="1"/>
  <c r="J143" i="1" a="1"/>
  <c r="J143" i="1" s="1"/>
  <c r="I144" i="1"/>
  <c r="J144" i="1" a="1"/>
  <c r="J144" i="1" s="1"/>
  <c r="I145" i="1"/>
  <c r="J145" i="1" a="1"/>
  <c r="J145" i="1" s="1"/>
  <c r="I146" i="1"/>
  <c r="J146" i="1" a="1"/>
  <c r="J146" i="1" s="1"/>
  <c r="I147" i="1"/>
  <c r="J147" i="1" a="1"/>
  <c r="J147" i="1" s="1"/>
  <c r="I148" i="1"/>
  <c r="J148" i="1" a="1"/>
  <c r="J148" i="1" s="1"/>
  <c r="C229" i="17"/>
  <c r="I138" i="1"/>
  <c r="J138" i="1" s="1" a="1"/>
  <c r="J138" i="1" s="1"/>
  <c r="I139" i="1"/>
  <c r="J139" i="1" s="1" a="1"/>
  <c r="J139" i="1" s="1"/>
  <c r="I140" i="1"/>
  <c r="J140" i="1" s="1" a="1"/>
  <c r="J140" i="1" s="1"/>
  <c r="I137" i="1"/>
  <c r="J137" i="1" s="1" a="1"/>
  <c r="J137" i="1" s="1"/>
  <c r="C6" i="8"/>
  <c r="C5" i="8"/>
  <c r="F16" i="15"/>
  <c r="F17" i="15"/>
  <c r="F18" i="15"/>
  <c r="F19"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a="1"/>
  <c r="J82" i="1" s="1"/>
  <c r="I83" i="1"/>
  <c r="J83" i="1" a="1"/>
  <c r="J83" i="1" s="1"/>
  <c r="I84" i="1"/>
  <c r="J84" i="1" a="1"/>
  <c r="J84" i="1" s="1"/>
  <c r="I85" i="1"/>
  <c r="J85" i="1" a="1"/>
  <c r="J85" i="1" s="1"/>
  <c r="I86" i="1"/>
  <c r="J86" i="1" a="1"/>
  <c r="J86" i="1" s="1"/>
  <c r="I87" i="1"/>
  <c r="J87" i="1" a="1"/>
  <c r="J87" i="1" s="1"/>
  <c r="I88" i="1"/>
  <c r="J88" i="1" a="1"/>
  <c r="J88" i="1" s="1"/>
  <c r="I89" i="1"/>
  <c r="J89" i="1" a="1"/>
  <c r="J89" i="1" s="1"/>
  <c r="I90" i="1"/>
  <c r="J90" i="1" a="1"/>
  <c r="J90" i="1" s="1"/>
  <c r="I91" i="1"/>
  <c r="J91" i="1" a="1"/>
  <c r="J91" i="1" s="1"/>
  <c r="I92" i="1"/>
  <c r="J92" i="1" a="1"/>
  <c r="J92" i="1" s="1"/>
  <c r="I93" i="1"/>
  <c r="J93" i="1" a="1"/>
  <c r="J93" i="1" s="1"/>
  <c r="I94" i="1"/>
  <c r="J94" i="1" a="1"/>
  <c r="J94" i="1" s="1"/>
  <c r="I95" i="1"/>
  <c r="J95" i="1" a="1"/>
  <c r="J95" i="1" s="1"/>
  <c r="I96" i="1"/>
  <c r="J96" i="1" a="1"/>
  <c r="J96" i="1" s="1"/>
  <c r="I97" i="1"/>
  <c r="J97" i="1" a="1"/>
  <c r="J97" i="1" s="1"/>
  <c r="I98" i="1"/>
  <c r="J98" i="1" a="1"/>
  <c r="J98" i="1" s="1"/>
  <c r="I99" i="1"/>
  <c r="J99" i="1" a="1"/>
  <c r="J99" i="1" s="1"/>
  <c r="I100" i="1"/>
  <c r="J100" i="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5" i="9"/>
  <c r="D115" i="9"/>
  <c r="E115" i="9"/>
  <c r="F115" i="9"/>
  <c r="G115" i="9"/>
  <c r="V36" i="9" a="1"/>
  <c r="V36" i="9" s="1"/>
  <c r="H115" i="9"/>
  <c r="W36" i="9" a="1"/>
  <c r="W36" i="9" s="1"/>
  <c r="I115" i="9"/>
  <c r="J115" i="9"/>
  <c r="Y36" i="9" a="1"/>
  <c r="Y36" i="9" s="1"/>
  <c r="K115" i="9"/>
  <c r="Z36" i="9" a="1"/>
  <c r="Z36" i="9" s="1"/>
  <c r="L115" i="9"/>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a="1"/>
  <c r="J76" i="1" s="1"/>
  <c r="I77" i="1"/>
  <c r="J77" i="1" s="1" a="1"/>
  <c r="J77" i="1" s="1"/>
  <c r="I78" i="1"/>
  <c r="J78" i="1" s="1" a="1"/>
  <c r="J78" i="1" s="1"/>
  <c r="I79" i="1"/>
  <c r="J79" i="1" s="1" a="1"/>
  <c r="J79" i="1" s="1"/>
  <c r="I80" i="1"/>
  <c r="J80" i="1" a="1"/>
  <c r="J80" i="1" s="1"/>
  <c r="I81" i="1"/>
  <c r="J81" i="1" s="1" a="1"/>
  <c r="J81" i="1" s="1"/>
  <c r="F12" i="15"/>
  <c r="G10" i="15"/>
  <c r="H10" i="15" s="1"/>
  <c r="G11" i="15"/>
  <c r="H11" i="15" s="1"/>
  <c r="G12" i="15"/>
  <c r="H12" i="15" s="1"/>
  <c r="G13" i="15"/>
  <c r="H13" i="15" s="1"/>
  <c r="I63" i="1"/>
  <c r="J63" i="1" s="1" a="1"/>
  <c r="J63" i="1" s="1"/>
  <c r="I64" i="1"/>
  <c r="J64" i="1" a="1"/>
  <c r="J64" i="1" s="1"/>
  <c r="I65" i="1"/>
  <c r="J65" i="1" a="1"/>
  <c r="J65" i="1" s="1"/>
  <c r="I66" i="1"/>
  <c r="J66" i="1" a="1"/>
  <c r="J66" i="1" s="1"/>
  <c r="I67" i="1"/>
  <c r="J67" i="1" s="1" a="1"/>
  <c r="J67" i="1" s="1"/>
  <c r="I68" i="1"/>
  <c r="J68" i="1" a="1"/>
  <c r="J68" i="1" s="1"/>
  <c r="I69" i="1"/>
  <c r="J69" i="1" a="1"/>
  <c r="J69" i="1" s="1"/>
  <c r="I70" i="1"/>
  <c r="J70" i="1" a="1"/>
  <c r="J70" i="1" s="1"/>
  <c r="I71" i="1"/>
  <c r="J71" i="1" s="1" a="1"/>
  <c r="J71" i="1" s="1"/>
  <c r="I72" i="1"/>
  <c r="J72" i="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L79" i="9" s="1" a="1"/>
  <c r="L79" i="9" s="1"/>
  <c r="E20"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26" i="7"/>
  <c r="E27" i="7"/>
  <c r="E28" i="7"/>
  <c r="E29" i="7"/>
  <c r="E30" i="7"/>
  <c r="E31" i="7"/>
  <c r="E32" i="7"/>
  <c r="E33" i="7"/>
  <c r="E34" i="7"/>
  <c r="E35" i="7"/>
  <c r="E36" i="7"/>
  <c r="E37" i="7"/>
  <c r="E38" i="7"/>
  <c r="E39" i="7"/>
  <c r="E40" i="7"/>
  <c r="E41" i="7"/>
  <c r="E42" i="7"/>
  <c r="E43" i="7"/>
  <c r="E44" i="7"/>
  <c r="E45" i="7"/>
  <c r="E24" i="7"/>
  <c r="E50"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62" i="1" s="1"/>
  <c r="E57" i="2"/>
  <c r="F57" i="2"/>
  <c r="H57" i="2"/>
  <c r="I57" i="2"/>
  <c r="D57" i="2"/>
  <c r="E58" i="2"/>
  <c r="F58" i="2"/>
  <c r="H58" i="2" s="1"/>
  <c r="I58" i="2" s="1"/>
  <c r="D58" i="2" s="1"/>
  <c r="G58" i="2"/>
  <c r="H163" i="1"/>
  <c r="F27" i="2"/>
  <c r="H27" i="2" s="1"/>
  <c r="I27" i="2" s="1"/>
  <c r="D27" i="2" s="1"/>
  <c r="E27" i="2"/>
  <c r="E59" i="2"/>
  <c r="F59" i="2"/>
  <c r="G59" i="2" s="1"/>
  <c r="H59" i="2"/>
  <c r="I59" i="2"/>
  <c r="D59" i="2"/>
  <c r="F28" i="2"/>
  <c r="H28" i="2" s="1"/>
  <c r="I28" i="2" s="1"/>
  <c r="D28" i="2" s="1"/>
  <c r="E28" i="2"/>
  <c r="E60" i="2"/>
  <c r="F60" i="2"/>
  <c r="G60" i="2"/>
  <c r="H171" i="1"/>
  <c r="H60" i="2"/>
  <c r="I60" i="2"/>
  <c r="D60" i="2"/>
  <c r="E61" i="2"/>
  <c r="G61" i="2" s="1"/>
  <c r="H166" i="1" s="1"/>
  <c r="F61" i="2"/>
  <c r="H61" i="2" s="1"/>
  <c r="I61" i="2" s="1"/>
  <c r="D61" i="2" s="1"/>
  <c r="E62" i="2"/>
  <c r="F62" i="2"/>
  <c r="G62" i="2" s="1"/>
  <c r="H62" i="2"/>
  <c r="I62" i="2"/>
  <c r="D62" i="2"/>
  <c r="E63" i="2"/>
  <c r="F63" i="2"/>
  <c r="H63" i="2" s="1"/>
  <c r="I63" i="2" s="1"/>
  <c r="D63" i="2" s="1"/>
  <c r="G63" i="2"/>
  <c r="H172" i="1" s="1"/>
  <c r="E64" i="2"/>
  <c r="F64" i="2"/>
  <c r="G64" i="2" s="1"/>
  <c r="H174" i="1" s="1"/>
  <c r="H64" i="2"/>
  <c r="I64" i="2"/>
  <c r="D64" i="2"/>
  <c r="E65" i="2"/>
  <c r="F65" i="2"/>
  <c r="H65" i="2" s="1"/>
  <c r="I65" i="2" s="1"/>
  <c r="D65" i="2" s="1"/>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s="1"/>
  <c r="I45" i="2" s="1"/>
  <c r="D45" i="2" s="1"/>
  <c r="G45" i="2"/>
  <c r="H138" i="1" s="1"/>
  <c r="E46" i="2"/>
  <c r="F46" i="2"/>
  <c r="G46" i="2" s="1"/>
  <c r="H46" i="2"/>
  <c r="I46" i="2"/>
  <c r="D46" i="2"/>
  <c r="E47" i="2"/>
  <c r="F47" i="2"/>
  <c r="H47" i="2" s="1"/>
  <c r="I47" i="2" s="1"/>
  <c r="D47" i="2" s="1"/>
  <c r="E48" i="2"/>
  <c r="F48" i="2"/>
  <c r="H48" i="2"/>
  <c r="I48" i="2"/>
  <c r="D48" i="2"/>
  <c r="F20" i="2"/>
  <c r="G20" i="2" s="1"/>
  <c r="E20" i="2"/>
  <c r="E49" i="2"/>
  <c r="F49" i="2"/>
  <c r="H49" i="2"/>
  <c r="I49" i="2"/>
  <c r="D49" i="2"/>
  <c r="F21" i="2"/>
  <c r="H21" i="2"/>
  <c r="I21" i="2"/>
  <c r="D21" i="2"/>
  <c r="E21" i="2"/>
  <c r="G21" i="2"/>
  <c r="H91" i="1" s="1"/>
  <c r="H79" i="1"/>
  <c r="E50" i="2"/>
  <c r="F50" i="2"/>
  <c r="G50" i="2" s="1"/>
  <c r="H50" i="2"/>
  <c r="I50" i="2"/>
  <c r="D50" i="2"/>
  <c r="E51" i="2"/>
  <c r="F51" i="2"/>
  <c r="H51" i="2"/>
  <c r="I51" i="2"/>
  <c r="D51" i="2"/>
  <c r="E52" i="2"/>
  <c r="G52" i="2" s="1"/>
  <c r="H150" i="1" s="1"/>
  <c r="F52" i="2"/>
  <c r="H52" i="2"/>
  <c r="I52" i="2"/>
  <c r="D52" i="2"/>
  <c r="E53" i="2"/>
  <c r="F53" i="2"/>
  <c r="G53" i="2" s="1"/>
  <c r="H53" i="2"/>
  <c r="I53" i="2"/>
  <c r="D53" i="2"/>
  <c r="E54" i="2"/>
  <c r="F54" i="2"/>
  <c r="F24" i="2"/>
  <c r="E24" i="2"/>
  <c r="E55" i="2"/>
  <c r="F55" i="2"/>
  <c r="H55" i="2"/>
  <c r="I55" i="2"/>
  <c r="D55" i="2"/>
  <c r="F25" i="2"/>
  <c r="G25" i="2"/>
  <c r="H95" i="1" s="1"/>
  <c r="H25" i="2"/>
  <c r="I25" i="2"/>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c r="D6" i="2"/>
  <c r="E6" i="2"/>
  <c r="G6" i="2"/>
  <c r="H100" i="1" s="1"/>
  <c r="F5" i="2"/>
  <c r="G5" i="2" s="1"/>
  <c r="H5" i="2"/>
  <c r="I5" i="2"/>
  <c r="D5" i="2" s="1"/>
  <c r="E5" i="2"/>
  <c r="E34" i="2"/>
  <c r="F34" i="2"/>
  <c r="H34" i="2"/>
  <c r="I34" i="2"/>
  <c r="D34" i="2"/>
  <c r="F18" i="2"/>
  <c r="G18" i="2" s="1"/>
  <c r="H75" i="1" s="1"/>
  <c r="H18" i="2"/>
  <c r="I18" i="2"/>
  <c r="D18" i="2"/>
  <c r="E18" i="2"/>
  <c r="E35" i="2"/>
  <c r="F35" i="2"/>
  <c r="G35" i="2"/>
  <c r="H110" i="1" s="1"/>
  <c r="H35" i="2"/>
  <c r="I35" i="2"/>
  <c r="D35" i="2"/>
  <c r="E36" i="2"/>
  <c r="F36" i="2"/>
  <c r="H36" i="2"/>
  <c r="I36" i="2"/>
  <c r="D36" i="2" s="1"/>
  <c r="F22" i="2"/>
  <c r="G22" i="2" s="1"/>
  <c r="E22" i="2"/>
  <c r="F7" i="2"/>
  <c r="H7" i="2"/>
  <c r="I7" i="2"/>
  <c r="D7" i="2"/>
  <c r="E7" i="2"/>
  <c r="G7" i="2" s="1"/>
  <c r="E37" i="2"/>
  <c r="F37" i="2"/>
  <c r="G37" i="2" s="1"/>
  <c r="H113" i="1" s="1"/>
  <c r="E39" i="2"/>
  <c r="F39" i="2"/>
  <c r="G39" i="2" s="1"/>
  <c r="H118" i="1" s="1"/>
  <c r="E40" i="2"/>
  <c r="F40" i="2"/>
  <c r="G40" i="2" s="1"/>
  <c r="H40" i="2"/>
  <c r="I40" i="2" s="1"/>
  <c r="D40" i="2" s="1"/>
  <c r="E41" i="2"/>
  <c r="F41" i="2"/>
  <c r="G41" i="2"/>
  <c r="H124" i="1"/>
  <c r="H41" i="2"/>
  <c r="I41" i="2"/>
  <c r="D41" i="2"/>
  <c r="E42" i="2"/>
  <c r="F42" i="2"/>
  <c r="G42" i="2" s="1"/>
  <c r="H42" i="2"/>
  <c r="I42" i="2" s="1"/>
  <c r="D42" i="2" s="1"/>
  <c r="E43" i="2"/>
  <c r="F43" i="2"/>
  <c r="H43" i="2"/>
  <c r="I43" i="2"/>
  <c r="D43" i="2"/>
  <c r="E44" i="2"/>
  <c r="F44" i="2"/>
  <c r="G44" i="2" s="1"/>
  <c r="H130" i="1" s="1"/>
  <c r="H44" i="2"/>
  <c r="I44" i="2"/>
  <c r="D44" i="2"/>
  <c r="F19" i="2"/>
  <c r="E19" i="2"/>
  <c r="F38" i="2"/>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3" i="2"/>
  <c r="I13" i="2"/>
  <c r="D13" i="2" s="1"/>
  <c r="E13" i="2"/>
  <c r="F23" i="2"/>
  <c r="H23" i="2"/>
  <c r="I23" i="2"/>
  <c r="D23" i="2"/>
  <c r="E23" i="2"/>
  <c r="F15" i="2"/>
  <c r="G15" i="2"/>
  <c r="H65" i="1"/>
  <c r="H15" i="2"/>
  <c r="I15" i="2"/>
  <c r="D15" i="2" s="1"/>
  <c r="E15" i="2"/>
  <c r="F16" i="2"/>
  <c r="E16" i="2"/>
  <c r="F26" i="2"/>
  <c r="G26" i="2" s="1"/>
  <c r="H26" i="2"/>
  <c r="I26" i="2"/>
  <c r="D26" i="2"/>
  <c r="E26" i="2"/>
  <c r="F29" i="2"/>
  <c r="G29" i="2" s="1"/>
  <c r="H29" i="2"/>
  <c r="I29" i="2"/>
  <c r="D29" i="2" s="1"/>
  <c r="E29" i="2"/>
  <c r="F30" i="2"/>
  <c r="H30" i="2"/>
  <c r="I30" i="2"/>
  <c r="D30" i="2"/>
  <c r="F31" i="2"/>
  <c r="G31" i="2" s="1"/>
  <c r="H104" i="1" s="1"/>
  <c r="E31" i="2"/>
  <c r="F32" i="2"/>
  <c r="G32" i="2" s="1"/>
  <c r="F14" i="2"/>
  <c r="G14" i="2" s="1"/>
  <c r="H63" i="1" s="1"/>
  <c r="H14" i="2"/>
  <c r="I14" i="2" s="1"/>
  <c r="D14" i="2" s="1"/>
  <c r="E14" i="2"/>
  <c r="E30" i="2"/>
  <c r="E32" i="2"/>
  <c r="N4" i="17"/>
  <c r="F12" i="2"/>
  <c r="G12" i="2"/>
  <c r="H64" i="1"/>
  <c r="E12" i="2"/>
  <c r="F11" i="2"/>
  <c r="H11" i="2"/>
  <c r="I11" i="2"/>
  <c r="E11" i="2"/>
  <c r="G11" i="2"/>
  <c r="H66" i="1"/>
  <c r="E17" i="2"/>
  <c r="F17" i="2"/>
  <c r="H17" i="2"/>
  <c r="I17" i="2"/>
  <c r="D17" i="2"/>
  <c r="F9" i="2"/>
  <c r="H9" i="2"/>
  <c r="I9" i="2"/>
  <c r="D9" i="2"/>
  <c r="E9" i="2"/>
  <c r="G9" i="2" s="1"/>
  <c r="H68" i="1" s="1"/>
  <c r="E8" i="2"/>
  <c r="F8" i="2"/>
  <c r="G8" i="2" s="1"/>
  <c r="H67" i="1" s="1"/>
  <c r="H8" i="2"/>
  <c r="I8" i="2"/>
  <c r="D8" i="2"/>
  <c r="E10" i="2"/>
  <c r="E4" i="2"/>
  <c r="C8" i="8"/>
  <c r="F10" i="2"/>
  <c r="H10" i="2"/>
  <c r="I10" i="2"/>
  <c r="D10" i="2"/>
  <c r="F4" i="2"/>
  <c r="G4" i="2" s="1"/>
  <c r="H4" i="2"/>
  <c r="I4" i="2"/>
  <c r="D4" i="2"/>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56" i="2"/>
  <c r="I56" i="2"/>
  <c r="D56" i="2"/>
  <c r="G73" i="2"/>
  <c r="G79" i="2"/>
  <c r="H47" i="1"/>
  <c r="G74" i="2"/>
  <c r="G72" i="2"/>
  <c r="H68" i="2"/>
  <c r="I68" i="2"/>
  <c r="D68" i="2"/>
  <c r="G78" i="2"/>
  <c r="G69" i="2"/>
  <c r="C9" i="8"/>
  <c r="H122" i="6"/>
  <c r="X36" i="9" a="1"/>
  <c r="X36" i="9" s="1"/>
  <c r="H22" i="1"/>
  <c r="H5" i="1"/>
  <c r="H27" i="1"/>
  <c r="H48" i="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55" i="2"/>
  <c r="H159" i="1"/>
  <c r="G54" i="2"/>
  <c r="H152" i="1" s="1"/>
  <c r="H54" i="2"/>
  <c r="I54" i="2" s="1"/>
  <c r="D54" i="2" s="1"/>
  <c r="G49" i="2"/>
  <c r="H145" i="1"/>
  <c r="H142" i="1"/>
  <c r="H160" i="1"/>
  <c r="G17" i="2"/>
  <c r="H175" i="1" s="1"/>
  <c r="H161" i="1"/>
  <c r="G51" i="2"/>
  <c r="H158" i="1" s="1"/>
  <c r="H147" i="1"/>
  <c r="H24" i="2"/>
  <c r="I24" i="2" s="1"/>
  <c r="D24" i="2" s="1"/>
  <c r="N115" i="9"/>
  <c r="AA36" i="9" a="1"/>
  <c r="AA36" i="9" s="1"/>
  <c r="I122" i="6"/>
  <c r="G47" i="2"/>
  <c r="H140" i="1" s="1"/>
  <c r="H39" i="2"/>
  <c r="I39" i="2"/>
  <c r="D39" i="2"/>
  <c r="G28" i="2"/>
  <c r="H101" i="1" s="1"/>
  <c r="H32" i="2"/>
  <c r="I32" i="2"/>
  <c r="D32" i="2"/>
  <c r="H22" i="2"/>
  <c r="I22" i="2"/>
  <c r="D22" i="2"/>
  <c r="H20" i="2"/>
  <c r="I20" i="2"/>
  <c r="D20" i="2" s="1"/>
  <c r="H38" i="2"/>
  <c r="I38" i="2"/>
  <c r="D38" i="2"/>
  <c r="D2" i="17"/>
  <c r="N5" i="17" s="1"/>
  <c r="D3" i="17"/>
  <c r="N6" i="17"/>
  <c r="B18" i="21"/>
  <c r="B9" i="21"/>
  <c r="B24" i="21"/>
  <c r="B26" i="21"/>
  <c r="B15" i="21"/>
  <c r="B27" i="21"/>
  <c r="B20" i="21"/>
  <c r="B25" i="21"/>
  <c r="B11" i="21"/>
  <c r="B16" i="21"/>
  <c r="B13" i="21"/>
  <c r="O115" i="9"/>
  <c r="B6" i="21"/>
  <c r="B12" i="21"/>
  <c r="B10" i="21"/>
  <c r="B23" i="21"/>
  <c r="B5" i="21"/>
  <c r="B4" i="21"/>
  <c r="B19" i="21"/>
  <c r="B8" i="21"/>
  <c r="B22" i="21"/>
  <c r="B2" i="21"/>
  <c r="B14" i="21"/>
  <c r="B21" i="21"/>
  <c r="B3" i="21"/>
  <c r="B7" i="21"/>
  <c r="B17" i="21"/>
  <c r="AD36" i="9"/>
  <c r="B33" i="20" s="1"/>
  <c r="P115" i="9"/>
  <c r="H96" i="1"/>
  <c r="H126" i="1"/>
  <c r="H89" i="1"/>
  <c r="G27" i="2"/>
  <c r="H93" i="1"/>
  <c r="H12" i="2"/>
  <c r="I12" i="2"/>
  <c r="D12" i="2"/>
  <c r="G19" i="2"/>
  <c r="H76" i="1"/>
  <c r="H144" i="1"/>
  <c r="G16" i="2"/>
  <c r="H69" i="1"/>
  <c r="G34" i="2"/>
  <c r="H108" i="1"/>
  <c r="G24" i="2"/>
  <c r="H86" i="1"/>
  <c r="G57" i="2"/>
  <c r="H168" i="1"/>
  <c r="G30" i="2"/>
  <c r="H103" i="1"/>
  <c r="A31" i="20"/>
  <c r="A32" i="20"/>
  <c r="H74" i="1"/>
  <c r="H78" i="1"/>
  <c r="H155" i="1"/>
  <c r="H133" i="1"/>
  <c r="H132" i="1"/>
  <c r="H131" i="1"/>
  <c r="H111" i="1"/>
  <c r="H85" i="1"/>
  <c r="G36" i="2"/>
  <c r="H112" i="1"/>
  <c r="G48" i="2"/>
  <c r="H141" i="1" s="1"/>
  <c r="H16" i="2"/>
  <c r="I16" i="2" s="1"/>
  <c r="D16" i="2" s="1"/>
  <c r="G43" i="2"/>
  <c r="H129" i="1" s="1"/>
  <c r="H19" i="2"/>
  <c r="I19" i="2"/>
  <c r="D19" i="2"/>
  <c r="G23" i="2"/>
  <c r="H82" i="1" s="1"/>
  <c r="G10" i="2"/>
  <c r="A26" i="20"/>
  <c r="A28" i="20"/>
  <c r="A6" i="20"/>
  <c r="A23" i="20"/>
  <c r="A8" i="20"/>
  <c r="A10" i="20"/>
  <c r="A7" i="20"/>
  <c r="A25" i="20"/>
  <c r="A24" i="20"/>
  <c r="H70" i="1"/>
  <c r="H84" i="1"/>
  <c r="H154" i="1"/>
  <c r="H94" i="1"/>
  <c r="H92" i="1"/>
  <c r="C2" i="2"/>
  <c r="H72" i="1" l="1"/>
  <c r="H73" i="1"/>
  <c r="H164" i="1"/>
  <c r="H169" i="1"/>
  <c r="H71" i="1"/>
  <c r="H115" i="1"/>
  <c r="H123" i="1"/>
  <c r="H107" i="1"/>
  <c r="H121" i="1"/>
  <c r="H102" i="1"/>
  <c r="H116" i="1"/>
  <c r="H120" i="1"/>
  <c r="H119" i="1"/>
  <c r="H99" i="1"/>
  <c r="H98" i="1"/>
  <c r="H90" i="1"/>
  <c r="H136" i="1"/>
  <c r="H173" i="1"/>
  <c r="H170" i="1"/>
  <c r="H77" i="1"/>
  <c r="H80" i="1"/>
  <c r="H109" i="1"/>
  <c r="H105" i="1"/>
  <c r="H153" i="1"/>
  <c r="H151" i="1"/>
  <c r="H114" i="1"/>
  <c r="H122" i="1"/>
  <c r="H117" i="1"/>
  <c r="H125" i="1"/>
  <c r="H83" i="1"/>
  <c r="H81" i="1"/>
  <c r="H149" i="1"/>
  <c r="H157" i="1"/>
  <c r="H146" i="1"/>
  <c r="H167" i="1"/>
  <c r="H148" i="1"/>
  <c r="H156" i="1"/>
  <c r="H128" i="1"/>
  <c r="H137" i="1"/>
  <c r="H134" i="1"/>
  <c r="H143" i="1"/>
  <c r="H165" i="1"/>
  <c r="H37" i="2"/>
  <c r="I37" i="2" s="1"/>
  <c r="D37" i="2" s="1"/>
  <c r="H135" i="1"/>
  <c r="H87" i="1"/>
  <c r="G33" i="2"/>
  <c r="H106" i="1" s="1"/>
  <c r="H88" i="1"/>
  <c r="H139" i="1"/>
  <c r="H31" i="2"/>
  <c r="I31" i="2" s="1"/>
  <c r="D31" i="2" s="1"/>
  <c r="H97" i="1"/>
  <c r="H127" i="1"/>
  <c r="A4" i="20"/>
  <c r="Q5" i="9"/>
  <c r="A2" i="20" s="1"/>
  <c r="A18" i="20"/>
  <c r="A3" i="20"/>
  <c r="A19" i="20"/>
  <c r="A16" i="20"/>
  <c r="A13" i="20"/>
  <c r="G85" i="9"/>
  <c r="V6" i="9" s="1" a="1"/>
  <c r="V6" i="9" s="1"/>
  <c r="I91" i="9"/>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C110" i="9"/>
  <c r="R31" i="9" s="1" a="1"/>
  <c r="R31" i="9" s="1"/>
  <c r="O56" i="9"/>
  <c r="J90" i="9"/>
  <c r="Y11" i="9" s="1" a="1"/>
  <c r="Y11" i="9" s="1"/>
  <c r="D108" i="9"/>
  <c r="S29" i="9" s="1" a="1"/>
  <c r="S29" i="9" s="1"/>
  <c r="J86" i="9"/>
  <c r="Y7" i="9" s="1" a="1"/>
  <c r="Y7" i="9" s="1"/>
  <c r="G100" i="9"/>
  <c r="L65" i="9" a="1"/>
  <c r="L65" i="9" s="1"/>
  <c r="K103" i="9"/>
  <c r="O64" i="9"/>
  <c r="J72" i="9" a="1"/>
  <c r="J72" i="9" s="1"/>
  <c r="G91" i="9"/>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O110" i="9"/>
  <c r="AD31" i="9" s="1"/>
  <c r="B28" i="20" s="1"/>
  <c r="M102" i="9"/>
  <c r="AB23" i="9" s="1" a="1"/>
  <c r="AB23" i="9" s="1"/>
  <c r="H97" i="9"/>
  <c r="W18" i="9" s="1" a="1"/>
  <c r="W18" i="9" s="1"/>
  <c r="D110" i="9"/>
  <c r="S31" i="9" s="1" a="1"/>
  <c r="S31" i="9" s="1"/>
  <c r="O112" i="9"/>
  <c r="AD33" i="9" s="1"/>
  <c r="B30" i="20" s="1"/>
  <c r="L112" i="9"/>
  <c r="AA33" i="9" s="1" a="1"/>
  <c r="AA33" i="9" s="1"/>
  <c r="M107" i="9"/>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U34" i="9" a="1"/>
  <c r="U34" i="9" s="1"/>
  <c r="H52" i="9" a="1"/>
  <c r="H52" i="9" s="1"/>
  <c r="V21" i="9" a="1"/>
  <c r="V21" i="9" s="1"/>
  <c r="G94" i="9"/>
  <c r="V15" i="9" s="1" a="1"/>
  <c r="V15" i="9" s="1"/>
  <c r="G87" i="9"/>
  <c r="V8" i="9" s="1" a="1"/>
  <c r="V8" i="9" s="1"/>
  <c r="G96" i="9"/>
  <c r="V17" i="9" s="1" a="1"/>
  <c r="V17" i="9" s="1"/>
  <c r="X12" i="9" a="1"/>
  <c r="X12"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L90" i="9"/>
  <c r="AA11" i="9" s="1" a="1"/>
  <c r="AA11" i="9" s="1"/>
  <c r="G101" i="9"/>
  <c r="V22" i="9" s="1" a="1"/>
  <c r="V22" i="9" s="1"/>
  <c r="F111" i="9"/>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K91" i="9"/>
  <c r="Z12" i="9" s="1" a="1"/>
  <c r="Z12" i="9" s="1"/>
  <c r="K63" i="9" a="1"/>
  <c r="K63" i="9" s="1"/>
  <c r="K97" i="9"/>
  <c r="Z18" i="9" s="1" a="1"/>
  <c r="Z18" i="9" s="1"/>
  <c r="I69" i="9" a="1"/>
  <c r="I69" i="9" s="1"/>
  <c r="M60" i="9" a="1"/>
  <c r="M60" i="9" s="1"/>
  <c r="L56" i="9" a="1"/>
  <c r="L56" i="9" s="1"/>
  <c r="H85" i="9"/>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D14" i="19" s="1" a="1"/>
  <c r="D14" i="19" s="1"/>
  <c r="E14" i="19" s="1"/>
  <c r="K69" i="9" a="1"/>
  <c r="K69" i="9" s="1"/>
  <c r="F90" i="9"/>
  <c r="U11" i="9" s="1" a="1"/>
  <c r="U11" i="9" s="1"/>
  <c r="L53" i="9" a="1"/>
  <c r="L53" i="9" s="1"/>
  <c r="M101" i="9"/>
  <c r="AB22" i="9" s="1" a="1"/>
  <c r="AB22" i="9" s="1"/>
  <c r="E98" i="9"/>
  <c r="T19" i="9" s="1" a="1"/>
  <c r="T19" i="9" s="1"/>
  <c r="O113" i="9"/>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K86" i="9"/>
  <c r="Z7" i="9" s="1" a="1"/>
  <c r="Z7" i="9" s="1"/>
  <c r="O91" i="9"/>
  <c r="AD12" i="9" s="1"/>
  <c r="B9" i="20" s="1"/>
  <c r="H50" i="9" a="1"/>
  <c r="H50" i="9" s="1"/>
  <c r="K52" i="9" a="1"/>
  <c r="K52" i="9" s="1"/>
  <c r="I88" i="9"/>
  <c r="X9" i="9" s="1" a="1"/>
  <c r="X9" i="9" s="1"/>
  <c r="J87" i="9"/>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V12" i="9" a="1"/>
  <c r="V12"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Z24" i="9" a="1"/>
  <c r="Z24" i="9" s="1"/>
  <c r="O55" i="9"/>
  <c r="O73" i="9"/>
  <c r="L99" i="9"/>
  <c r="H59" i="9" a="1"/>
  <c r="H59" i="9" s="1"/>
  <c r="L54" i="9" a="1"/>
  <c r="L54" i="9" s="1"/>
  <c r="E112" i="9"/>
  <c r="T33" i="9" s="1" a="1"/>
  <c r="T33" i="9" s="1"/>
  <c r="K70" i="9" a="1"/>
  <c r="K70" i="9" s="1"/>
  <c r="M105" i="9"/>
  <c r="AB26" i="9" s="1" a="1"/>
  <c r="AB26" i="9" s="1"/>
  <c r="E96" i="9"/>
  <c r="T17" i="9" s="1" a="1"/>
  <c r="T17" i="9" s="1"/>
  <c r="M97" i="9"/>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W8" i="9" a="1"/>
  <c r="W8" i="9" s="1"/>
  <c r="I94" i="9"/>
  <c r="X15" i="9" s="1" a="1"/>
  <c r="X15" i="9" s="1"/>
  <c r="O78" i="9"/>
  <c r="I72" i="9" a="1"/>
  <c r="I72" i="9" s="1"/>
  <c r="M99" i="9"/>
  <c r="AB20" i="9" s="1" a="1"/>
  <c r="AB20" i="9" s="1"/>
  <c r="E113" i="9"/>
  <c r="T34" i="9" s="1" a="1"/>
  <c r="T34" i="9" s="1"/>
  <c r="D96" i="9"/>
  <c r="S17" i="9" s="1" a="1"/>
  <c r="S17" i="9" s="1"/>
  <c r="K55" i="9" a="1"/>
  <c r="K55" i="9" s="1"/>
  <c r="J65" i="9" a="1"/>
  <c r="J65" i="9" s="1"/>
  <c r="M103" i="9"/>
  <c r="L114" i="9"/>
  <c r="AA35" i="9" s="1" a="1"/>
  <c r="AA35" i="9" s="1"/>
  <c r="M69" i="9" a="1"/>
  <c r="M69" i="9" s="1"/>
  <c r="W23" i="9" a="1"/>
  <c r="W23"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S30" i="9" a="1"/>
  <c r="S30" i="9" s="1"/>
  <c r="O108" i="9"/>
  <c r="H87" i="9"/>
  <c r="J85" i="9"/>
  <c r="Y6" i="9" s="1" a="1"/>
  <c r="Y6" i="9" s="1"/>
  <c r="L103" i="9"/>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O111" i="9"/>
  <c r="AD32" i="9" s="1"/>
  <c r="B29" i="20" s="1"/>
  <c r="O88" i="9"/>
  <c r="AD9" i="9" s="1"/>
  <c r="B6" i="20" s="1"/>
  <c r="G67" i="9" a="1"/>
  <c r="G67" i="9" s="1"/>
  <c r="H65" i="9" a="1"/>
  <c r="H65" i="9" s="1"/>
  <c r="G69" i="9" a="1"/>
  <c r="G69" i="9" s="1"/>
  <c r="W6" i="9" a="1"/>
  <c r="W6" i="9" s="1"/>
  <c r="W12" i="9" a="1"/>
  <c r="W12" i="9" s="1"/>
  <c r="G49" i="9" a="1"/>
  <c r="G49" i="9" s="1"/>
  <c r="L68" i="9" a="1"/>
  <c r="L68" i="9" s="1"/>
  <c r="H57" i="9" a="1"/>
  <c r="H57" i="9" s="1"/>
  <c r="H75" i="9" a="1"/>
  <c r="H75" i="9" s="1"/>
  <c r="H56" i="9" a="1"/>
  <c r="H56" i="9" s="1"/>
  <c r="V7" i="9" a="1"/>
  <c r="V7" i="9" s="1"/>
  <c r="J182" i="1" a="1"/>
  <c r="J182" i="1" s="1"/>
  <c r="A17" i="20"/>
  <c r="K113" i="9"/>
  <c r="Z34" i="9" s="1" a="1"/>
  <c r="Z34" i="9" s="1"/>
  <c r="K72" i="9" a="1"/>
  <c r="K72" i="9" s="1"/>
  <c r="T27" i="9" a="1"/>
  <c r="T27"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D12" i="19" s="1" a="1"/>
  <c r="D12" i="19" s="1"/>
  <c r="F106" i="9"/>
  <c r="U27" i="9" s="1" a="1"/>
  <c r="U27" i="9" s="1"/>
  <c r="G86" i="9"/>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AD30" i="9"/>
  <c r="B27" i="20" s="1"/>
  <c r="H79" i="9" a="1"/>
  <c r="H79" i="9" s="1"/>
  <c r="G59" i="9" a="1"/>
  <c r="G59" i="9" s="1"/>
  <c r="D8" i="19" a="1"/>
  <c r="D8" i="1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V14" i="9" a="1"/>
  <c r="V14"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AB18" i="9" a="1"/>
  <c r="AB18" i="9" s="1"/>
  <c r="O60" i="9"/>
  <c r="K71" i="9" a="1"/>
  <c r="K71" i="9" s="1"/>
  <c r="AB28" i="9" a="1"/>
  <c r="AB28" i="9" s="1"/>
  <c r="I58" i="9" a="1"/>
  <c r="I58" i="9" s="1"/>
  <c r="O69" i="9"/>
  <c r="I59" i="9" a="1"/>
  <c r="I59" i="9" s="1"/>
  <c r="H51" i="9" a="1"/>
  <c r="H51" i="9" s="1"/>
  <c r="K95" i="9"/>
  <c r="Z16" i="9" s="1" a="1"/>
  <c r="Z16" i="9" s="1"/>
  <c r="I75" i="9" a="1"/>
  <c r="I75" i="9" s="1"/>
  <c r="G93" i="9"/>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D29" i="9"/>
  <c r="B26" i="20" s="1"/>
  <c r="A15" i="20"/>
  <c r="AD34" i="9"/>
  <c r="B31" i="20" s="1"/>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182" i="1"/>
  <c r="H76" i="9" a="1"/>
  <c r="H76" i="9" s="1"/>
  <c r="G51" i="9" a="1"/>
  <c r="G51" i="9" s="1"/>
  <c r="AA24" i="9" a="1"/>
  <c r="AA24" i="9" s="1"/>
  <c r="I182" i="1" a="1"/>
  <c r="I182" i="1" s="1"/>
  <c r="E5" i="8" s="1"/>
  <c r="M72" i="9" a="1"/>
  <c r="M72" i="9" s="1"/>
  <c r="Y8" i="9" a="1"/>
  <c r="Y8"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AB17" i="9" a="1"/>
  <c r="AB17" i="9" s="1"/>
  <c r="H108" i="9"/>
  <c r="K77" i="9" a="1"/>
  <c r="K77" i="9" s="1"/>
  <c r="M61" i="9" a="1"/>
  <c r="M61" i="9" s="1"/>
  <c r="J57" i="9" a="1"/>
  <c r="J57" i="9" s="1"/>
  <c r="M67" i="9" a="1"/>
  <c r="M67" i="9" s="1"/>
  <c r="F105" i="9"/>
  <c r="H105" i="9"/>
  <c r="D88" i="9"/>
  <c r="S9" i="9" s="1" a="1"/>
  <c r="S9" i="9" s="1"/>
  <c r="U26" i="9" a="1"/>
  <c r="U26" i="9" s="1"/>
  <c r="L100" i="9"/>
  <c r="AA21" i="9" s="1" a="1"/>
  <c r="AA21" i="9" s="1"/>
  <c r="D107" i="9"/>
  <c r="S28" i="9" s="1" a="1"/>
  <c r="S28" i="9" s="1"/>
  <c r="J71" i="9" a="1"/>
  <c r="J71" i="9" s="1"/>
  <c r="F88" i="9"/>
  <c r="U9" i="9" s="1" a="1"/>
  <c r="U9" i="9" s="1"/>
  <c r="F98" i="9"/>
  <c r="U19" i="9" s="1" a="1"/>
  <c r="U19" i="9" s="1"/>
  <c r="AA20" i="9" a="1"/>
  <c r="AA20" i="9" s="1"/>
  <c r="E101" i="9"/>
  <c r="T22" i="9" s="1" a="1"/>
  <c r="T22" i="9" s="1"/>
  <c r="L60" i="9" a="1"/>
  <c r="L60" i="9" s="1"/>
  <c r="U32" i="9" a="1"/>
  <c r="U32"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R34" i="9" a="1"/>
  <c r="R34" i="9" s="1"/>
  <c r="J52" i="9" a="1"/>
  <c r="J52" i="9" s="1"/>
  <c r="R11" i="9" a="1"/>
  <c r="R11" i="9" s="1"/>
  <c r="Y23" i="9" a="1"/>
  <c r="Y23"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AB24" i="9" a="1"/>
  <c r="AB24" i="9" s="1"/>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AC36" i="9"/>
  <c r="K6" i="6"/>
  <c r="C4" i="8" s="1"/>
  <c r="G122" i="6"/>
  <c r="D437" i="17"/>
  <c r="K5" i="17" s="1"/>
  <c r="C16" i="10"/>
  <c r="C12" i="10"/>
  <c r="N7" i="17"/>
  <c r="P7" i="17" s="1"/>
  <c r="C43" i="12"/>
  <c r="D44" i="18"/>
  <c r="C11" i="8" s="1"/>
  <c r="G23" i="15"/>
  <c r="E44" i="18"/>
  <c r="I37" i="12"/>
  <c r="J43" i="14"/>
  <c r="C12" i="8" s="1"/>
  <c r="D42" i="14"/>
  <c r="C10" i="8" s="1"/>
  <c r="H23" i="15"/>
  <c r="H20" i="7"/>
  <c r="C437" i="17"/>
  <c r="D2" i="2"/>
  <c r="C6" i="9" l="1"/>
  <c r="E18" i="19" a="1"/>
  <c r="E18" i="19" s="1"/>
  <c r="B18" i="20"/>
  <c r="N87" i="9"/>
  <c r="C13" i="9"/>
  <c r="C16" i="9"/>
  <c r="F49" i="9" a="1"/>
  <c r="F49" i="9" s="1"/>
  <c r="N107" i="9"/>
  <c r="C49" i="9" a="1"/>
  <c r="C49" i="9" s="1"/>
  <c r="H49" i="9" a="1"/>
  <c r="H49" i="9" s="1"/>
  <c r="C15" i="9"/>
  <c r="N68" i="9"/>
  <c r="P68" i="9" s="1"/>
  <c r="AC33" i="9"/>
  <c r="AE33" i="9" s="1"/>
  <c r="C30" i="20" s="1"/>
  <c r="N62" i="9"/>
  <c r="P62" i="9" s="1"/>
  <c r="AC30" i="9"/>
  <c r="AE30" i="9" s="1"/>
  <c r="C27" i="20" s="1"/>
  <c r="N74" i="9"/>
  <c r="P74" i="9" s="1"/>
  <c r="E49" i="9" a="1"/>
  <c r="E49" i="9" s="1"/>
  <c r="H84" i="9"/>
  <c r="J84" i="9"/>
  <c r="C84" i="9"/>
  <c r="K49" i="9" a="1"/>
  <c r="K49" i="9" s="1"/>
  <c r="L84" i="9"/>
  <c r="AA5" i="9" s="1" a="1"/>
  <c r="AA5" i="9" s="1"/>
  <c r="J49" i="9" a="1"/>
  <c r="J49" i="9" s="1"/>
  <c r="R5" i="9" a="1"/>
  <c r="R5" i="9" s="1"/>
  <c r="E84" i="9"/>
  <c r="T5" i="9" s="1" a="1"/>
  <c r="T5" i="9" s="1"/>
  <c r="F84" i="9"/>
  <c r="U5" i="9" s="1" a="1"/>
  <c r="U5" i="9" s="1"/>
  <c r="D84" i="9"/>
  <c r="M49" i="9" a="1"/>
  <c r="M49" i="9" s="1"/>
  <c r="I49" i="9" a="1"/>
  <c r="I49" i="9" s="1"/>
  <c r="I84" i="9"/>
  <c r="X5" i="9" s="1" a="1"/>
  <c r="X5" i="9" s="1"/>
  <c r="B2" i="9"/>
  <c r="O84" i="9"/>
  <c r="AD5" i="9" s="1"/>
  <c r="B2" i="20" s="1"/>
  <c r="O49" i="9"/>
  <c r="M84" i="9"/>
  <c r="AB5" i="9" s="1" a="1"/>
  <c r="AB5" i="9" s="1"/>
  <c r="S5" i="9" a="1"/>
  <c r="S5" i="9" s="1"/>
  <c r="K84" i="9"/>
  <c r="Z5" i="9" s="1" a="1"/>
  <c r="Z5" i="9" s="1"/>
  <c r="C12" i="19" a="1"/>
  <c r="C12" i="19" s="1"/>
  <c r="E12" i="19" s="1"/>
  <c r="E16"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W5" i="9" a="1"/>
  <c r="W5" i="9"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P87" i="9"/>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E20" i="19" s="1" a="1"/>
  <c r="E20" i="1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P107" i="9"/>
  <c r="C19" i="10"/>
  <c r="F44" i="18"/>
  <c r="C14" i="8"/>
  <c r="C4" i="10" s="1"/>
  <c r="F437" i="17"/>
  <c r="K4" i="17"/>
  <c r="K6" i="17" s="1"/>
  <c r="N49" i="9" l="1"/>
  <c r="P49" i="9" s="1"/>
  <c r="E2" i="9"/>
  <c r="C2" i="9"/>
  <c r="N84" i="9"/>
  <c r="P84" i="9" s="1"/>
  <c r="Y5" i="9" a="1"/>
  <c r="Y5" i="9" s="1"/>
  <c r="AC5" i="9" s="1"/>
  <c r="AE5" i="9" s="1"/>
  <c r="C2" i="20" s="1"/>
  <c r="C21" i="9"/>
  <c r="C23" i="9"/>
  <c r="C3" i="10" s="1"/>
  <c r="C11" i="10" s="1"/>
  <c r="C13" i="10" s="1"/>
  <c r="E14" i="8"/>
  <c r="C18" i="20"/>
  <c r="AE27" i="9"/>
  <c r="C24" i="20" s="1"/>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<sst xmlns="http://schemas.openxmlformats.org/spreadsheetml/2006/main" count="2364" uniqueCount="543">
  <si>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</si>
  <si>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</si>
  <si>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</si>
  <si>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</si>
  <si>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</si>
  <si>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</si>
  <si>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</si>
  <si>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</si>
  <si>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</si>
  <si>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</si>
  <si>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</si>
  <si>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</si>
  <si>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</si>
  <si>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</si>
  <si>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</si>
  <si>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</si>
  <si>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</si>
  <si>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</si>
  <si>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</si>
  <si>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</si>
  <si>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</si>
  <si>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</si>
  <si>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</si>
  <si>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</si>
  <si>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</si>
  <si>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</si>
  <si>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</si>
  <si>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</si>
  <si>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</si>
  <si>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</si>
  <si>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</si>
  <si>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</si>
  <si>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</si>
  <si>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</si>
  <si>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</si>
  <si>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</si>
  <si>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</si>
  <si>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</si>
  <si>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</si>
  <si>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</si>
  <si>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</si>
  <si>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</si>
  <si>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</si>
  <si>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</si>
  <si>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</si>
  <si>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</si>
  <si>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</si>
  <si>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</si>
  <si>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</si>
  <si>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</si>
  <si>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</si>
  <si>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</si>
  <si>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</si>
  <si>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</si>
  <si>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</si>
  <si>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</si>
  <si>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</si>
  <si>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</si>
  <si>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</si>
  <si>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</si>
  <si>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</si>
  <si>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</si>
  <si>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</si>
  <si>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</si>
  <si>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</si>
  <si>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</si>
  <si>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</si>
  <si>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</si>
  <si>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</si>
  <si>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</si>
  <si>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</si>
  <si>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</si>
  <si>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</si>
  <si>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</si>
  <si>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</si>
  <si>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</si>
  <si>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</si>
  <si>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</si>
  <si>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</si>
  <si>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</si>
  <si>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</si>
  <si>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</si>
  <si>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</si>
  <si>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</si>
  <si>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</si>
  <si>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</si>
  <si>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</si>
  <si>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</si>
  <si>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</si>
  <si>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</si>
  <si>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</si>
  <si>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</si>
  <si>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</si>
  <si>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</si>
  <si>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</si>
  <si>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</si>
  <si>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</si>
  <si>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</si>
  <si>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</si>
  <si>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</si>
  <si>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</si>
  <si>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</si>
  <si>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</si>
  <si>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</si>
  <si>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</si>
  <si>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</si>
  <si>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</si>
  <si>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</si>
  <si>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</si>
  <si>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</si>
  <si>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</si>
  <si>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</si>
  <si>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</si>
  <si>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</si>
  <si>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</si>
  <si>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</si>
  <si>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</si>
  <si>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</si>
  <si>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</si>
  <si>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</si>
  <si>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</si>
  <si>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</si>
  <si>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</si>
  <si>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</si>
  <si>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</si>
  <si>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</si>
  <si>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</si>
  <si>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</si>
  <si>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</si>
  <si>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</si>
  <si>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</si>
  <si>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</si>
  <si>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</si>
  <si>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</si>
  <si>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</si>
  <si>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</si>
  <si>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</si>
  <si>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</si>
  <si>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</si>
  <si>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</si>
  <si>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</si>
  <si>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</si>
  <si>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</si>
  <si>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</si>
  <si>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</si>
  <si>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</si>
  <si>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</si>
  <si>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</si>
  <si>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</si>
  <si>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</si>
  <si>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</si>
  <si>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</si>
  <si>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</si>
  <si>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</si>
  <si>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</si>
  <si>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</si>
  <si>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</si>
  <si>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</si>
  <si>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</si>
  <si>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</si>
  <si>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</si>
  <si>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</si>
  <si>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</si>
  <si>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</si>
  <si>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</si>
  <si>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</si>
  <si>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</si>
  <si>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</si>
  <si>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</si>
  <si>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</si>
  <si>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</si>
  <si>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</si>
  <si>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</si>
  <si>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</si>
  <si>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</si>
  <si>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</si>
  <si>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</si>
  <si>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</si>
  <si>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</si>
  <si>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</si>
  <si>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</si>
  <si>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</si>
  <si>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</si>
  <si>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</si>
  <si>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</si>
  <si>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</si>
  <si>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</si>
  <si>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</si>
  <si>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</si>
  <si>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</si>
  <si>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</si>
  <si>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</si>
  <si>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</si>
  <si>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</si>
  <si>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</si>
  <si>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</si>
  <si>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</si>
  <si>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</si>
  <si>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</si>
  <si>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</si>
  <si>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</si>
  <si>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</si>
  <si>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</si>
  <si>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</si>
  <si>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</si>
  <si>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</si>
  <si>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</si>
  <si>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</si>
  <si>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</si>
  <si>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</si>
  <si>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</si>
  <si>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</si>
  <si>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</si>
  <si>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</si>
  <si>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</si>
  <si>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</si>
  <si>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</si>
  <si>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</si>
  <si>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</si>
  <si>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</si>
  <si>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</si>
  <si>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</si>
  <si>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</si>
  <si>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</si>
  <si>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</si>
  <si>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</si>
  <si>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</si>
  <si>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</si>
  <si>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</si>
  <si>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</si>
  <si>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</si>
  <si>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</si>
  <si>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</si>
  <si>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</si>
  <si>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</si>
  <si>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</si>
  <si>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</si>
  <si>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</si>
  <si>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</si>
  <si>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</si>
  <si>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</si>
  <si>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</si>
  <si>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</si>
  <si>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</si>
  <si>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</si>
  <si>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</si>
  <si>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</si>
  <si>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</si>
  <si>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</si>
  <si>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</si>
  <si>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</si>
  <si>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</si>
  <si>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</si>
  <si>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</si>
  <si>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</si>
  <si>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</si>
  <si>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</si>
  <si>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</si>
  <si>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</si>
  <si>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</si>
  <si>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</si>
  <si>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</si>
  <si>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</si>
  <si>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</si>
  <si>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</si>
  <si>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</si>
  <si>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</si>
  <si>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</si>
  <si>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</si>
  <si>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</si>
  <si>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</si>
  <si>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</si>
  <si>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</si>
  <si>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</si>
  <si>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</si>
  <si>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</si>
  <si>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</si>
  <si>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</si>
  <si>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</si>
  <si>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</si>
  <si>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</si>
  <si>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</si>
  <si>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</si>
  <si>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</si>
  <si>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</si>
  <si>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</si>
  <si>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</si>
  <si>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</si>
  <si>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</si>
  <si>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</si>
  <si>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</si>
  <si>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</si>
  <si>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</si>
  <si>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</si>
  <si>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</si>
  <si>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</si>
  <si>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</si>
  <si>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</si>
  <si>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</si>
  <si>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</si>
  <si>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</si>
  <si>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</si>
  <si>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</si>
  <si>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</si>
  <si>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</si>
  <si>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</si>
  <si>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</si>
  <si>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</si>
  <si>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</si>
  <si>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</si>
  <si>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</si>
  <si>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</si>
  <si>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</si>
  <si>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</si>
  <si>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</si>
  <si>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</si>
  <si>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</si>
  <si>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</si>
  <si>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</si>
  <si>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</si>
  <si>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</si>
  <si>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</si>
  <si>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</si>
  <si>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</si>
  <si>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</si>
  <si>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</si>
  <si>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</si>
  <si>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</si>
  <si>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</si>
  <si>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</si>
  <si>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</si>
  <si>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</si>
  <si>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</si>
  <si>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</si>
  <si>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</si>
  <si>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</si>
  <si>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</si>
  <si>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</si>
  <si>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</si>
  <si>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</si>
  <si>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</si>
  <si>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</si>
  <si>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</si>
  <si>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</si>
  <si>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</si>
  <si>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</si>
  <si>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</si>
  <si>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</si>
  <si>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</si>
  <si>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</si>
  <si>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</si>
  <si>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</si>
  <si>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</si>
  <si>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</si>
  <si>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</si>
  <si>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</si>
  <si>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</si>
  <si>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</si>
  <si>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</si>
  <si>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</si>
  <si>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</si>
  <si>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</si>
  <si>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</si>
  <si>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</si>
  <si>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</si>
  <si>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</si>
  <si>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</si>
  <si>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</si>
  <si>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</si>
  <si>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</si>
  <si>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</si>
  <si>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</si>
  <si>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</si>
  <si>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</si>
  <si>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</si>
  <si>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</si>
  <si>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</si>
  <si>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</si>
  <si>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</si>
  <si>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</si>
  <si>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</si>
  <si>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</si>
  <si>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</si>
  <si>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</si>
  <si>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</si>
  <si>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</si>
  <si>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</si>
  <si>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</si>
  <si>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</si>
  <si>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</si>
  <si>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</si>
  <si>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</si>
  <si>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</si>
  <si>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</si>
  <si>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</si>
  <si>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</si>
  <si>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</si>
  <si>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</si>
  <si>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</si>
  <si>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</si>
  <si>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</si>
  <si>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</si>
  <si>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</si>
  <si>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</si>
  <si>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</si>
  <si>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</si>
  <si>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</si>
  <si>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</si>
  <si>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</si>
  <si>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</si>
  <si>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</si>
  <si>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</si>
  <si>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</si>
  <si>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</si>
  <si>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</si>
  <si>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</si>
  <si>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</si>
  <si>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</si>
  <si>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</si>
  <si>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</si>
  <si>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</si>
  <si>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</si>
  <si>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</si>
  <si>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</si>
  <si>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</si>
  <si>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</si>
  <si>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</si>
  <si>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</si>
  <si>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</si>
  <si>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</si>
  <si>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</si>
  <si>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</si>
  <si>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</si>
  <si>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</si>
  <si>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</si>
  <si>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</si>
  <si>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</si>
  <si>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</si>
  <si>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</si>
  <si>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</si>
  <si>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</si>
  <si>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</si>
  <si>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</si>
  <si>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</si>
  <si>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</si>
  <si>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</si>
  <si>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</si>
  <si>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</si>
  <si>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</si>
  <si>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</si>
  <si>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</si>
  <si>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</si>
  <si>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</si>
  <si>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</si>
  <si>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</si>
  <si>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</si>
  <si>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</si>
  <si>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</si>
  <si>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</si>
  <si>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</si>
  <si>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</si>
  <si>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</si>
  <si>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</si>
  <si>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</si>
  <si>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</si>
  <si>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</si>
  <si>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</si>
  <si>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</si>
  <si>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</si>
  <si>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</si>
  <si>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</si>
  <si>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</si>
  <si>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</si>
  <si>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</si>
  <si>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</si>
  <si>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</si>
  <si>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</si>
  <si>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</si>
  <si>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</si>
  <si>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</si>
  <si>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</si>
  <si>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</si>
  <si>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</si>
  <si>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</si>
  <si>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</si>
  <si>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</si>
  <si>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</si>
  <si>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</si>
  <si>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</si>
  <si>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</si>
  <si>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</si>
  <si>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</si>
  <si>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</si>
  <si>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</si>
  <si>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</si>
  <si>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</si>
  <si>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</si>
  <si>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</si>
  <si>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</si>
  <si>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</si>
  <si>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</si>
  <si>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</si>
  <si>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</si>
  <si>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</si>
  <si>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</si>
  <si>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</si>
  <si>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</si>
  <si>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</si>
  <si>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</si>
  <si>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</si>
  <si>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</si>
  <si>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</si>
  <si>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</si>
  <si>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</si>
  <si>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</si>
  <si>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</si>
  <si>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</si>
  <si>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</si>
  <si>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</si>
  <si>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</si>
  <si>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</si>
  <si>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</si>
  <si>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</si>
  <si>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faizan</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</si>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</sst>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0856483" createdVersion="8" refreshedVersion="8" minRefreshableVersion="3" recordCount="180" xr:uid="{46CBB50D-3613-4E5B-8212-DD0313DCD05A}">
  <cacheSource type="worksheet">
    <worksheetSource name="Table1"/>
  </cacheSource>
  <cacheFields count="14">
    <cacheField name="Date" numFmtId="0">
      <sharedItems containsNonDate="0" containsDate="1" containsString="0" containsBlank="1" minDate="2026-01-20T00:00:00" maxDate="2026-02-15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Blank="1" containsMixedTypes="1" containsNumber="1" containsInteger="1" minValue="1375" maxValue="1487"/>
    </cacheField>
    <cacheField name="Quality" numFmtId="0">
      <sharedItems containsBlank="1"/>
    </cacheField>
    <cacheField name="Shipment Number" numFmtId="164">
      <sharedItems containsBlank="1" containsMixedTypes="1" containsNumber="1" containsInteger="1" minValue="1558" maxValue="17000" count="434">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400" maxValue="100417"/>
    </cacheField>
    <cacheField name="Tiyaar/gaz" numFmtId="164">
      <sharedItems containsString="0" containsBlank="1" containsNumber="1" containsInteger="1" minValue="543" maxValue="52734"/>
    </cacheField>
    <cacheField name="shortage %" numFmtId="165">
      <sharedItems containsMixedTypes="1" containsNumber="1" minValue="-3.5522766167321151"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1666668" createdVersion="8" refreshedVersion="8" minRefreshableVersion="3" recordCount="435" xr:uid="{B5BDFB73-D93A-4A7A-8149-666BC190B09B}">
  <cacheSource type="worksheet">
    <worksheetSource name="Table14"/>
  </cacheSource>
  <cacheFields count="7">
    <cacheField name="Date" numFmtId="0">
      <sharedItems containsNonDate="0" containsDate="1" containsString="0" containsBlank="1" minDate="2025-12-23T00:00:00" maxDate="2026-02-16T00:00:00"/>
    </cacheField>
    <cacheField name="Party" numFmtId="0">
      <sharedItems containsBlank="1" count="89">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Ibraheem" u="1"/>
        <s v="Rafaqat" u="1"/>
        <s v="Electricity" u="1"/>
        <s v="Rana babar" u="1"/>
        <s v="Badshah Fabrics" u="1"/>
        <s v="Usman shafiq dyes" u="1"/>
        <s v="shehzad kamoki" u="1"/>
        <s v="sufi nawaz sahab" u="1"/>
        <s v="Raaz Fabrics" u="1"/>
        <s v="abid ghafoor"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178240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87147.95171909296"/>
    </cacheField>
    <cacheField name="Rate" numFmtId="0">
      <sharedItems containsString="0" containsBlank="1" containsNumber="1" minValue="10" maxValue="12"/>
    </cacheField>
    <cacheField name="Total" numFmtId="164">
      <sharedItems containsSemiMixedTypes="0" containsString="0" containsNumber="1" minValue="0" maxValue="3951878.200438917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2013892"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5T00:00:00" count="74">
        <d v="2025-12-17T00:00:00"/>
        <d v="2026-01-22T00:00:00"/>
        <d v="2026-01-26T00:00:00"/>
        <d v="2026-01-29T00:00:00"/>
        <d v="2026-01-31T00:00:00"/>
        <d v="2026-02-03T00:00:00"/>
        <d v="2026-02-05T00:00:00"/>
        <d v="2026-02-07T00:00:00"/>
        <d v="2026-02-09T00:00:00"/>
        <d v="2026-02-14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2361108"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8">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2-10T00:00:00"/>
        <d v="2026-02-11T00:00:00"/>
        <d v="2026-02-13T00:00:00"/>
        <d v="2026-02-14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5494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2592592"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78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92.091925731346578"/>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hawl"/>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51.28536258003632"/>
    <n v="9797.0007315288967"/>
    <n v="127361.00950987566"/>
    <m/>
  </r>
  <r>
    <d v="2026-02-13T00:00:00"/>
    <x v="0"/>
    <n v="1483"/>
    <s v="Chamki"/>
    <x v="52"/>
    <n v="39029"/>
    <n v="6957"/>
    <n v="27.714452684190363"/>
    <n v="6361.5581565471839"/>
    <n v="63615.581565471839"/>
    <m/>
  </r>
  <r>
    <d v="2026-02-14T00:00:00"/>
    <x v="27"/>
    <n v="1484"/>
    <s v="Silky"/>
    <x v="59"/>
    <n v="27995"/>
    <n v="19687"/>
    <s v="NF"/>
    <n v="18002.011704462329"/>
    <n v="234026.15215801029"/>
    <m/>
  </r>
  <r>
    <d v="2026-02-14T00:00:00"/>
    <x v="2"/>
    <n v="1485"/>
    <s v="Silky"/>
    <x v="58"/>
    <n v="20111"/>
    <n v="7934"/>
    <n v="51.28536258003632"/>
    <n v="7254.9378200438923"/>
    <n v="94314.191660570606"/>
    <m/>
  </r>
  <r>
    <d v="2026-02-14T00:00:00"/>
    <x v="1"/>
    <n v="1486"/>
    <s v="Silky"/>
    <x v="60"/>
    <n v="30340"/>
    <n v="17714"/>
    <s v="NF"/>
    <n v="16197.878566203366"/>
    <n v="210572.42136064376"/>
    <m/>
  </r>
  <r>
    <d v="2026-02-14T00:00:00"/>
    <x v="0"/>
    <n v="1487"/>
    <s v="Chamki"/>
    <x v="53"/>
    <n v="61388"/>
    <n v="4389"/>
    <n v="92.091925731346578"/>
    <n v="4013.3504023408927"/>
    <n v="40133.504023408925"/>
    <m/>
  </r>
  <r>
    <m/>
    <x v="30"/>
    <m/>
    <m/>
    <x v="0"/>
    <m/>
    <m/>
    <e v="#DIV/0!"/>
    <m/>
    <m/>
    <m/>
  </r>
  <r>
    <m/>
    <x v="30"/>
    <m/>
    <m/>
    <x v="0"/>
    <m/>
    <m/>
    <e v="#DIV/0!"/>
    <m/>
    <m/>
    <m/>
  </r>
  <r>
    <m/>
    <x v="30"/>
    <m/>
    <m/>
    <x v="0"/>
    <m/>
    <m/>
    <e v="#DIV/0!"/>
    <m/>
    <m/>
    <m/>
  </r>
  <r>
    <m/>
    <x v="30"/>
    <m/>
    <m/>
    <x v="0"/>
    <m/>
    <m/>
    <e v="#DIV/0!"/>
    <m/>
    <m/>
    <m/>
  </r>
  <r>
    <m/>
    <x v="30"/>
    <m/>
    <m/>
    <x v="0"/>
    <m/>
    <m/>
    <e v="#DIV/0!"/>
    <m/>
    <m/>
    <m/>
  </r>
  <r>
    <m/>
    <x v="30"/>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87147.95171909296"/>
    <n v="10"/>
    <n v="3951878.2004389176"/>
  </r>
  <r>
    <x v="1"/>
    <n v="79346.196049743972"/>
    <n v="10"/>
    <n v="952154.35259692767"/>
  </r>
  <r>
    <x v="2"/>
    <n v="40430.687637161675"/>
    <n v="10"/>
    <n v="438410.75347476226"/>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04585.77176298464"/>
    <m/>
    <n v="1045857.7176298464"/>
  </r>
  <r>
    <x v="11"/>
    <n v="0"/>
    <m/>
    <n v="0"/>
  </r>
  <r>
    <x v="12"/>
    <n v="70997.62253108999"/>
    <m/>
    <n v="709976.2253108999"/>
  </r>
  <r>
    <x v="13"/>
    <n v="0"/>
    <m/>
    <n v="0"/>
  </r>
  <r>
    <x v="14"/>
    <n v="0"/>
    <m/>
    <n v="0"/>
  </r>
  <r>
    <x v="15"/>
    <n v="0"/>
    <m/>
    <n v="0"/>
  </r>
  <r>
    <x v="16"/>
    <n v="64407.461594732995"/>
    <m/>
    <n v="772889.539136795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m/>
    <m/>
    <m/>
    <m/>
    <x v="9"/>
    <n v="0"/>
    <n v="0"/>
    <m/>
  </r>
  <r>
    <x v="10"/>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2"/>
    <x v="4"/>
    <x v="1"/>
    <n v="70"/>
    <n v="580"/>
    <m/>
    <n v="40600"/>
    <m/>
    <m/>
  </r>
  <r>
    <x v="17"/>
    <x v="4"/>
    <x v="1"/>
    <n v="125"/>
    <n v="580"/>
    <m/>
    <n v="72500"/>
    <m/>
    <m/>
  </r>
  <r>
    <x v="17"/>
    <x v="4"/>
    <x v="1"/>
    <n v="119"/>
    <n v="580"/>
    <m/>
    <n v="69020"/>
    <m/>
    <m/>
  </r>
  <r>
    <x v="17"/>
    <x v="4"/>
    <x v="1"/>
    <n v="12"/>
    <n v="775"/>
    <m/>
    <n v="9300"/>
    <m/>
    <m/>
  </r>
  <r>
    <x v="17"/>
    <x v="4"/>
    <x v="1"/>
    <n v="260"/>
    <n v="830"/>
    <m/>
    <n v="215800"/>
    <m/>
    <m/>
  </r>
  <r>
    <x v="17"/>
    <x v="9"/>
    <x v="1"/>
    <n v="154"/>
    <n v="580"/>
    <m/>
    <n v="89320"/>
    <m/>
    <m/>
  </r>
  <r>
    <x v="18"/>
    <x v="7"/>
    <x v="1"/>
    <n v="157"/>
    <n v="820"/>
    <m/>
    <n v="128740"/>
    <m/>
    <m/>
  </r>
  <r>
    <x v="19"/>
    <x v="7"/>
    <x v="1"/>
    <n v="204"/>
    <n v="820"/>
    <m/>
    <n v="167280"/>
    <m/>
    <m/>
  </r>
  <r>
    <x v="19"/>
    <x v="7"/>
    <x v="1"/>
    <n v="237"/>
    <n v="820"/>
    <m/>
    <n v="194340"/>
    <m/>
    <m/>
  </r>
  <r>
    <x v="20"/>
    <x v="1"/>
    <x v="1"/>
    <n v="324"/>
    <n v="925"/>
    <n v="54940"/>
    <n v="299700"/>
    <m/>
    <m/>
  </r>
  <r>
    <x v="20"/>
    <x v="7"/>
    <x v="1"/>
    <n v="382"/>
    <n v="820"/>
    <m/>
    <n v="313240"/>
    <m/>
    <m/>
  </r>
  <r>
    <x v="20"/>
    <x v="7"/>
    <x v="1"/>
    <n v="316"/>
    <n v="820"/>
    <m/>
    <n v="259120"/>
    <m/>
    <m/>
  </r>
  <r>
    <x v="20"/>
    <x v="10"/>
    <x v="1"/>
    <m/>
    <m/>
    <m/>
    <n v="0"/>
    <m/>
    <m/>
  </r>
  <r>
    <x v="20"/>
    <x v="10"/>
    <x v="1"/>
    <m/>
    <m/>
    <m/>
    <n v="0"/>
    <m/>
    <m/>
  </r>
  <r>
    <x v="20"/>
    <x v="10"/>
    <x v="1"/>
    <m/>
    <m/>
    <m/>
    <n v="0"/>
    <m/>
    <m/>
  </r>
  <r>
    <x v="20"/>
    <x v="10"/>
    <x v="1"/>
    <m/>
    <m/>
    <m/>
    <n v="0"/>
    <m/>
    <m/>
  </r>
  <r>
    <x v="20"/>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189">
        <item m="1" x="172"/>
        <item m="1" x="173"/>
        <item m="1" x="174"/>
        <item m="1" x="175"/>
        <item m="1" x="176"/>
        <item m="1" x="177"/>
        <item m="1" x="178"/>
        <item m="1" x="187"/>
        <item m="1" x="168"/>
        <item m="1" x="179"/>
        <item m="1" x="180"/>
        <item m="1" x="181"/>
        <item m="1" x="182"/>
        <item m="1" x="183"/>
        <item m="1" x="184"/>
        <item m="1" x="185"/>
        <item m="1" x="139"/>
        <item m="1" x="140"/>
        <item m="1" x="186"/>
        <item m="1" x="141"/>
        <item m="1" x="138"/>
        <item m="1" x="142"/>
        <item m="1" x="144"/>
        <item m="1" x="145"/>
        <item m="1" x="146"/>
        <item m="1" x="148"/>
        <item m="1" x="149"/>
        <item m="1" x="150"/>
        <item m="1" x="143"/>
        <item m="1" x="147"/>
        <item m="1" x="151"/>
        <item m="1" x="152"/>
        <item m="1" x="153"/>
        <item m="1" x="154"/>
        <item m="1" x="137"/>
        <item m="1" x="155"/>
        <item m="1" x="169"/>
        <item m="1" x="170"/>
        <item m="1" x="171"/>
        <item m="1" x="156"/>
        <item m="1" x="157"/>
        <item m="1" x="158"/>
        <item m="1" x="159"/>
        <item m="1" x="160"/>
        <item m="1" x="161"/>
        <item m="1" x="162"/>
        <item m="1" x="163"/>
        <item m="1" x="164"/>
        <item m="1" x="165"/>
        <item m="1" x="166"/>
        <item m="1" x="167"/>
        <item m="1" x="108"/>
        <item m="1" x="109"/>
        <item m="1" x="110"/>
        <item m="1" x="111"/>
        <item m="1" x="112"/>
        <item m="1" x="113"/>
        <item m="1" x="114"/>
        <item m="1" x="115"/>
        <item m="1" x="117"/>
        <item m="1" x="118"/>
        <item m="1" x="119"/>
        <item m="1" x="116"/>
        <item m="1" x="120"/>
        <item m="1" x="121"/>
        <item m="1" x="122"/>
        <item m="1" x="123"/>
        <item m="1" x="124"/>
        <item m="1" x="125"/>
        <item m="1" x="126"/>
        <item m="1" x="127"/>
        <item m="1" x="128"/>
        <item m="1" x="129"/>
        <item m="1" x="130"/>
        <item m="1" x="131"/>
        <item m="1" x="132"/>
        <item m="1" x="133"/>
        <item m="1" x="134"/>
        <item m="1" x="135"/>
        <item m="1" x="136"/>
        <item m="1" x="54"/>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55"/>
        <item m="1" x="58"/>
        <item m="1" x="56"/>
        <item m="1" x="57"/>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22"/>
        <item m="1" x="23"/>
        <item m="1" x="24"/>
        <item m="1" x="25"/>
        <item m="1" x="26"/>
        <item m="1" x="27"/>
        <item m="1" x="28"/>
        <item m="1" x="29"/>
        <item x="1"/>
        <item m="1" x="30"/>
        <item m="1" x="31"/>
        <item m="1" x="32"/>
        <item m="1" x="33"/>
        <item m="1" x="34"/>
        <item m="1" x="35"/>
        <item m="1" x="53"/>
        <item m="1" x="36"/>
        <item m="1" x="37"/>
        <item m="1" x="21"/>
        <item x="8"/>
        <item m="1" x="38"/>
        <item m="1" x="39"/>
        <item m="1" x="40"/>
        <item m="1" x="41"/>
        <item m="1" x="42"/>
        <item m="1" x="43"/>
        <item m="1" x="44"/>
        <item m="1" x="45"/>
        <item m="1" x="46"/>
        <item m="1" x="47"/>
        <item m="1" x="48"/>
        <item m="1" x="49"/>
        <item m="1" x="50"/>
        <item m="1" x="51"/>
        <item m="1" x="52"/>
        <item x="0"/>
        <item x="2"/>
        <item x="3"/>
        <item x="4"/>
        <item x="5"/>
        <item x="6"/>
        <item x="7"/>
        <item x="9"/>
        <item x="10"/>
        <item x="11"/>
        <item x="12"/>
        <item x="13"/>
        <item x="14"/>
        <item x="15"/>
        <item x="16"/>
        <item x="17"/>
        <item x="18"/>
        <item x="19"/>
        <item x="2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0">
      <pivotArea dataOnly="0" labelOnly="1" outline="0" fieldPosition="0">
        <references count="1">
          <reference field="1" count="1">
            <x v="1"/>
          </reference>
        </references>
      </pivotArea>
    </format>
    <format dxfId="10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0">
        <item x="6"/>
        <item x="29"/>
        <item m="1" x="57"/>
        <item m="1" x="76"/>
        <item m="1" x="79"/>
        <item x="23"/>
        <item x="15"/>
        <item x="11"/>
        <item x="4"/>
        <item x="7"/>
        <item x="12"/>
        <item m="1" x="87"/>
        <item m="1" x="51"/>
        <item x="5"/>
        <item x="32"/>
        <item m="1" x="85"/>
        <item x="2"/>
        <item x="26"/>
        <item x="3"/>
        <item x="21"/>
        <item x="14"/>
        <item x="22"/>
        <item m="1" x="88"/>
        <item m="1" x="52"/>
        <item x="36"/>
        <item m="1" x="86"/>
        <item m="1" x="78"/>
        <item m="1" x="61"/>
        <item m="1" x="80"/>
        <item m="1" x="81"/>
        <item m="1" x="82"/>
        <item m="1" x="83"/>
        <item x="10"/>
        <item m="1" x="84"/>
        <item m="1" x="53"/>
        <item m="1" x="46"/>
        <item x="43"/>
        <item x="39"/>
        <item m="1" x="75"/>
        <item m="1" x="71"/>
        <item m="1" x="49"/>
        <item x="17"/>
        <item x="40"/>
        <item m="1" x="77"/>
        <item x="1"/>
        <item x="31"/>
        <item m="1" x="66"/>
        <item x="25"/>
        <item x="8"/>
        <item m="1" x="67"/>
        <item m="1" x="68"/>
        <item m="1" x="69"/>
        <item m="1" x="70"/>
        <item m="1" x="72"/>
        <item x="38"/>
        <item m="1" x="58"/>
        <item m="1" x="73"/>
        <item m="1" x="74"/>
        <item m="1" x="56"/>
        <item x="42"/>
        <item m="1" x="55"/>
        <item m="1" x="47"/>
        <item m="1" x="59"/>
        <item m="1" x="54"/>
        <item m="1" x="65"/>
        <item x="13"/>
        <item x="27"/>
        <item m="1" x="62"/>
        <item x="16"/>
        <item m="1" x="60"/>
        <item x="18"/>
        <item m="1" x="63"/>
        <item x="20"/>
        <item m="1" x="64"/>
        <item x="0"/>
        <item m="1" x="48"/>
        <item x="9"/>
        <item m="1" x="50"/>
        <item x="19"/>
        <item x="37"/>
        <item m="1" x="45"/>
        <item x="28"/>
        <item x="30"/>
        <item x="24"/>
        <item x="33"/>
        <item x="34"/>
        <item x="35"/>
        <item x="41"/>
        <item x="44"/>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4"/>
    </i>
    <i>
      <x v="16"/>
    </i>
    <i>
      <x v="17"/>
    </i>
    <i>
      <x v="18"/>
    </i>
    <i>
      <x v="19"/>
    </i>
    <i>
      <x v="20"/>
    </i>
    <i>
      <x v="21"/>
    </i>
    <i>
      <x v="24"/>
    </i>
    <i>
      <x v="32"/>
    </i>
    <i>
      <x v="36"/>
    </i>
    <i>
      <x v="37"/>
    </i>
    <i>
      <x v="41"/>
    </i>
    <i>
      <x v="42"/>
    </i>
    <i>
      <x v="44"/>
    </i>
    <i>
      <x v="45"/>
    </i>
    <i>
      <x v="47"/>
    </i>
    <i>
      <x v="48"/>
    </i>
    <i>
      <x v="54"/>
    </i>
    <i>
      <x v="59"/>
    </i>
    <i>
      <x v="65"/>
    </i>
    <i>
      <x v="66"/>
    </i>
    <i>
      <x v="68"/>
    </i>
    <i>
      <x v="70"/>
    </i>
    <i>
      <x v="72"/>
    </i>
    <i>
      <x v="74"/>
    </i>
    <i>
      <x v="76"/>
    </i>
    <i>
      <x v="78"/>
    </i>
    <i>
      <x v="79"/>
    </i>
    <i>
      <x v="81"/>
    </i>
    <i>
      <x v="82"/>
    </i>
    <i>
      <x v="83"/>
    </i>
    <i>
      <x v="84"/>
    </i>
    <i>
      <x v="85"/>
    </i>
    <i>
      <x v="86"/>
    </i>
    <i>
      <x v="87"/>
    </i>
    <i>
      <x v="88"/>
    </i>
    <i t="grand">
      <x/>
    </i>
  </rowItems>
  <colFields count="1">
    <field x="-2"/>
  </colFields>
  <colItems count="2">
    <i>
      <x/>
    </i>
    <i i="1">
      <x v="1"/>
    </i>
  </colItems>
  <dataFields count="2">
    <dataField name="Sum of Credit" fld="3" baseField="0" baseItem="0"/>
    <dataField name="Sum of Debit" fld="2" baseField="0" baseItem="0"/>
  </dataFields>
  <formats count="1">
    <format dxfId="9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75">
        <item m="1" x="69"/>
        <item m="1" x="70"/>
        <item m="1" x="71"/>
        <item m="1" x="72"/>
        <item m="1" x="73"/>
        <item m="1" x="68"/>
        <item m="1" x="56"/>
        <item m="1" x="57"/>
        <item m="1" x="61"/>
        <item m="1" x="62"/>
        <item m="1" x="58"/>
        <item m="1" x="63"/>
        <item m="1" x="64"/>
        <item m="1" x="65"/>
        <item m="1" x="66"/>
        <item m="1" x="67"/>
        <item m="1" x="55"/>
        <item m="1" x="59"/>
        <item m="1" x="60"/>
        <item m="1" x="48"/>
        <item m="1" x="49"/>
        <item m="1" x="50"/>
        <item m="1" x="51"/>
        <item m="1" x="52"/>
        <item m="1" x="53"/>
        <item m="1" x="54"/>
        <item m="1" x="24"/>
        <item m="1" x="40"/>
        <item m="1" x="41"/>
        <item m="1" x="42"/>
        <item m="1" x="43"/>
        <item m="1" x="44"/>
        <item m="1" x="45"/>
        <item m="1" x="46"/>
        <item m="1" x="47"/>
        <item m="1" x="25"/>
        <item m="1" x="26"/>
        <item m="1" x="27"/>
        <item m="1" x="28"/>
        <item m="1" x="29"/>
        <item m="1" x="30"/>
        <item m="1" x="31"/>
        <item m="1" x="33"/>
        <item m="1" x="34"/>
        <item m="1" x="32"/>
        <item m="1" x="35"/>
        <item m="1" x="36"/>
        <item m="1" x="37"/>
        <item m="1" x="38"/>
        <item m="1" x="39"/>
        <item x="0"/>
        <item m="1" x="11"/>
        <item m="1" x="12"/>
        <item m="1" x="13"/>
        <item m="1" x="14"/>
        <item m="1" x="15"/>
        <item m="1" x="16"/>
        <item m="1" x="17"/>
        <item m="1" x="18"/>
        <item m="1" x="19"/>
        <item m="1" x="20"/>
        <item m="1" x="21"/>
        <item m="1" x="22"/>
        <item m="1" x="23"/>
        <item x="1"/>
        <item x="2"/>
        <item x="3"/>
        <item x="4"/>
        <item x="5"/>
        <item x="10"/>
        <item x="6"/>
        <item x="7"/>
        <item x="8"/>
        <item x="9"/>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2">
    <i>
      <x v="50"/>
    </i>
    <i>
      <x v="64"/>
    </i>
    <i>
      <x v="65"/>
    </i>
    <i>
      <x v="66"/>
    </i>
    <i>
      <x v="67"/>
    </i>
    <i>
      <x v="68"/>
    </i>
    <i>
      <x v="69"/>
    </i>
    <i>
      <x v="70"/>
    </i>
    <i>
      <x v="71"/>
    </i>
    <i>
      <x v="72"/>
    </i>
    <i>
      <x v="7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5"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35">
        <item m="1" x="417"/>
        <item m="1" x="418"/>
        <item m="1" x="416"/>
        <item m="1" x="415"/>
        <item m="1" x="419"/>
        <item m="1" x="421"/>
        <item m="1" x="420"/>
        <item m="1" x="422"/>
        <item m="1" x="423"/>
        <item m="1" x="424"/>
        <item m="1" x="425"/>
        <item m="1" x="426"/>
        <item m="1" x="427"/>
        <item m="1" x="428"/>
        <item m="1" x="353"/>
        <item m="1" x="375"/>
        <item m="1" x="429"/>
        <item m="1" x="430"/>
        <item m="1" x="431"/>
        <item m="1" x="383"/>
        <item m="1" x="382"/>
        <item m="1" x="432"/>
        <item m="1" x="433"/>
        <item m="1" x="392"/>
        <item m="1" x="384"/>
        <item m="1" x="385"/>
        <item m="1" x="386"/>
        <item m="1" x="387"/>
        <item m="1" x="388"/>
        <item m="1" x="389"/>
        <item m="1" x="390"/>
        <item m="1" x="391"/>
        <item m="1" x="393"/>
        <item m="1" x="413"/>
        <item m="1" x="394"/>
        <item m="1" x="414"/>
        <item m="1" x="395"/>
        <item m="1" x="396"/>
        <item m="1" x="397"/>
        <item m="1" x="398"/>
        <item m="1" x="399"/>
        <item m="1" x="330"/>
        <item m="1" x="400"/>
        <item m="1" x="401"/>
        <item m="1" x="402"/>
        <item m="1" x="403"/>
        <item m="1" x="404"/>
        <item m="1" x="405"/>
        <item m="1" x="406"/>
        <item m="1" x="407"/>
        <item m="1" x="408"/>
        <item m="1" x="409"/>
        <item m="1" x="410"/>
        <item m="1" x="411"/>
        <item m="1" x="412"/>
        <item x="0"/>
        <item m="1" x="329"/>
        <item m="1" x="331"/>
        <item m="1" x="332"/>
        <item m="1" x="333"/>
        <item m="1" x="334"/>
        <item m="1" x="335"/>
        <item m="1" x="336"/>
        <item m="1" x="337"/>
        <item m="1" x="338"/>
        <item m="1" x="339"/>
        <item m="1" x="340"/>
        <item m="1" x="341"/>
        <item m="1" x="342"/>
        <item m="1" x="343"/>
        <item m="1" x="66"/>
        <item m="1" x="344"/>
        <item m="1" x="345"/>
        <item m="1" x="346"/>
        <item m="1" x="347"/>
        <item m="1" x="348"/>
        <item m="1" x="349"/>
        <item m="1" x="350"/>
        <item m="1" x="351"/>
        <item m="1" x="352"/>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6"/>
        <item m="1" x="377"/>
        <item m="1" x="378"/>
        <item m="1" x="379"/>
        <item m="1" x="380"/>
        <item m="1" x="381"/>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83"/>
        <item m="1" x="298"/>
        <item m="1" x="299"/>
        <item m="1" x="300"/>
        <item m="1" x="301"/>
        <item m="1" x="302"/>
        <item m="1" x="303"/>
        <item m="1" x="304"/>
        <item m="1" x="305"/>
        <item m="1" x="306"/>
        <item m="1" x="307"/>
        <item m="1" x="308"/>
        <item m="1" x="328"/>
        <item m="1" x="309"/>
        <item m="1" x="310"/>
        <item m="1" x="311"/>
        <item m="1" x="312"/>
        <item m="1" x="313"/>
        <item m="1" x="314"/>
        <item m="1" x="315"/>
        <item m="1" x="316"/>
        <item m="1" x="317"/>
        <item m="1" x="318"/>
        <item m="1" x="319"/>
        <item m="1" x="320"/>
        <item m="1" x="321"/>
        <item m="1" x="322"/>
        <item m="1" x="323"/>
        <item m="1" x="324"/>
        <item m="1" x="325"/>
        <item m="1" x="326"/>
        <item m="1" x="327"/>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124"/>
        <item m="1" x="247"/>
        <item m="1" x="115"/>
        <item m="1" x="116"/>
        <item m="1" x="117"/>
        <item m="1" x="118"/>
        <item m="1" x="119"/>
        <item m="1" x="120"/>
        <item m="1" x="121"/>
        <item m="1" x="122"/>
        <item m="1" x="123"/>
        <item m="1" x="125"/>
        <item m="1" x="126"/>
        <item m="1" x="127"/>
        <item m="1" x="128"/>
        <item m="1" x="129"/>
        <item m="1" x="130"/>
        <item m="1" x="131"/>
        <item m="1" x="132"/>
        <item m="1" x="133"/>
        <item m="1" x="134"/>
        <item m="1" x="135"/>
        <item m="1" x="136"/>
        <item m="1" x="137"/>
        <item m="1" x="138"/>
        <item m="1" x="63"/>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67"/>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64"/>
        <item m="1" x="190"/>
        <item m="1" x="191"/>
        <item m="1" x="61"/>
        <item m="1" x="70"/>
        <item m="1" x="62"/>
        <item m="1" x="65"/>
        <item m="1" x="68"/>
        <item m="1" x="69"/>
        <item m="1" x="71"/>
        <item m="1" x="72"/>
        <item m="1" x="73"/>
        <item m="1" x="74"/>
        <item m="1" x="75"/>
        <item m="1" x="76"/>
        <item m="1" x="77"/>
        <item m="1" x="78"/>
        <item m="1" x="79"/>
        <item m="1" x="80"/>
        <item m="1" x="81"/>
        <item m="1" x="82"/>
        <item m="1" x="84"/>
        <item m="1" x="85"/>
        <item m="1" x="86"/>
        <item x="47"/>
        <item x="19"/>
        <item m="1" x="87"/>
        <item m="1" x="88"/>
        <item m="1" x="89"/>
        <item x="8"/>
        <item m="1" x="90"/>
        <item m="1" x="91"/>
        <item m="1" x="92"/>
        <item m="1" x="93"/>
        <item m="1" x="94"/>
        <item m="1" x="95"/>
        <item m="1" x="96"/>
        <item m="1" x="97"/>
        <item m="1" x="98"/>
        <item m="1" x="99"/>
        <item m="1" x="100"/>
        <item m="1" x="101"/>
        <item m="1" x="102"/>
        <item m="1" x="103"/>
        <item m="1" x="104"/>
        <item m="1" x="105"/>
        <item m="1" x="106"/>
        <item m="1" x="114"/>
        <item m="1" x="107"/>
        <item m="1" x="108"/>
        <item x="5"/>
        <item x="6"/>
        <item m="1" x="109"/>
        <item x="21"/>
        <item m="1" x="110"/>
        <item m="1" x="111"/>
        <item m="1" x="112"/>
        <item m="1" x="113"/>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2">
    <i>
      <x v="55"/>
    </i>
    <i>
      <x v="346"/>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9">
      <pivotArea type="all" dataOnly="0" outline="0" fieldPosition="0"/>
    </format>
    <format dxfId="58">
      <pivotArea outline="0" collapsedLevelsAreSubtotals="1" fieldPosition="0"/>
    </format>
    <format dxfId="57">
      <pivotArea field="4" type="button" dataOnly="0" labelOnly="1" outline="0" axis="axisRow" fieldPosition="0"/>
    </format>
    <format dxfId="56">
      <pivotArea dataOnly="0" labelOnly="1" fieldPosition="0">
        <references count="1">
          <reference field="4" count="0"/>
        </references>
      </pivotArea>
    </format>
    <format dxfId="55">
      <pivotArea dataOnly="0" labelOnly="1" grandRow="1" outline="0" fieldPosition="0"/>
    </format>
    <format dxfId="54">
      <pivotArea dataOnly="0" labelOnly="1" outline="0" fieldPosition="0">
        <references count="1">
          <reference field="4294967294" count="2">
            <x v="0"/>
            <x v="1"/>
          </reference>
        </references>
      </pivotArea>
    </format>
    <format dxfId="53">
      <pivotArea grandRow="1" outline="0" collapsedLevelsAreSubtotals="1" fieldPosition="0"/>
    </format>
    <format dxfId="52">
      <pivotArea field="4" type="button" dataOnly="0" labelOnly="1" outline="0" axis="axisRow" fieldPosition="0"/>
    </format>
    <format dxfId="5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34">
        <i x="59" s="1"/>
        <i x="24" s="1"/>
        <i x="19" s="1"/>
        <i x="47" s="1"/>
        <i x="8" s="1"/>
        <i x="21" s="1"/>
        <i x="22" s="1"/>
        <i x="12" s="1"/>
        <i x="17" s="1"/>
        <i x="2" s="1"/>
        <i x="1" s="1"/>
        <i x="3" s="1"/>
        <i x="6" s="1"/>
        <i x="16" s="1"/>
        <i x="15" s="1"/>
        <i x="13" s="1"/>
        <i x="53" s="1"/>
        <i x="32" s="1"/>
        <i x="5" s="1"/>
        <i x="4" s="1"/>
        <i x="11" s="1"/>
        <i x="7" s="1"/>
        <i x="31" s="1"/>
        <i x="25" s="1"/>
        <i x="26" s="1"/>
        <i x="14" s="1"/>
        <i x="40" s="1"/>
        <i x="41" s="1"/>
        <i x="27" s="1"/>
        <i x="29" s="1"/>
        <i x="18" s="1"/>
        <i x="36" s="1"/>
        <i x="42" s="1"/>
        <i x="34" s="1"/>
        <i x="33" s="1"/>
        <i x="28" s="1"/>
        <i x="23" s="1"/>
        <i x="49" s="1"/>
        <i x="50" s="1"/>
        <i x="48" s="1"/>
        <i x="35" s="1"/>
        <i x="39" s="1"/>
        <i x="38" s="1"/>
        <i x="46" s="1"/>
        <i x="51" s="1"/>
        <i x="58" s="1"/>
        <i x="45" s="1"/>
        <i x="44" s="1"/>
        <i x="54" s="1"/>
        <i x="37" s="1"/>
        <i x="57" s="1"/>
        <i x="43" s="1"/>
        <i x="56" s="1"/>
        <i x="55" s="1"/>
        <i x="60" s="1"/>
        <i x="9" s="1"/>
        <i x="10" s="1"/>
        <i x="20" s="1"/>
        <i x="52" s="1"/>
        <i x="30" s="1"/>
        <i x="388" s="1" nd="1"/>
        <i x="417" s="1" nd="1"/>
        <i x="418" s="1" nd="1"/>
        <i x="426" s="1" nd="1"/>
        <i x="416" s="1" nd="1"/>
        <i x="415" s="1" nd="1"/>
        <i x="419" s="1" nd="1"/>
        <i x="430" s="1" nd="1"/>
        <i x="422" s="1" nd="1"/>
        <i x="423" s="1" nd="1"/>
        <i x="420" s="1" nd="1"/>
        <i x="421" s="1" nd="1"/>
        <i x="431" s="1" nd="1"/>
        <i x="424" s="1" nd="1"/>
        <i x="425" s="1" nd="1"/>
        <i x="428" s="1" nd="1"/>
        <i x="429" s="1" nd="1"/>
        <i x="427" s="1" nd="1"/>
        <i x="383" s="1" nd="1"/>
        <i x="433" s="1" nd="1"/>
        <i x="382" s="1" nd="1"/>
        <i x="432" s="1" nd="1"/>
        <i x="385" s="1" nd="1"/>
        <i x="346" s="1" nd="1"/>
        <i x="384" s="1" nd="1"/>
        <i x="386" s="1" nd="1"/>
        <i x="392" s="1" nd="1"/>
        <i x="387" s="1" nd="1"/>
        <i x="389" s="1" nd="1"/>
        <i x="405" s="1" nd="1"/>
        <i x="329" s="1" nd="1"/>
        <i x="393" s="1" nd="1"/>
        <i x="334" s="1" nd="1"/>
        <i x="399" s="1" nd="1"/>
        <i x="394" s="1" nd="1"/>
        <i x="397" s="1" nd="1"/>
        <i x="402" s="1" nd="1"/>
        <i x="413" s="1" nd="1"/>
        <i x="395" s="1" nd="1"/>
        <i x="407" s="1" nd="1"/>
        <i x="410" s="1" nd="1"/>
        <i x="401" s="1" nd="1"/>
        <i x="390" s="1" nd="1"/>
        <i x="398" s="1" nd="1"/>
        <i x="391" s="1" nd="1"/>
        <i x="396" s="1" nd="1"/>
        <i x="330" s="1" nd="1"/>
        <i x="400" s="1" nd="1"/>
        <i x="406" s="1" nd="1"/>
        <i x="66" s="1" nd="1"/>
        <i x="403" s="1" nd="1"/>
        <i x="408" s="1" nd="1"/>
        <i x="404" s="1" nd="1"/>
        <i x="370" s="1" nd="1"/>
        <i x="409" s="1" nd="1"/>
        <i x="411" s="1" nd="1"/>
        <i x="332" s="1" nd="1"/>
        <i x="339" s="1" nd="1"/>
        <i x="412" s="1" nd="1"/>
        <i x="336" s="1" nd="1"/>
        <i x="337" s="1" nd="1"/>
        <i x="331" s="1" nd="1"/>
        <i x="335" s="1" nd="1"/>
        <i x="223" s="1" nd="1"/>
        <i x="333" s="1" nd="1"/>
        <i x="342" s="1" nd="1"/>
        <i x="338" s="1" nd="1"/>
        <i x="340" s="1" nd="1"/>
        <i x="343" s="1" nd="1"/>
        <i x="350" s="1" nd="1"/>
        <i x="341" s="1" nd="1"/>
        <i x="349" s="1" nd="1"/>
        <i x="354" s="1" nd="1"/>
        <i x="348" s="1" nd="1"/>
        <i x="351" s="1" nd="1"/>
        <i x="361" s="1" nd="1"/>
        <i x="347" s="1" nd="1"/>
        <i x="344" s="1" nd="1"/>
        <i x="345" s="1" nd="1"/>
        <i x="360" s="1" nd="1"/>
        <i x="219" s="1" nd="1"/>
        <i x="353" s="1" nd="1"/>
        <i x="364" s="1" nd="1"/>
        <i x="359" s="1" nd="1"/>
        <i x="352" s="1" nd="1"/>
        <i x="376" s="1" nd="1"/>
        <i x="357" s="1" nd="1"/>
        <i x="367" s="1" nd="1"/>
        <i x="365" s="1" nd="1"/>
        <i x="355" s="1" nd="1"/>
        <i x="363" s="1" nd="1"/>
        <i x="362" s="1" nd="1"/>
        <i x="358" s="1" nd="1"/>
        <i x="368" s="1" nd="1"/>
        <i x="366" s="1" nd="1"/>
        <i x="369" s="1" nd="1"/>
        <i x="356" s="1" nd="1"/>
        <i x="298" s="1" nd="1"/>
        <i x="371" s="1" nd="1"/>
        <i x="372" s="1" nd="1"/>
        <i x="257" s="1" nd="1"/>
        <i x="259" s="1" nd="1"/>
        <i x="379" s="1" nd="1"/>
        <i x="253" s="1" nd="1"/>
        <i x="299" s="1" nd="1"/>
        <i x="373" s="1" nd="1"/>
        <i x="374" s="1" nd="1"/>
        <i x="256" s="1" nd="1"/>
        <i x="381" s="1" nd="1"/>
        <i x="255" s="1" nd="1"/>
        <i x="270" s="1" nd="1"/>
        <i x="380" s="1" nd="1"/>
        <i x="375" s="1" nd="1"/>
        <i x="274" s="1" nd="1"/>
        <i x="378" s="1" nd="1"/>
        <i x="377" s="1" nd="1"/>
        <i x="295" s="1" nd="1"/>
        <i x="248" s="1" nd="1"/>
        <i x="260" s="1" nd="1"/>
        <i x="296" s="1" nd="1"/>
        <i x="294" s="1" nd="1"/>
        <i x="252" s="1" nd="1"/>
        <i x="254" s="1" nd="1"/>
        <i x="86" s="1" nd="1"/>
        <i x="258" s="1" nd="1"/>
        <i x="249" s="1" nd="1"/>
        <i x="284" s="1" nd="1"/>
        <i x="289" s="1" nd="1"/>
        <i x="250" s="1" nd="1"/>
        <i x="251" s="1" nd="1"/>
        <i x="261" s="1" nd="1"/>
        <i x="264" s="1" nd="1"/>
        <i x="271" s="1" nd="1"/>
        <i x="263" s="1" nd="1"/>
        <i x="266" s="1" nd="1"/>
        <i x="265" s="1" nd="1"/>
        <i x="307" s="1" nd="1"/>
        <i x="262" s="1" nd="1"/>
        <i x="287" s="1" nd="1"/>
        <i x="302" s="1" nd="1"/>
        <i x="267" s="1" nd="1"/>
        <i x="292" s="1" nd="1"/>
        <i x="304" s="1" nd="1"/>
        <i x="276" s="1" nd="1"/>
        <i x="316" s="1" nd="1"/>
        <i x="275" s="1" nd="1"/>
        <i x="272" s="1" nd="1"/>
        <i x="268" s="1" nd="1"/>
        <i x="269" s="1" nd="1"/>
        <i x="288" s="1" nd="1"/>
        <i x="277" s="1" nd="1"/>
        <i x="200" s="1" nd="1"/>
        <i x="278" s="1" nd="1"/>
        <i x="273" s="1" nd="1"/>
        <i x="280" s="1" nd="1"/>
        <i x="281" s="1" nd="1"/>
        <i x="309" s="1" nd="1"/>
        <i x="279" s="1" nd="1"/>
        <i x="297" s="1" nd="1"/>
        <i x="285" s="1" nd="1"/>
        <i x="282" s="1" nd="1"/>
        <i x="286" s="1" nd="1"/>
        <i x="283" s="1" nd="1"/>
        <i x="290" s="1" nd="1"/>
        <i x="81" s="1" nd="1"/>
        <i x="308" s="1" nd="1"/>
        <i x="303" s="1" nd="1"/>
        <i x="322" s="1" nd="1"/>
        <i x="291" s="1" nd="1"/>
        <i x="193" s="1" nd="1"/>
        <i x="301" s="1" nd="1"/>
        <i x="293" s="1" nd="1"/>
        <i x="317" s="1" nd="1"/>
        <i x="300" s="1" nd="1"/>
        <i x="315" s="1" nd="1"/>
        <i x="201" s="1" nd="1"/>
        <i x="306" s="1" nd="1"/>
        <i x="305" s="1" nd="1"/>
        <i x="321" s="1" nd="1"/>
        <i x="318" s="1" nd="1"/>
        <i x="212" s="1" nd="1"/>
        <i x="326" s="1" nd="1"/>
        <i x="310" s="1" nd="1"/>
        <i x="319" s="1" nd="1"/>
        <i x="324" s="1" nd="1"/>
        <i x="203" s="1" nd="1"/>
        <i x="229" s="1" nd="1"/>
        <i x="328" s="1" nd="1"/>
        <i x="325" s="1" nd="1"/>
        <i x="194" s="1" nd="1"/>
        <i x="214" s="1" nd="1"/>
        <i x="320" s="1" nd="1"/>
        <i x="196" s="1" nd="1"/>
        <i x="311" s="1" nd="1"/>
        <i x="314" s="1" nd="1"/>
        <i x="211" s="1" nd="1"/>
        <i x="323" s="1" nd="1"/>
        <i x="312" s="1" nd="1"/>
        <i x="313" s="1" nd="1"/>
        <i x="198" s="1" nd="1"/>
        <i x="216" s="1" nd="1"/>
        <i x="217" s="1" nd="1"/>
        <i x="230" s="1" nd="1"/>
        <i x="327" s="1" nd="1"/>
        <i x="192" s="1" nd="1"/>
        <i x="215" s="1" nd="1"/>
        <i x="208" s="1" nd="1"/>
        <i x="195" s="1" nd="1"/>
        <i x="199" s="1" nd="1"/>
        <i x="205" s="1" nd="1"/>
        <i x="197" s="1" nd="1"/>
        <i x="221" s="1" nd="1"/>
        <i x="225" s="1" nd="1"/>
        <i x="226" s="1" nd="1"/>
        <i x="218" s="1" nd="1"/>
        <i x="202" s="1" nd="1"/>
        <i x="65" s="1" nd="1"/>
        <i x="204" s="1" nd="1"/>
        <i x="206" s="1" nd="1"/>
        <i x="209" s="1" nd="1"/>
        <i x="222" s="1" nd="1"/>
        <i x="207" s="1" nd="1"/>
        <i x="228" s="1" nd="1"/>
        <i x="160" s="1" nd="1"/>
        <i x="139" s="1" nd="1"/>
        <i x="243" s="1" nd="1"/>
        <i x="210" s="1" nd="1"/>
        <i x="231" s="1" nd="1"/>
        <i x="227" s="1" nd="1"/>
        <i x="213" s="1" nd="1"/>
        <i x="235" s="1" nd="1"/>
        <i x="171" s="1" nd="1"/>
        <i x="134" s="1" nd="1"/>
        <i x="220" s="1" nd="1"/>
        <i x="244" s="1" nd="1"/>
        <i x="224" s="1" nd="1"/>
        <i x="247" s="1" nd="1"/>
        <i x="234" s="1" nd="1"/>
        <i x="239" s="1" nd="1"/>
        <i x="116" s="1" nd="1"/>
        <i x="236" s="1" nd="1"/>
        <i x="238" s="1" nd="1"/>
        <i x="156" s="1" nd="1"/>
        <i x="124" s="1" nd="1"/>
        <i x="233" s="1" nd="1"/>
        <i x="121" s="1" nd="1"/>
        <i x="232" s="1" nd="1"/>
        <i x="133" s="1" nd="1"/>
        <i x="117" s="1" nd="1"/>
        <i x="115" s="1" nd="1"/>
        <i x="237" s="1" nd="1"/>
        <i x="131" s="1" nd="1"/>
        <i x="125" s="1" nd="1"/>
        <i x="136" s="1" nd="1"/>
        <i x="153" s="1" nd="1"/>
        <i x="130" s="1" nd="1"/>
        <i x="141" s="1" nd="1"/>
        <i x="135" s="1" nd="1"/>
        <i x="132" s="1" nd="1"/>
        <i x="245" s="1" nd="1"/>
        <i x="189" s="1" nd="1"/>
        <i x="143" s="1" nd="1"/>
        <i x="144" s="1" nd="1"/>
        <i x="241" s="1" nd="1"/>
        <i x="240" s="1" nd="1"/>
        <i x="118" s="1" nd="1"/>
        <i x="120" s="1" nd="1"/>
        <i x="151" s="1" nd="1"/>
        <i x="127" s="1" nd="1"/>
        <i x="246" s="1" nd="1"/>
        <i x="185" s="1" nd="1"/>
        <i x="176" s="1" nd="1"/>
        <i x="164" s="1" nd="1"/>
        <i x="138" s="1" nd="1"/>
        <i x="123" s="1" nd="1"/>
        <i x="154" s="1" nd="1"/>
        <i x="173" s="1" nd="1"/>
        <i x="165" s="1" nd="1"/>
        <i x="161" s="1" nd="1"/>
        <i x="129" s="1" nd="1"/>
        <i x="149" s="1" nd="1"/>
        <i x="148" s="1" nd="1"/>
        <i x="163" s="1" nd="1"/>
        <i x="150" s="1" nd="1"/>
        <i x="242" s="1" nd="1"/>
        <i x="126" s="1" nd="1"/>
        <i x="122" s="1" nd="1"/>
        <i x="152" s="1" nd="1"/>
        <i x="119" s="1" nd="1"/>
        <i x="157" s="1" nd="1"/>
        <i x="158" s="1" nd="1"/>
        <i x="162" s="1" nd="1"/>
        <i x="64" s="1" nd="1"/>
        <i x="142" s="1" nd="1"/>
        <i x="137" s="1" nd="1"/>
        <i x="170" s="1" nd="1"/>
        <i x="169" s="1" nd="1"/>
        <i x="174" s="1" nd="1"/>
        <i x="128" s="1" nd="1"/>
        <i x="172" s="1" nd="1"/>
        <i x="159" s="1" nd="1"/>
        <i x="63" s="1" nd="1"/>
        <i x="140" s="1" nd="1"/>
        <i x="145" s="1" nd="1"/>
        <i x="146" s="1" nd="1"/>
        <i x="155" s="1" nd="1"/>
        <i x="147" s="1" nd="1"/>
        <i x="166" s="1" nd="1"/>
        <i x="82" s="1" nd="1"/>
        <i x="177" s="1" nd="1"/>
        <i x="167" s="1" nd="1"/>
        <i x="183" s="1" nd="1"/>
        <i x="180" s="1" nd="1"/>
        <i x="178" s="1" nd="1"/>
        <i x="76" s="1" nd="1"/>
        <i x="75" s="1" nd="1"/>
        <i x="190" s="1" nd="1"/>
        <i x="62" s="1" nd="1"/>
        <i x="74" s="1" nd="1"/>
        <i x="184" s="1" nd="1"/>
        <i x="191" s="1" nd="1"/>
        <i x="67" s="1" nd="1"/>
        <i x="186" s="1" nd="1"/>
        <i x="187" s="1" nd="1"/>
        <i x="168" s="1" nd="1"/>
        <i x="181" s="1" nd="1"/>
        <i x="188" s="1" nd="1"/>
        <i x="179" s="1" nd="1"/>
        <i x="99" s="1" nd="1"/>
        <i x="182" s="1" nd="1"/>
        <i x="61" s="1" nd="1"/>
        <i x="70" s="1" nd="1"/>
        <i x="69" s="1" nd="1"/>
        <i x="175" s="1" nd="1"/>
        <i x="94" s="1" nd="1"/>
        <i x="73" s="1" nd="1"/>
        <i x="71" s="1" nd="1"/>
        <i x="78" s="1" nd="1"/>
        <i x="79" s="1" nd="1"/>
        <i x="77" s="1" nd="1"/>
        <i x="72" s="1" nd="1"/>
        <i x="68" s="1" nd="1"/>
        <i x="96" s="1" nd="1"/>
        <i x="85" s="1" nd="1"/>
        <i x="80" s="1" nd="1"/>
        <i x="100" s="1" nd="1"/>
        <i x="84" s="1" nd="1"/>
        <i x="95" s="1" nd="1"/>
        <i x="97" s="1" nd="1"/>
        <i x="83" s="1" nd="1"/>
        <i x="87" s="1" nd="1"/>
        <i x="98" s="1" nd="1"/>
        <i x="90" s="1" nd="1"/>
        <i x="88" s="1" nd="1"/>
        <i x="89" s="1" nd="1"/>
        <i x="93" s="1" nd="1"/>
        <i x="91" s="1" nd="1"/>
        <i x="92" s="1" nd="1"/>
        <i x="102" s="1" nd="1"/>
        <i x="101" s="1" nd="1"/>
        <i x="111" s="1" nd="1"/>
        <i x="110" s="1" nd="1"/>
        <i x="109" s="1" nd="1"/>
        <i x="114" s="1" nd="1"/>
        <i x="107" s="1" nd="1"/>
        <i x="113" s="1" nd="1"/>
        <i x="103" s="1" nd="1"/>
        <i x="104" s="1" nd="1"/>
        <i x="105" s="1" nd="1"/>
        <i x="106" s="1" nd="1"/>
        <i x="108" s="1" nd="1"/>
        <i x="112" s="1" nd="1"/>
        <i x="41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 id="4" xr3:uid="{96712812-B120-49C2-B905-59FC86A743E8}" name="cost per meter" totalsRowFunction="custom" dataDxfId="134" totalsRowDxfId="13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2" dataDxfId="131" headerRowCellStyle="Comma" dataCellStyle="Comma">
  <autoFilter ref="B2:C5" xr:uid="{136E8F7F-D03F-4198-8335-91A003EA9E45}"/>
  <tableColumns count="2">
    <tableColumn id="1" xr3:uid="{279FA697-9952-479A-AC05-0D4992B41374}" name="Column1" dataDxfId="130" dataCellStyle="Comma"/>
    <tableColumn id="2" xr3:uid="{8A64998B-65EF-41CD-BCB0-3DDB7B359C54}" name="Column2" dataDxfId="12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8"/>
    <tableColumn id="2" xr3:uid="{51D27FA2-8DDF-4369-BAF7-7D1FE90E16A0}" name="Column2" dataDxfId="12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6" totalsRowDxfId="12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2" totalsRowCount="1" headerRowDxfId="123" dataDxfId="122" headerRowCellStyle="Comma" dataCellStyle="Comma">
  <autoFilter ref="A1:K181"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6" dataCellStyle="Comma"/>
    <tableColumn id="6" xr3:uid="{F4E1FD2B-9017-4DEB-B772-BF447ECE56F7}" name="Kora/metre" dataDxfId="116" totalsRowDxfId="5" dataCellStyle="Comma"/>
    <tableColumn id="7" xr3:uid="{52ACC1DA-7A76-4A90-B809-3A1AE728E7EA}" name="Tiyaar/gaz" dataDxfId="115" totalsRowDxfId="4" dataCellStyle="Comma"/>
    <tableColumn id="8" xr3:uid="{31A0FF5E-56F0-44D1-9865-73256B964660}" name="shortage %" dataDxfId="114" totalsRowDxfId="3" dataCellStyle="Comma">
      <calculatedColumnFormula>_xlfn.XLOOKUP(Table1[[#This Row],[Shipment Number]], 'pivot '!A:A,'pivot '!G:G, "NF")</calculatedColumnFormula>
    </tableColumn>
    <tableColumn id="9" xr3:uid="{F99075E0-AC8E-094D-BB85-272AD2C6C568}" name="tiyar/meters" totalsRowFunction="custom" dataDxfId="113" totalsRowDxfId="2"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12" totalsRowDxfId="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11" totalsRowDxfId="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08" headerRowBorderDxfId="107" tableBorderDxfId="106">
  <autoFilter ref="A1:I121" xr:uid="{F8E8C957-ABE7-4E4F-8D4E-7D44E26B334F}"/>
  <tableColumns count="9">
    <tableColumn id="1" xr3:uid="{C2E817D6-AB98-4DDD-8890-736B27F261CD}" name="Date" dataDxfId="105" totalsRowDxfId="43"/>
    <tableColumn id="2" xr3:uid="{CFB51890-CCDC-463C-81C9-3F8BD7469CB9}" name="Party Name"/>
    <tableColumn id="3" xr3:uid="{A113D971-1C9D-4733-99C4-BD0CC4333209}" name="Vehicle Number"/>
    <tableColumn id="4" xr3:uid="{49780304-3DD1-4AE9-98EE-2BC7EB8F3B57}" name="Weight" dataDxfId="104" totalsRowDxfId="42" dataCellStyle="Comma"/>
    <tableColumn id="5" xr3:uid="{FCAF1BC6-1D8C-42AD-8BBC-F924BF2DC7FE}" name="Rate" dataDxfId="103" totalsRowDxfId="41" dataCellStyle="Comma"/>
    <tableColumn id="6" xr3:uid="{8C70A624-4134-410C-9C45-9FDEB51D51BF}" name="Rent" dataDxfId="102" totalsRowDxfId="40" dataCellStyle="Comma"/>
    <tableColumn id="7" xr3:uid="{EBCE10AE-9634-4982-9C95-37ABC8A7078C}" name="Total" totalsRowFunction="sum" dataDxfId="101" totalsRowDxfId="39" dataCellStyle="Comma">
      <calculatedColumnFormula>D2*E2</calculatedColumnFormula>
    </tableColumn>
    <tableColumn id="9" xr3:uid="{D4788559-C94A-44D9-B9AE-E72B214355AC}" name="Paid" totalsRowFunction="sum" dataDxfId="100" totalsRowDxfId="38" dataCellStyle="Comma"/>
    <tableColumn id="8" xr3:uid="{E26F5BF0-1875-4FC6-994D-49F202ED562B}" name="balance" totalsRowFunction="sum" dataDxfId="99" totalsRowDxfId="37"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37" totalsRowCount="1">
  <autoFilter ref="A1:G436" xr:uid="{CB032221-B416-47A8-9A76-693DE76CFD04}"/>
  <tableColumns count="7">
    <tableColumn id="1" xr3:uid="{554B1EED-65B6-4E9A-B646-82727FAC40DE}" name="Date" dataDxfId="14" totalsRowDxfId="13"/>
    <tableColumn id="2" xr3:uid="{32259059-42CF-4947-83DE-115AA430BE2B}" name="Party"/>
    <tableColumn id="3" xr3:uid="{A1320223-D55D-483C-91C3-AB19B95CC9D8}" name="Debit" totalsRowFunction="sum" dataDxfId="12" totalsRowDxfId="11" dataCellStyle="Comma"/>
    <tableColumn id="4" xr3:uid="{E9745767-9FF0-4B1C-9052-FF335D1D7588}" name="Credit" totalsRowFunction="sum" dataDxfId="10" totalsRowDxfId="9" dataCellStyle="Comma"/>
    <tableColumn id="5" xr3:uid="{5C88A48E-2467-4E6D-B626-2442B7FD0BE4}" name="Description"/>
    <tableColumn id="6" xr3:uid="{63CA4666-144E-4BE6-8B7C-7CB992BD3041}" name="Mode" totalsRowFunction="custom" dataDxfId="8"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7" tableBorderDxfId="96" totalsRowBorderDxfId="95">
  <autoFilter ref="J3:K6" xr:uid="{DCE01694-23ED-48BF-8B92-4186B9ED10A8}"/>
  <tableColumns count="2">
    <tableColumn id="1" xr3:uid="{C8484DAF-2989-4C2F-9AEC-A6917E1C57F6}" name="Type" dataDxfId="94"/>
    <tableColumn id="2" xr3:uid="{B07B7A2A-4D4E-4654-BED6-FE2F0A7BEC34}" name="Amount" dataDxfId="9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2" headerRowBorderDxfId="91" tableBorderDxfId="90" totalsRowBorderDxfId="89">
  <autoFilter ref="M3:O6" xr:uid="{D166BDD1-ACD7-45D7-8AE9-7350373F8CEB}"/>
  <tableColumns count="3">
    <tableColumn id="1" xr3:uid="{64F0205E-DEA7-4571-BA86-E4374A5FEE28}" name="Type" totalsRowLabel="Total" dataDxfId="88" totalsRowDxfId="87"/>
    <tableColumn id="2" xr3:uid="{15FA05F9-789C-4459-9BE0-5C1EC84D3365}" name="amount" totalsRowFunction="custom" dataDxfId="86" totalsRowDxfId="85">
      <totalsRowFormula>SUM(N5:N6)</totalsRowFormula>
    </tableColumn>
    <tableColumn id="3" xr3:uid="{3681D409-90C6-44D0-BDE2-4B5943A516F0}" name="Actual" totalsRowFunction="custom" totalsRowDxfId="84">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3" totalsRowDxfId="82"/>
    <tableColumn id="2" xr3:uid="{5B9D0FEE-4304-4C5C-A05C-5B27CF7841D3}" name="Type"/>
    <tableColumn id="3" xr3:uid="{6A91CA0D-C802-4C6F-9F39-CA53687E8EDE}" name="Description"/>
    <tableColumn id="4" xr3:uid="{A251D40C-AB87-4BB4-85F8-444B20E32FDF}" name="Total" totalsRowFunction="custom" dataDxfId="81" totalsRowDxfId="8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79" headerRowBorderDxfId="78">
  <autoFilter ref="A1:I1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7"/>
    <tableColumn id="4" xr3:uid="{1889A312-9B41-4EC4-BD8F-05252F27084A}" name="Price" totalsRowFunction="sum"/>
    <tableColumn id="6" xr3:uid="{8B974B20-F003-4E67-8660-024FA4F324A9}" name="Party"/>
    <tableColumn id="7" xr3:uid="{0A5A5C21-FD61-47DA-9F54-66A6479FA557}" name="Paid" dataDxfId="76">
      <calculatedColumnFormula>SUMIFS(Table14[Debit], Table14[Date], Table8[[#This Row],[Date]], Table14[Party], Table8[[#This Row],[Party]])</calculatedColumnFormula>
    </tableColumn>
    <tableColumn id="8" xr3:uid="{8DCB3B43-2161-4081-82EC-CDB0F4DE4E6F}" name="Balance" totalsRowFunction="sum" dataDxfId="7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74" headerRowBorderDxfId="73">
  <autoFilter ref="A4:H22" xr:uid="{A4C80688-A8BA-4BA7-90B4-791CD99446B4}"/>
  <sortState xmlns:xlrd2="http://schemas.microsoft.com/office/spreadsheetml/2017/richdata2" ref="A5:H6">
    <sortCondition ref="A4:A6"/>
  </sortState>
  <tableColumns count="8">
    <tableColumn id="1" xr3:uid="{4A818912-918E-4111-ACFC-BC93FEF7C1AD}" name="Date" dataDxfId="72" totalsRowDxfId="44"/>
    <tableColumn id="8" xr3:uid="{477ACFD5-62AF-4F69-974B-E9B974C11D7D}" name="Party Name" dataDxfId="7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0">
      <calculatedColumnFormula>Table2[[#This Row],[Quantity]]*200*Table2[[#This Row],[Boxes]]</calculatedColumnFormula>
    </tableColumn>
    <tableColumn id="6" xr3:uid="{30432929-CBD4-4BA8-B63F-CD0F6CF6405F}" name="Paid" totalsRowFunction="sum" dataDxfId="69">
      <calculatedColumnFormula>SUMIFS(Table14[Debit], Table14[Date], Table2[[#This Row],[Date]], Table14[Party], Table2[[#This Row],[Party Name]])</calculatedColumnFormula>
    </tableColumn>
    <tableColumn id="7" xr3:uid="{BB689DF2-5D1E-436D-84C4-9745D88E8F3D}" name="Balance" totalsRowFunction="sum" dataDxfId="6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7" totalsRowDxfId="6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5" totalsRowDxfId="64"/>
    <tableColumn id="2" xr3:uid="{053BFC14-4828-417C-9F9F-95B6E232A945}" name="Amount" totalsRowFunction="custom" dataDxfId="63" totalsRowDxfId="6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1" totalsRowDxfId="6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0" totalsRowDxfId="4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48" totalsRowDxfId="4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51">
      <calculatedColumnFormula>Billing!Q5</calculatedColumnFormula>
    </tableColumn>
    <tableColumn id="2" xr3:uid="{7093A59E-B58F-487D-888A-9AA8156B5F9A}" name="Amount Paid" dataDxfId="15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6"/>
    <tableColumn id="2" xr3:uid="{F72CFEEB-BA11-4A49-BD19-88592EB6A27C}" name="Credit" dataDxfId="4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387147.95171909296</v>
      </c>
      <c r="D2">
        <v>10</v>
      </c>
      <c r="E2" s="14">
        <f>(SUMIFS(ledger!G:G, ledger!B:B, B2, ledger!E:E, "&lt;&gt;*RD*",ledger!D:D, "Silky") / 1.0936)*12 + (SUMIFS(ledger!G:G, ledger!B:B, B2, ledger!E:E, "&lt;&gt;*RD*",ledger!D:D, "Chamki") / 1.0936)*10</f>
        <v>3951878.2004389176</v>
      </c>
      <c r="I2" t="s">
        <v>21</v>
      </c>
      <c r="Q2" t="s">
        <v>1</v>
      </c>
    </row>
    <row r="3" spans="2:33" x14ac:dyDescent="0.3">
      <c r="B3" t="str">
        <f t="shared" si="0"/>
        <v>Ejaz Sahab</v>
      </c>
      <c r="C3" s="18">
        <f>SUMIFS(ledger!G:G, ledger!B:B, B3, ledger!E:E, "&lt;&gt;*RD*") / 1.0936</f>
        <v>79346.196049743972</v>
      </c>
      <c r="D3">
        <v>10</v>
      </c>
      <c r="E3" s="14">
        <f>(SUMIFS(ledger!G:G, ledger!B:B, B3, ledger!E:E, "&lt;&gt;*RD*",ledger!D:D, "Silky") / 1.0936)*12 + (SUMIFS(ledger!G:G, ledger!B:B, B3, ledger!E:E, "&lt;&gt;*RD*",ledger!D:D, "Chamki") / 1.0936)*10</f>
        <v>952154.35259692767</v>
      </c>
      <c r="I3" t="s">
        <v>22</v>
      </c>
    </row>
    <row r="4" spans="2:33" x14ac:dyDescent="0.3">
      <c r="B4" t="str">
        <f t="shared" si="0"/>
        <v>Arshad</v>
      </c>
      <c r="C4" s="18">
        <f>SUMIFS(ledger!G:G, ledger!B:B, B4, ledger!E:E, "&lt;&gt;*RD*") / 1.0936</f>
        <v>40430.687637161675</v>
      </c>
      <c r="D4">
        <v>10</v>
      </c>
      <c r="E4" s="14">
        <f>(SUMIFS(ledger!G:G, ledger!B:B, B4, ledger!E:E, "&lt;&gt;*RD*",ledger!D:D, "Silky") / 1.0936)*12 + (SUMIFS(ledger!G:G, ledger!B:B, B4, ledger!E:E, "&lt;&gt;*RD*",ledger!D:D, "Chamki") / 1.0936)*10</f>
        <v>438410.75347476226</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3537957.8824</v>
      </c>
      <c r="S5" s="22" cm="1">
        <f t="array" ref="S5">_xlfn.BYROW(B49, _xlfn.LAMBDA(_xlpm.party, SUMIFS(ledger!G:G, ledger!B:B, _xlpm.party, ledger!E:E, "&lt;&gt;*RD*") / 1.0936 ))+_xlfn.IFNA(D84,0)</f>
        <v>3235148.0270665698</v>
      </c>
      <c r="T5" s="22" cm="1">
        <f t="array" ref="T5">(_xlfn.BYROW(B49,_xlfn.LAMBDA(_xlpm.party,SUMIFS(ledger!G:G,ledger!B:B,_xlpm.party,ledger!E:E,"&lt;&gt;*RD*",ledger!D:D,"Chamki")+SUMIFS(ledger!G:G, ledger!B:B, _xlpm.party, ledger!E:E, "&lt;&gt;*RD*", ledger!D:D, "Crinkle")))/1.0936)+_xlfn.IFNA(E84,0)</f>
        <v>2745924.3621068033</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27459243.621068038</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33707765.018288225</v>
      </c>
      <c r="AD5" s="22">
        <f>(SUMIF(Table14[Party],Q5,Table14[Credit]))+_xlfn.IFNA(O84,0)</f>
        <v>19750734</v>
      </c>
      <c r="AE5" s="33">
        <f>AC5-AD5</f>
        <v>13957031.018288225</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566182</v>
      </c>
      <c r="S6" s="22" cm="1">
        <f t="array" ref="S6">_xlfn.BYROW(B50, _xlfn.LAMBDA(_xlpm.party, SUMIFS(ledger!G:G, ledger!B:B, _xlpm.party, ledger!E:E, "&lt;&gt;*RD*") / 1.0936 ))+_xlfn.IFNA(D85,0)</f>
        <v>517723.11631309445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369577.5420629115</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4745363.9356254581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6226819.678127287</v>
      </c>
      <c r="AD6" s="22">
        <f>(SUMIF(Table14[Party],Q6,Table14[Credit]))+_xlfn.IFNA(O85,0)</f>
        <v>6067319</v>
      </c>
      <c r="AE6" s="33">
        <f t="shared" ref="AE6:AE35" si="2">AC6-AD6</f>
        <v>159500.67812728696</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867792</v>
      </c>
      <c r="S7" s="22" cm="1">
        <f t="array" ref="S7">_xlfn.BYROW(B51, _xlfn.LAMBDA(_xlpm.party, SUMIFS(ledger!G:G, ledger!B:B, _xlpm.party, ledger!E:E, "&lt;&gt;*RD*") / 1.0936 ))+_xlfn.IFNA(D86,0)</f>
        <v>793518.65398683259</v>
      </c>
      <c r="T7" s="22" cm="1">
        <f t="array" ref="T7">(_xlfn.BYROW(B51,_xlfn.LAMBDA(_xlpm.party,SUMIFS(ledger!G:G,ledger!B:B,_xlpm.party,ledger!E:E,"&lt;&gt;*RD*",ledger!D:D,"Chamki")+SUMIFS(ledger!G:G, ledger!B:B, _xlpm.party, ledger!E:E, "&lt;&gt;*RD*", ledger!D:D, "Crinkle")))/1.0936)+_xlfn.IFNA(E86,0)</f>
        <v>649766.82516459399</v>
      </c>
      <c r="U7" s="70" cm="1">
        <f t="array" ref="U7">(_xlfn.BYROW(B51,_xlfn.LAMBDA(_xlpm.party,SUMIFS(ledger!G:G,ledger!B:B,_xlpm.party,ledger!E:E,"&lt;&gt;*RD*",ledger!D:D,"Silky")))/1.0936)+_xlfn.IFNA(F86,0)</f>
        <v>143751.82882223849</v>
      </c>
      <c r="V7" s="22" cm="1">
        <f t="array" ref="V7">(_xlfn.BYROW(B51,_xlfn.LAMBDA(_xlpm.party,
(SUMIFS(ledger!J:J,ledger!B:B,_xlpm.party,ledger!E:E,"&lt;&gt;*RD*",ledger!D:D,"Chamki",ledger!C:C,"&lt;&gt;December Closing CF")+
SUMIFS(ledger!J:J,ledger!B:B,_xlpm.party,ledger!E:E,"&lt;&gt;*RD*",ledger!D:D,"Crinkle",ledger!C:C,"&lt;&gt;December Closing CF")
)+_xlfn.IFNA(G86,0))))</f>
        <v>6497668.2516459404</v>
      </c>
      <c r="W7" s="70" cm="1">
        <f t="array" ref="W7">_xlfn.BYROW(B51, _xlfn.LAMBDA(_xlpm.party,
   SUMIFS(ledger!J:J, ledger!B:B, _xlpm.party, ledger!E:E, "&lt;&gt;*RD*", ledger!D:D, "Silky", ledger!C:C, "&lt;&gt;December Closing CF")
)) + _xlfn.IFNA(H86, 0)</f>
        <v>1853979.5171909293</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8351647.7688368699</v>
      </c>
      <c r="AD7" s="22">
        <f>(SUMIF(Table14[Party],Q7,Table14[Credit]))+_xlfn.IFNA(O86,0)</f>
        <v>8342501</v>
      </c>
      <c r="AE7" s="33">
        <f t="shared" si="2"/>
        <v>9146.7688368698582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9459871</v>
      </c>
      <c r="AE10" s="33">
        <f t="shared" si="2"/>
        <v>356737.44915874302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104585.77176298464</v>
      </c>
      <c r="E12" s="14">
        <f>(SUMIFS(ledger!G:G, ledger!B:B, B12, ledger!E:E, "&lt;&gt;*RD*",ledger!D:D, "Silky") / 1.0936)*12 + (SUMIFS(ledger!G:G, ledger!B:B, B12, ledger!E:E, "&lt;&gt;*RD*",ledger!D:D, "Chamki") / 1.0936)*10</f>
        <v>1045857.7176298464</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429299</v>
      </c>
      <c r="S15" s="22" cm="1">
        <f t="array" ref="S15">_xlfn.BYROW(B59, _xlfn.LAMBDA(_xlpm.party, SUMIFS(ledger!G:G, ledger!B:B, _xlpm.party, ledger!E:E, "&lt;&gt;*RD*") / 1.0936 ))+_xlfn.IFNA(D94,0)</f>
        <v>392555.77907827363</v>
      </c>
      <c r="T15" s="22" cm="1">
        <f t="array" ref="T15">(_xlfn.BYROW(B59,_xlfn.LAMBDA(_xlpm.party,SUMIFS(ledger!G:G,ledger!B:B,_xlpm.party,ledger!E:E,"&lt;&gt;*RD*",ledger!D:D,"Chamki")+SUMIFS(ledger!G:G, ledger!B:B, _xlpm.party, ledger!E:E, "&lt;&gt;*RD*", ledger!D:D, "Crinkle")))/1.0936)+_xlfn.IFNA(E94,0)</f>
        <v>392555.77907827363</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3925557.7907827366</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3925557.7907827366</v>
      </c>
      <c r="AD15" s="22">
        <f>(SUMIF(Table14[Party],Q15,Table14[Credit]))+_xlfn.IFNA(O94,0)</f>
        <v>3869679</v>
      </c>
      <c r="AE15" s="33">
        <f t="shared" si="2"/>
        <v>55878.790782736614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18216287.490855895</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6061484.0892465264</v>
      </c>
      <c r="AD21" s="22">
        <f>(SUMIF(Table14[Party],Q21,Table14[Credit]))+_xlfn.IFNA(O100,0)</f>
        <v>6024187</v>
      </c>
      <c r="AE21" s="33">
        <f t="shared" si="2"/>
        <v>37297.089246526361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18216287.490855895</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140159</v>
      </c>
      <c r="S32" s="22" cm="1">
        <f t="array" ref="S32">_xlfn.BYROW(B76, _xlfn.LAMBDA(_xlpm.party, SUMIFS(ledger!G:G, ledger!B:B, _xlpm.party, ledger!E:E, "&lt;&gt;*RD*") / 1.0936 ))+_xlfn.IFNA(D111,0)</f>
        <v>128162.94806144843</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78384.235552304322</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1018995.0621799562</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1516782.1872713976</v>
      </c>
      <c r="AD32" s="22">
        <f>(SUMIF(Table14[Party],Q32,Table14[Credit]))+_xlfn.IFNA(O111,0)</f>
        <v>1000000</v>
      </c>
      <c r="AE32" s="33">
        <f t="shared" si="2"/>
        <v>516782.18727139756</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500000</v>
      </c>
      <c r="AE33" s="33">
        <f t="shared" si="2"/>
        <v>136460.3145574251</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v>0</v>
      </c>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423385</v>
      </c>
      <c r="D49" s="22" cm="1">
        <f t="array" ref="D49:D79">_xlfn.BYROW(_xlfn.ANCHORARRAY(B49), _xlfn.LAMBDA(_xlpm.party, SUMIFS(ledger!G:G, ledger!B:B, _xlpm.party, ledger!E:E, "&lt;&gt;*RD*") / 1.0936 ))</f>
        <v>387147.95171909296</v>
      </c>
      <c r="E49" s="63" cm="1">
        <f t="array" ref="E49:E79">(_xlfn.BYROW(_xlfn.ANCHORARRAY(B49),_xlfn.LAMBDA(_xlpm.party,SUMIFS(ledger!G:G,ledger!B:B,_xlpm.party,ledger!E:E,"&lt;&gt;*RD*",ledger!D:D,"Chamki")+SUMIFS(ledger!G:G, ledger!B:B, _xlpm.party, ledger!E:E, "&lt;&gt;*RD*", ledger!D:D, "Crinkle")))/1.0936)</f>
        <v>277857.53474762256</v>
      </c>
      <c r="F49" s="63" cm="1">
        <f t="array" ref="F49:F79">(_xlfn.BYROW(_xlfn.ANCHORARRAY(B49),_xlfn.LAMBDA(_xlpm.party,SUMIFS(ledger!G:G,ledger!B:B,_xlpm.party,ledger!E:E,"&lt;&gt;*RD*",ledger!D:D,"Silky")))/1.0936)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2778575.3474762253</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4176320.4096561815</v>
      </c>
      <c r="O49" s="22">
        <f>(SUMIF(Table14[Party],B49,Table14[Credit]))</f>
        <v>0</v>
      </c>
      <c r="P49" s="37">
        <f>N49-O49</f>
        <v>4176320.4096561815</v>
      </c>
      <c r="Q49" s="21">
        <v>10</v>
      </c>
      <c r="R49" s="21">
        <v>12</v>
      </c>
    </row>
    <row r="50" spans="1:23" x14ac:dyDescent="0.3">
      <c r="B50" s="24" t="str">
        <v>Ejaz Sahab</v>
      </c>
      <c r="C50" s="22">
        <v>86773</v>
      </c>
      <c r="D50" s="22">
        <v>79346.196049743972</v>
      </c>
      <c r="E50" s="63">
        <v>0</v>
      </c>
      <c r="F50" s="63">
        <v>79346.196049743972</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1031500.5486466717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1031500.5486466717</v>
      </c>
      <c r="O50" s="22">
        <f>(SUMIF(Table14[Party],B50,Table14[Credit]))</f>
        <v>872000</v>
      </c>
      <c r="P50" s="37">
        <f t="shared" ref="P50:P75" si="5">N50-O50</f>
        <v>159500.5486466717</v>
      </c>
      <c r="Q50" s="21">
        <v>10</v>
      </c>
      <c r="R50" s="21">
        <v>12</v>
      </c>
    </row>
    <row r="51" spans="1:23" x14ac:dyDescent="0.3">
      <c r="B51" s="24" t="str">
        <v>Arshad</v>
      </c>
      <c r="C51" s="22">
        <v>44215</v>
      </c>
      <c r="D51" s="22">
        <v>40430.687637161675</v>
      </c>
      <c r="E51" s="63">
        <v>23378.749085588883</v>
      </c>
      <c r="F51" s="63">
        <v>17051.938551572788</v>
      </c>
      <c r="G51" s="22" cm="1">
        <f t="array" ref="G51">(_xlfn.BYROW(B51,_xlfn.LAMBDA(_xlpm.party,
(SUMIFS(ledger!J:J,ledger!B:B,_xlpm.party,ledger!E:E,"&lt;&gt;*RD*",ledger!D:D,"Chamki",ledger!C:C,"&lt;&gt;December Closing CF")+
SUMIFS(ledger!J:J,ledger!B:B,_xlpm.party,ledger!E:E,"&lt;&gt;*RD*",ledger!D:D,"Crinkle",ledger!C:C,"&lt;&gt;December Closing CF")
))))</f>
        <v>233787.49085588881</v>
      </c>
      <c r="H51" s="22" cm="1">
        <f t="array" ref="H51">_xlfn.BYROW(B51, _xlfn.LAMBDA(_xlpm.party,
   SUMIFS(ledger!J:J, ledger!B:B, _xlpm.party, ledger!E:E, "&lt;&gt;*RD*", ledger!D:D, "Silky", ledger!C:C, "&lt;&gt;December Closing CF")
))</f>
        <v>221675.20117044626</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455462.69202633505</v>
      </c>
      <c r="O51" s="22">
        <f>(SUMIF(Table14[Party],B51,Table14[Credit]))</f>
        <v>507000</v>
      </c>
      <c r="P51" s="37">
        <f t="shared" si="5"/>
        <v>-51537.307973664952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1462000</v>
      </c>
      <c r="P54" s="37">
        <f t="shared" si="5"/>
        <v>-95317.4835405997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387147.95171909296</v>
      </c>
      <c r="W58" s="18">
        <v>3951878.2004389176</v>
      </c>
    </row>
    <row r="59" spans="1:23" x14ac:dyDescent="0.3">
      <c r="B59" s="24" t="str">
        <v>Hafiz Qureshi</v>
      </c>
      <c r="C59" s="22">
        <v>114375</v>
      </c>
      <c r="D59" s="22">
        <v>104585.77176298464</v>
      </c>
      <c r="E59" s="63">
        <v>104585.77176298464</v>
      </c>
      <c r="F59" s="63">
        <v>0</v>
      </c>
      <c r="G59" s="22" cm="1">
        <f t="array" ref="G59">(_xlfn.BYROW(B59,_xlfn.LAMBDA(_xlpm.party,
(SUMIFS(ledger!J:J,ledger!B:B,_xlpm.party,ledger!E:E,"&lt;&gt;*RD*",ledger!D:D,"Chamki",ledger!C:C,"&lt;&gt;December Closing CF")+
SUMIFS(ledger!J:J,ledger!B:B,_xlpm.party,ledger!E:E,"&lt;&gt;*RD*",ledger!D:D,"Crinkle",ledger!C:C,"&lt;&gt;December Closing CF")
))))</f>
        <v>1045857.7176298464</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1045857.7176298464</v>
      </c>
      <c r="O59" s="22">
        <f>(SUMIF(Table14[Party],B59,Table14[Credit]))</f>
        <v>1000000</v>
      </c>
      <c r="P59" s="37">
        <f t="shared" si="5"/>
        <v>45857.717629846418</v>
      </c>
      <c r="Q59" s="21">
        <v>10</v>
      </c>
      <c r="R59" s="21">
        <v>12</v>
      </c>
      <c r="U59" s="4" t="s">
        <v>22</v>
      </c>
      <c r="V59" s="5">
        <v>79346.196049743972</v>
      </c>
      <c r="W59" s="18">
        <v>952154.35259692767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40430.687637161675</v>
      </c>
      <c r="W60" s="18">
        <v>438410.75347476226</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837297.00073152897</v>
      </c>
      <c r="O65" s="22">
        <f>(SUMIF(Table14[Party],B65,Table14[Credit]))</f>
        <v>1108616</v>
      </c>
      <c r="P65" s="37">
        <f t="shared" si="5"/>
        <v>-271318.99926847103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104585.77176298464</v>
      </c>
      <c r="W68" s="18">
        <v>1045857.7176298464</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64407.461594732995</v>
      </c>
      <c r="W73" s="18">
        <v>772889.53913679591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1109453.182150695</v>
      </c>
      <c r="W75" s="14">
        <v>11488824.067300659</v>
      </c>
    </row>
    <row r="76" spans="2:23" x14ac:dyDescent="0.3">
      <c r="B76" t="str">
        <v>Shani Badshah</v>
      </c>
      <c r="C76">
        <v>140159</v>
      </c>
      <c r="D76">
        <v>128162.94806144843</v>
      </c>
      <c r="E76">
        <v>49778.712509144112</v>
      </c>
      <c r="F76">
        <v>78384.235552304322</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1018995.0621799562</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1516782.1872713976</v>
      </c>
      <c r="O76" s="22">
        <f>SUMIF(Table14[Party], B76, Table14[Credit])</f>
        <v>1000000</v>
      </c>
      <c r="P76" s="37">
        <f t="shared" ref="P76:P78" si="7">N76-O76</f>
        <v>516782.18727139756</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500000</v>
      </c>
      <c r="P77" s="37">
        <f t="shared" si="7"/>
        <v>136460.3145574251</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B79">
        <v>0</v>
      </c>
      <c r="C79">
        <v>0</v>
      </c>
      <c r="D79">
        <v>0</v>
      </c>
      <c r="E79">
        <v>0</v>
      </c>
      <c r="F79">
        <v>0</v>
      </c>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B114">
        <v>0</v>
      </c>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523</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509411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465811.08266276523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462841.07534747623</v>
      </c>
      <c r="E14" s="66">
        <f>Table21[[#This Row],[gazana]]*Table21[[#This Row],[Rate]]</f>
        <v>6016933.9795171907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6016933.9795171907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6024187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37297.089246526361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row r="34" spans="10:10" x14ac:dyDescent="0.3">
      <c r="J34">
        <v>0</v>
      </c>
    </row>
  </sheetData>
  <conditionalFormatting sqref="E20">
    <cfRule type="cellIs" dxfId="35" priority="1" operator="lessThan">
      <formula>20000</formula>
    </cfRule>
    <cfRule type="cellIs" dxfId="3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6920480</v>
      </c>
      <c r="D4" t="s">
        <v>189</v>
      </c>
      <c r="E4" s="43">
        <f ca="1">Table12[[#This Row],[Amount]]/Table1[[#Totals],[tiyar/meters]]</f>
        <v>4.2433056648712038</v>
      </c>
    </row>
    <row r="5" spans="1:5" x14ac:dyDescent="0.3">
      <c r="B5" t="s">
        <v>48</v>
      </c>
      <c r="C5" s="11">
        <f>SUM(Table8[Price])+(291000)</f>
        <v>1595400</v>
      </c>
      <c r="E5" s="43">
        <f ca="1">Table12[[#This Row],[Amount]]/Table1[[#Totals],[tiyar/meters]]</f>
        <v>0.97822258827935615</v>
      </c>
    </row>
    <row r="6" spans="1:5" x14ac:dyDescent="0.3">
      <c r="B6" t="s">
        <v>49</v>
      </c>
      <c r="C6" s="11">
        <f>SUM(Table2[Price])+38750</f>
        <v>777350</v>
      </c>
      <c r="D6" t="s">
        <v>188</v>
      </c>
      <c r="E6" s="43">
        <f ca="1">Table12[[#This Row],[Amount]]/Table1[[#Totals],[tiyar/meters]]</f>
        <v>0.47663365237492633</v>
      </c>
    </row>
    <row r="7" spans="1:5" x14ac:dyDescent="0.3">
      <c r="B7" t="s">
        <v>50</v>
      </c>
      <c r="C7" s="11">
        <f>SUMIFS(Table14[Debit], Table14[Party],Table12[[#This Row],[Type]])</f>
        <v>232595</v>
      </c>
      <c r="E7" s="43">
        <f ca="1">Table12[[#This Row],[Amount]]/Table1[[#Totals],[tiyar/meters]]</f>
        <v>0.14261607303550008</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1904993</v>
      </c>
      <c r="E9" s="43">
        <f ca="1">Table12[[#This Row],[Amount]]/Table1[[#Totals],[tiyar/meters]]</f>
        <v>1.1680501335803282</v>
      </c>
    </row>
    <row r="10" spans="1:5" x14ac:dyDescent="0.3">
      <c r="B10" t="s">
        <v>53</v>
      </c>
      <c r="C10" s="11">
        <f>Table5[[#Totals],[Amount]]</f>
        <v>45950</v>
      </c>
      <c r="E10" s="43">
        <f ca="1">Table12[[#This Row],[Amount]]/Table1[[#Totals],[tiyar/meters]]</f>
        <v>2.8174331159230546E-2</v>
      </c>
    </row>
    <row r="11" spans="1:5" x14ac:dyDescent="0.3">
      <c r="B11" t="s">
        <v>54</v>
      </c>
      <c r="C11" s="11">
        <f>Table13[[#Totals],[Debit]]</f>
        <v>145330</v>
      </c>
      <c r="E11" s="43">
        <f ca="1">Table12[[#This Row],[Amount]]/Table1[[#Totals],[tiyar/meters]]</f>
        <v>8.9109369910140915E-2</v>
      </c>
    </row>
    <row r="12" spans="1:5" x14ac:dyDescent="0.3">
      <c r="B12" t="s">
        <v>55</v>
      </c>
      <c r="C12" s="11">
        <f>Table15[[#Totals],[Amount]]</f>
        <v>49413</v>
      </c>
      <c r="E12" s="43">
        <f ca="1">Table12[[#This Row],[Amount]]/Table1[[#Totals],[tiyar/meters]]</f>
        <v>3.029767629099149E-2</v>
      </c>
    </row>
    <row r="13" spans="1:5" x14ac:dyDescent="0.3">
      <c r="C13" s="11"/>
      <c r="E13" s="43">
        <f ca="1">Table12[[#This Row],[Amount]]/Table1[[#Totals],[tiyar/meters]]</f>
        <v>0</v>
      </c>
    </row>
    <row r="14" spans="1:5" x14ac:dyDescent="0.3">
      <c r="C14" s="14">
        <f>SUM(Table12[Amount])</f>
        <v>11671511</v>
      </c>
      <c r="E14" s="43">
        <f ca="1">SUM(Table12[cost per meter])</f>
        <v>7.1564094895016774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18216287.490855895</v>
      </c>
    </row>
    <row r="4" spans="1:3" x14ac:dyDescent="0.3">
      <c r="B4" s="11" t="s">
        <v>44</v>
      </c>
      <c r="C4" s="11">
        <f>Table12[[#Totals],[Amount]]</f>
        <v>11671511</v>
      </c>
    </row>
    <row r="5" spans="1:3" x14ac:dyDescent="0.3">
      <c r="A5" s="6"/>
      <c r="B5" s="15" t="s">
        <v>68</v>
      </c>
      <c r="C5" s="15">
        <f>C3-C4</f>
        <v>6544776.490855895</v>
      </c>
    </row>
    <row r="10" spans="1:3" ht="15" thickBot="1" x14ac:dyDescent="0.35">
      <c r="B10" t="s">
        <v>66</v>
      </c>
      <c r="C10" s="14" t="s">
        <v>67</v>
      </c>
    </row>
    <row r="11" spans="1:3" x14ac:dyDescent="0.3">
      <c r="B11" s="56" t="s">
        <v>0</v>
      </c>
      <c r="C11" s="57">
        <f>C3</f>
        <v>18216287.490855895</v>
      </c>
    </row>
    <row r="12" spans="1:3" x14ac:dyDescent="0.3">
      <c r="B12" s="58" t="s">
        <v>69</v>
      </c>
      <c r="C12" s="59">
        <f>SUM(Table14[Credit])</f>
        <v>21754881</v>
      </c>
    </row>
    <row r="13" spans="1:3" ht="15" thickBot="1" x14ac:dyDescent="0.35">
      <c r="B13" s="74" t="s">
        <v>93</v>
      </c>
      <c r="C13" s="73">
        <f>(C11-C12)</f>
        <v>-3538593.509144105</v>
      </c>
    </row>
    <row r="14" spans="1:3" ht="15" thickBot="1" x14ac:dyDescent="0.35">
      <c r="B14" s="58"/>
      <c r="C14" s="59"/>
    </row>
    <row r="15" spans="1:3" x14ac:dyDescent="0.3">
      <c r="B15" s="56" t="s">
        <v>44</v>
      </c>
      <c r="C15" s="57">
        <f>C4</f>
        <v>11671511</v>
      </c>
    </row>
    <row r="16" spans="1:3" x14ac:dyDescent="0.3">
      <c r="B16" s="58" t="s">
        <v>70</v>
      </c>
      <c r="C16" s="59">
        <f>SUM(Table14[Debit])</f>
        <v>21741571</v>
      </c>
    </row>
    <row r="17" spans="2:6" ht="15" thickBot="1" x14ac:dyDescent="0.35">
      <c r="B17" s="74" t="s">
        <v>71</v>
      </c>
      <c r="C17" s="73">
        <f>C15-C16</f>
        <v>-10070060</v>
      </c>
    </row>
    <row r="18" spans="2:6" ht="15" thickBot="1" x14ac:dyDescent="0.35">
      <c r="B18" s="58"/>
      <c r="C18" s="59"/>
    </row>
    <row r="19" spans="2:6" ht="15" thickBot="1" x14ac:dyDescent="0.35">
      <c r="B19" s="75" t="s">
        <v>72</v>
      </c>
      <c r="C19" s="76">
        <f>Table18[[#Totals],[amount]]</f>
        <v>13310</v>
      </c>
    </row>
    <row r="20" spans="2:6" ht="15" thickBot="1" x14ac:dyDescent="0.35">
      <c r="B20" s="71"/>
      <c r="C20" s="72"/>
    </row>
    <row r="21" spans="2:6" ht="15" thickBot="1" x14ac:dyDescent="0.35">
      <c r="B21" s="60" t="s">
        <v>73</v>
      </c>
      <c r="C21" s="61">
        <f>(C13-C17)+C19</f>
        <v>6544776.490855895</v>
      </c>
      <c r="E21" s="79" t="s">
        <v>74</v>
      </c>
      <c r="F21" s="80">
        <f>C5*0.05</f>
        <v>327238.82454279478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145330</v>
      </c>
      <c r="E44">
        <f>SUBTOTAL(109,Table13[Credit])</f>
        <v>0</v>
      </c>
      <c r="F44">
        <f>Table13[[#Totals],[Debit]]-Table13[[#Totals],[Credit]]</f>
        <v>145330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2"/>
  <sheetViews>
    <sheetView topLeftCell="A155" zoomScale="107" zoomScaleNormal="107" workbookViewId="0">
      <selection activeCell="E165" sqref="E16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2">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M32" s="10">
        <v>0</v>
      </c>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501</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501</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522</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516</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441</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15.210886820283491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522</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35.695618130157797</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15.210886820283491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46.612133928136565</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18"/>
      <c r="B176" s="122"/>
      <c r="C176" s="118"/>
      <c r="D176" s="118"/>
      <c r="E176" s="11"/>
      <c r="F176" s="11"/>
      <c r="G176" s="11"/>
      <c r="H176" s="119" t="e">
        <f>_xlfn.XLOOKUP(Table1[[#This Row],[Shipment Number]], 'pivot '!A:A,'pivot '!G:G, "NF")</f>
        <v>#DIV/0!</v>
      </c>
      <c r="I176" s="120"/>
      <c r="J176" s="120"/>
      <c r="K176" s="118"/>
    </row>
    <row r="177" spans="1:11" x14ac:dyDescent="0.3">
      <c r="A177" s="118"/>
      <c r="B177" s="122"/>
      <c r="C177" s="118"/>
      <c r="D177" s="118"/>
      <c r="E177" s="11"/>
      <c r="F177" s="11"/>
      <c r="G177" s="11"/>
      <c r="H177" s="119" t="e">
        <f>_xlfn.XLOOKUP(Table1[[#This Row],[Shipment Number]], 'pivot '!A:A,'pivot '!G:G, "NF")</f>
        <v>#DIV/0!</v>
      </c>
      <c r="I177" s="120"/>
      <c r="J177" s="120"/>
      <c r="K177" s="118"/>
    </row>
    <row r="178" spans="1:11" x14ac:dyDescent="0.3">
      <c r="A178" s="118"/>
      <c r="B178" s="122"/>
      <c r="C178" s="118"/>
      <c r="D178" s="118"/>
      <c r="E178" s="11"/>
      <c r="F178" s="11"/>
      <c r="G178" s="11"/>
      <c r="H178" s="119" t="e">
        <f>_xlfn.XLOOKUP(Table1[[#This Row],[Shipment Number]], 'pivot '!A:A,'pivot '!G:G, "NF")</f>
        <v>#DIV/0!</v>
      </c>
      <c r="I178" s="120"/>
      <c r="J178" s="120"/>
      <c r="K178" s="118"/>
    </row>
    <row r="179" spans="1:11" x14ac:dyDescent="0.3">
      <c r="A179" s="118"/>
      <c r="B179" s="122"/>
      <c r="C179" s="118"/>
      <c r="D179" s="118"/>
      <c r="E179" s="11"/>
      <c r="F179" s="11"/>
      <c r="G179" s="11"/>
      <c r="H179" s="119" t="e">
        <f>_xlfn.XLOOKUP(Table1[[#This Row],[Shipment Number]], 'pivot '!A:A,'pivot '!G:G, "NF")</f>
        <v>#DIV/0!</v>
      </c>
      <c r="I179" s="120"/>
      <c r="J179" s="120"/>
      <c r="K179" s="118"/>
    </row>
    <row r="180" spans="1:11" x14ac:dyDescent="0.3">
      <c r="A180" s="118"/>
      <c r="B180" s="122"/>
      <c r="C180" s="118"/>
      <c r="D180" s="118"/>
      <c r="E180" s="11"/>
      <c r="F180" s="11"/>
      <c r="G180" s="11"/>
      <c r="H180" s="119" t="e">
        <f>_xlfn.XLOOKUP(Table1[[#This Row],[Shipment Number]], 'pivot '!A:A,'pivot '!G:G, "NF")</f>
        <v>#DIV/0!</v>
      </c>
      <c r="I180" s="120"/>
      <c r="J180" s="120"/>
      <c r="K180" s="118"/>
    </row>
    <row r="181" spans="1:11" x14ac:dyDescent="0.3">
      <c r="A181" s="118"/>
      <c r="B181" s="122"/>
      <c r="C181" s="118"/>
      <c r="D181" s="118"/>
      <c r="E181" s="11"/>
      <c r="F181" s="11"/>
      <c r="G181" s="11"/>
      <c r="H181" s="119" t="e">
        <f>_xlfn.XLOOKUP(Table1[[#This Row],[Shipment Number]], 'pivot '!A:A,'pivot '!G:G, "NF")</f>
        <v>#DIV/0!</v>
      </c>
      <c r="I181" s="120"/>
      <c r="J181" s="120"/>
      <c r="K181" s="118"/>
    </row>
    <row r="182" spans="1:11" x14ac:dyDescent="0.3">
      <c r="A182"/>
      <c r="B182"/>
      <c r="C182"/>
      <c r="D182"/>
      <c r="E182" s="14"/>
      <c r="F182" s="14"/>
      <c r="G182" s="14"/>
      <c r="H182" s="43"/>
      <c r="I182" s="94" cm="1">
        <f t="array" aca="1" ref="I182" ca="1">SUMPRODUCT( SUBTOTAL(109, OFFSET(Table1[tiyar/meters], ROW(Table1[tiyar/meters])-MIN(ROW(Table1[tiyar/meters])), 0, 1)), --(Table1[Bill Number]&lt;&gt;"December Closing CF") )</f>
        <v>1630917.1543525974</v>
      </c>
      <c r="J182" s="43" cm="1">
        <f t="array" aca="1" ref="J182" ca="1">SUMPRODUCT( SUBTOTAL(109, OFFSET(Table1[billing], ROW(Table1[billing])-MIN(ROW(Table1[billing])), 0, 1)), --(Table1[Bill Number]&lt;&gt;"December Closing CF") )</f>
        <v>18216287.490855899</v>
      </c>
      <c r="K182" s="14">
        <f>SUMIFS(Table1[billing], Table1[Bill Number], "&lt;&gt;December Closing CF")</f>
        <v>18216287.490855899</v>
      </c>
    </row>
  </sheetData>
  <phoneticPr fontId="7" alignment="center"/>
  <conditionalFormatting sqref="H2:H182">
    <cfRule type="cellIs" dxfId="3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48" zoomScale="145" zoomScaleNormal="90" workbookViewId="0">
      <selection activeCell="B58" sqref="B5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5300480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414</v>
      </c>
      <c r="N15" s="14">
        <v>322680</v>
      </c>
      <c r="O15" s="14"/>
      <c r="P15" s="14">
        <v>282080</v>
      </c>
    </row>
    <row r="16" spans="1:16" x14ac:dyDescent="0.3">
      <c r="A16" s="1"/>
      <c r="D16" s="11"/>
      <c r="E16" s="11"/>
      <c r="F16" s="11"/>
      <c r="G16" s="11"/>
      <c r="H16" s="11"/>
      <c r="I16" s="11"/>
      <c r="K16" s="11"/>
      <c r="L16" s="42" t="s">
        <v>103</v>
      </c>
      <c r="M16" s="14">
        <v>414</v>
      </c>
      <c r="N16" s="14">
        <v>322680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v>46063</v>
      </c>
      <c r="M44" s="14">
        <v>670</v>
      </c>
      <c r="N44" s="14">
        <v>455940</v>
      </c>
      <c r="O44" s="14"/>
      <c r="P44" s="14"/>
    </row>
    <row r="45" spans="1:16" x14ac:dyDescent="0.3">
      <c r="A45" s="1">
        <v>46062</v>
      </c>
      <c r="B45" t="s">
        <v>196</v>
      </c>
      <c r="D45" s="11">
        <v>215</v>
      </c>
      <c r="E45" s="11">
        <v>820</v>
      </c>
      <c r="F45" s="11"/>
      <c r="G45" s="11">
        <f t="shared" si="2"/>
        <v>176300</v>
      </c>
      <c r="H45" s="11"/>
      <c r="I45" s="11"/>
      <c r="L45" s="42" t="s">
        <v>103</v>
      </c>
      <c r="M45" s="14">
        <v>670</v>
      </c>
      <c r="N45" s="14">
        <v>455940</v>
      </c>
      <c r="O45" s="14"/>
      <c r="P45" s="14"/>
    </row>
    <row r="46" spans="1:16" x14ac:dyDescent="0.3">
      <c r="A46" s="1">
        <v>46044</v>
      </c>
      <c r="B46" t="s">
        <v>169</v>
      </c>
      <c r="D46" s="11">
        <v>70</v>
      </c>
      <c r="E46" s="11">
        <v>580</v>
      </c>
      <c r="F46" s="11"/>
      <c r="G46" s="11">
        <f t="shared" si="2"/>
        <v>40600</v>
      </c>
      <c r="H46" s="11"/>
      <c r="I46" s="11"/>
      <c r="L46" s="26">
        <v>46064</v>
      </c>
      <c r="M46" s="14">
        <v>157</v>
      </c>
      <c r="N46" s="14">
        <v>128740</v>
      </c>
      <c r="O46" s="14"/>
      <c r="P46" s="14"/>
    </row>
    <row r="47" spans="1:16" x14ac:dyDescent="0.3">
      <c r="A47" s="1">
        <v>46063</v>
      </c>
      <c r="B47" t="s">
        <v>169</v>
      </c>
      <c r="D47" s="11">
        <v>125</v>
      </c>
      <c r="E47" s="11">
        <v>580</v>
      </c>
      <c r="F47" s="11"/>
      <c r="G47" s="11">
        <f t="shared" si="2"/>
        <v>72500</v>
      </c>
      <c r="H47" s="11"/>
      <c r="I47" s="11"/>
      <c r="L47" s="42" t="s">
        <v>103</v>
      </c>
      <c r="M47" s="14">
        <v>157</v>
      </c>
      <c r="N47" s="14">
        <v>128740</v>
      </c>
      <c r="O47" s="14"/>
      <c r="P47" s="14"/>
    </row>
    <row r="48" spans="1:16" x14ac:dyDescent="0.3">
      <c r="A48" s="1">
        <v>46063</v>
      </c>
      <c r="B48" t="s">
        <v>169</v>
      </c>
      <c r="D48" s="11">
        <v>119</v>
      </c>
      <c r="E48" s="11">
        <v>580</v>
      </c>
      <c r="F48" s="11"/>
      <c r="G48" s="11">
        <f t="shared" si="2"/>
        <v>69020</v>
      </c>
      <c r="H48" s="11"/>
      <c r="I48" s="11"/>
      <c r="L48" s="26">
        <v>46066</v>
      </c>
      <c r="M48" s="14">
        <v>441</v>
      </c>
      <c r="N48" s="14">
        <v>361620</v>
      </c>
      <c r="O48" s="14"/>
      <c r="P48" s="14"/>
    </row>
    <row r="49" spans="1:16" x14ac:dyDescent="0.3">
      <c r="A49" s="1">
        <v>46063</v>
      </c>
      <c r="B49" t="s">
        <v>169</v>
      </c>
      <c r="D49" s="11">
        <v>12</v>
      </c>
      <c r="E49" s="11">
        <v>775</v>
      </c>
      <c r="F49" s="11"/>
      <c r="G49" s="11">
        <f t="shared" si="2"/>
        <v>9300</v>
      </c>
      <c r="H49" s="11"/>
      <c r="I49" s="11"/>
      <c r="L49" s="42" t="s">
        <v>103</v>
      </c>
      <c r="M49" s="14">
        <v>441</v>
      </c>
      <c r="N49" s="14">
        <v>361620</v>
      </c>
      <c r="O49" s="14"/>
      <c r="P49" s="14"/>
    </row>
    <row r="50" spans="1:16" x14ac:dyDescent="0.3">
      <c r="A50" s="1">
        <v>46063</v>
      </c>
      <c r="B50" t="s">
        <v>169</v>
      </c>
      <c r="D50" s="11">
        <v>260</v>
      </c>
      <c r="E50" s="11">
        <v>830</v>
      </c>
      <c r="F50" s="11"/>
      <c r="G50" s="11">
        <f t="shared" si="2"/>
        <v>215800</v>
      </c>
      <c r="H50" s="11"/>
      <c r="I50" s="11"/>
      <c r="L50" s="26">
        <v>46067</v>
      </c>
      <c r="M50" s="14">
        <v>1022</v>
      </c>
      <c r="N50" s="14">
        <v>872060</v>
      </c>
      <c r="O50" s="14"/>
      <c r="P50" s="14"/>
    </row>
    <row r="51" spans="1:16" x14ac:dyDescent="0.3">
      <c r="A51" s="1">
        <v>46063</v>
      </c>
      <c r="B51" t="s">
        <v>213</v>
      </c>
      <c r="D51" s="11">
        <v>154</v>
      </c>
      <c r="E51" s="11">
        <v>580</v>
      </c>
      <c r="F51" s="11"/>
      <c r="G51" s="11">
        <f t="shared" si="2"/>
        <v>89320</v>
      </c>
      <c r="H51" s="11"/>
      <c r="I51" s="11"/>
      <c r="L51" s="42" t="s">
        <v>103</v>
      </c>
      <c r="M51" s="14">
        <v>1022</v>
      </c>
      <c r="N51" s="14">
        <v>872060</v>
      </c>
      <c r="O51" s="14"/>
      <c r="P51" s="14"/>
    </row>
    <row r="52" spans="1:16" x14ac:dyDescent="0.3">
      <c r="A52" s="1">
        <v>46064</v>
      </c>
      <c r="B52" t="s">
        <v>196</v>
      </c>
      <c r="D52" s="11">
        <v>157</v>
      </c>
      <c r="E52" s="11">
        <v>820</v>
      </c>
      <c r="F52" s="11"/>
      <c r="G52" s="11">
        <f t="shared" si="2"/>
        <v>128740</v>
      </c>
      <c r="H52" s="11"/>
      <c r="I52" s="11"/>
      <c r="L52" s="26" t="s">
        <v>28</v>
      </c>
      <c r="M52" s="14">
        <v>6634</v>
      </c>
      <c r="N52" s="14">
        <v>5300480</v>
      </c>
      <c r="O52" s="14">
        <v>0</v>
      </c>
      <c r="P52" s="14">
        <v>6775034</v>
      </c>
    </row>
    <row r="53" spans="1:16" x14ac:dyDescent="0.3">
      <c r="A53" s="1">
        <v>46066</v>
      </c>
      <c r="B53" t="s">
        <v>196</v>
      </c>
      <c r="D53" s="11">
        <v>204</v>
      </c>
      <c r="E53" s="11">
        <v>820</v>
      </c>
      <c r="F53" s="11"/>
      <c r="G53" s="11">
        <f t="shared" si="2"/>
        <v>167280</v>
      </c>
      <c r="H53" s="11"/>
      <c r="I53" s="11"/>
    </row>
    <row r="54" spans="1:16" x14ac:dyDescent="0.3">
      <c r="A54" s="1">
        <v>46066</v>
      </c>
      <c r="B54" t="s">
        <v>196</v>
      </c>
      <c r="D54" s="11">
        <v>237</v>
      </c>
      <c r="E54" s="11">
        <v>820</v>
      </c>
      <c r="F54" s="11"/>
      <c r="G54" s="11">
        <f t="shared" si="2"/>
        <v>194340</v>
      </c>
      <c r="H54" s="11"/>
      <c r="I54" s="11"/>
    </row>
    <row r="55" spans="1:16" x14ac:dyDescent="0.3">
      <c r="A55" s="1">
        <v>46067</v>
      </c>
      <c r="B55" t="s">
        <v>276</v>
      </c>
      <c r="D55" s="11">
        <v>324</v>
      </c>
      <c r="E55" s="11">
        <v>925</v>
      </c>
      <c r="F55" s="11">
        <v>54940</v>
      </c>
      <c r="G55" s="11">
        <f t="shared" si="2"/>
        <v>299700</v>
      </c>
      <c r="H55" s="11"/>
      <c r="I55" s="11"/>
    </row>
    <row r="56" spans="1:16" x14ac:dyDescent="0.3">
      <c r="A56" s="1">
        <v>46067</v>
      </c>
      <c r="B56" t="s">
        <v>196</v>
      </c>
      <c r="D56" s="11">
        <v>382</v>
      </c>
      <c r="E56" s="11">
        <v>820</v>
      </c>
      <c r="F56" s="11"/>
      <c r="G56" s="11">
        <f t="shared" si="2"/>
        <v>313240</v>
      </c>
      <c r="H56" s="11"/>
      <c r="I56" s="11"/>
    </row>
    <row r="57" spans="1:16" x14ac:dyDescent="0.3">
      <c r="A57" s="1">
        <v>46067</v>
      </c>
      <c r="B57" t="s">
        <v>196</v>
      </c>
      <c r="D57" s="11">
        <v>316</v>
      </c>
      <c r="E57" s="11">
        <v>820</v>
      </c>
      <c r="F57" s="11"/>
      <c r="G57" s="11">
        <f t="shared" si="2"/>
        <v>259120</v>
      </c>
      <c r="H57" s="11"/>
      <c r="I57" s="11"/>
    </row>
    <row r="58" spans="1:16" x14ac:dyDescent="0.3">
      <c r="A58" s="1">
        <v>46067</v>
      </c>
      <c r="D58" s="11"/>
      <c r="E58" s="11"/>
      <c r="F58" s="11"/>
      <c r="G58" s="11">
        <f t="shared" si="2"/>
        <v>0</v>
      </c>
      <c r="H58" s="11"/>
      <c r="I58" s="11"/>
    </row>
    <row r="59" spans="1:16" x14ac:dyDescent="0.3">
      <c r="A59" s="1">
        <v>46067</v>
      </c>
      <c r="D59" s="11"/>
      <c r="E59" s="11"/>
      <c r="F59" s="11"/>
      <c r="G59" s="11">
        <f t="shared" si="2"/>
        <v>0</v>
      </c>
      <c r="H59" s="11"/>
      <c r="I59" s="11"/>
    </row>
    <row r="60" spans="1:16" x14ac:dyDescent="0.3">
      <c r="A60" s="1">
        <v>46067</v>
      </c>
      <c r="D60" s="11"/>
      <c r="E60" s="11"/>
      <c r="F60" s="11"/>
      <c r="G60" s="11">
        <f t="shared" si="2"/>
        <v>0</v>
      </c>
      <c r="H60" s="11"/>
      <c r="I60" s="11"/>
    </row>
    <row r="61" spans="1:16" x14ac:dyDescent="0.3">
      <c r="A61" s="1">
        <v>46067</v>
      </c>
      <c r="D61" s="11"/>
      <c r="E61" s="11"/>
      <c r="F61" s="11"/>
      <c r="G61" s="11">
        <f t="shared" si="2"/>
        <v>0</v>
      </c>
      <c r="H61" s="11"/>
      <c r="I61" s="11"/>
    </row>
    <row r="62" spans="1:16" x14ac:dyDescent="0.3">
      <c r="A62" s="1">
        <v>46067</v>
      </c>
      <c r="D62" s="11"/>
      <c r="E62" s="11"/>
      <c r="F62" s="11"/>
      <c r="G62" s="11">
        <f t="shared" si="2"/>
        <v>0</v>
      </c>
      <c r="H62" s="11"/>
      <c r="I62" s="11"/>
    </row>
    <row r="63" spans="1:16" x14ac:dyDescent="0.3">
      <c r="A63" s="1"/>
      <c r="D63" s="11"/>
      <c r="E63" s="11"/>
      <c r="F63" s="11"/>
      <c r="G63" s="11">
        <f t="shared" si="2"/>
        <v>0</v>
      </c>
      <c r="H63" s="11"/>
      <c r="I63" s="11"/>
    </row>
    <row r="64" spans="1:16"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5300480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06" zoomScale="104" workbookViewId="0">
      <selection activeCell="B410" sqref="B41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21741571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21754881</v>
      </c>
      <c r="M5" s="45" t="s">
        <v>108</v>
      </c>
      <c r="N5" s="46">
        <f>(SUMIFS(Table14[Credit],Table14[Mode],"Bank")-SUMIFS(Table14[Debit],Table14[Mode],"Bank")-SUMIFS(Table14[Withdrawal],Table14[Mode],"Transfer"))</f>
        <v>624226</v>
      </c>
      <c r="O5">
        <v>360000</v>
      </c>
    </row>
    <row r="6" spans="1:16" x14ac:dyDescent="0.3">
      <c r="A6" s="115">
        <v>46014</v>
      </c>
      <c r="B6" s="81" t="s">
        <v>212</v>
      </c>
      <c r="C6" s="11"/>
      <c r="D6" s="87">
        <v>562846</v>
      </c>
      <c r="E6" s="81" t="s">
        <v>275</v>
      </c>
      <c r="F6" s="88" t="s">
        <v>108</v>
      </c>
      <c r="J6" s="52" t="s">
        <v>43</v>
      </c>
      <c r="K6" s="53">
        <f>(K5-K4)</f>
        <v>13310</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13310</v>
      </c>
      <c r="O7" s="90">
        <f>SUM(O5,O6)</f>
        <v>410000</v>
      </c>
      <c r="P7" s="14">
        <f>Table18[[#Totals],[amount]]-Table18[[#Totals],[Actual]]</f>
        <v>-396690</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445423</v>
      </c>
    </row>
    <row r="165" spans="1:12" x14ac:dyDescent="0.3">
      <c r="A165" s="115">
        <v>46056</v>
      </c>
      <c r="B165" t="s">
        <v>222</v>
      </c>
      <c r="C165" s="11"/>
      <c r="D165" s="11">
        <v>28000</v>
      </c>
      <c r="E165" t="s">
        <v>353</v>
      </c>
      <c r="F165" s="111" t="s">
        <v>108</v>
      </c>
      <c r="J165" s="4" t="s">
        <v>347</v>
      </c>
      <c r="K165" s="14">
        <v>507000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396</v>
      </c>
      <c r="F167" s="111" t="s">
        <v>108</v>
      </c>
      <c r="J167" s="4" t="s">
        <v>94</v>
      </c>
      <c r="K167" s="14"/>
      <c r="L167" s="14">
        <v>948540</v>
      </c>
    </row>
    <row r="168" spans="1:12" x14ac:dyDescent="0.3">
      <c r="A168" s="115">
        <v>46056</v>
      </c>
      <c r="B168" t="s">
        <v>50</v>
      </c>
      <c r="C168" s="11">
        <v>150015</v>
      </c>
      <c r="D168" s="11"/>
      <c r="E168" t="s">
        <v>354</v>
      </c>
      <c r="F168" s="111" t="s">
        <v>108</v>
      </c>
      <c r="J168" s="4" t="s">
        <v>50</v>
      </c>
      <c r="K168" s="14"/>
      <c r="L168" s="14">
        <v>232595</v>
      </c>
    </row>
    <row r="169" spans="1:12" x14ac:dyDescent="0.3">
      <c r="A169" s="115">
        <v>46056</v>
      </c>
      <c r="B169" t="s">
        <v>212</v>
      </c>
      <c r="C169" s="11">
        <v>130</v>
      </c>
      <c r="D169" s="11"/>
      <c r="F169" s="111" t="s">
        <v>108</v>
      </c>
      <c r="J169" s="4" t="s">
        <v>55</v>
      </c>
      <c r="K169" s="14"/>
      <c r="L169" s="14">
        <v>241141</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125730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760523</v>
      </c>
      <c r="L176" s="14">
        <v>223260</v>
      </c>
    </row>
    <row r="177" spans="1:12" x14ac:dyDescent="0.3">
      <c r="A177" s="115">
        <v>46055</v>
      </c>
      <c r="B177" t="s">
        <v>50</v>
      </c>
      <c r="C177" s="11">
        <v>8616</v>
      </c>
      <c r="D177" s="11"/>
      <c r="E177" t="s">
        <v>360</v>
      </c>
      <c r="F177" s="111" t="s">
        <v>108</v>
      </c>
      <c r="J177" s="4" t="s">
        <v>289</v>
      </c>
      <c r="K177" s="14">
        <v>872000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1462000</v>
      </c>
      <c r="L179" s="14"/>
    </row>
    <row r="180" spans="1:12" x14ac:dyDescent="0.3">
      <c r="A180" s="115">
        <v>46057</v>
      </c>
      <c r="B180" t="s">
        <v>52</v>
      </c>
      <c r="C180" s="11"/>
      <c r="D180" s="11"/>
      <c r="E180" t="s">
        <v>362</v>
      </c>
      <c r="F180" s="111" t="s">
        <v>108</v>
      </c>
      <c r="J180" s="4" t="s">
        <v>456</v>
      </c>
      <c r="K180" s="14">
        <v>1000000</v>
      </c>
      <c r="L180" s="14"/>
    </row>
    <row r="181" spans="1:12" x14ac:dyDescent="0.3">
      <c r="A181" s="115">
        <v>46057</v>
      </c>
      <c r="B181" t="s">
        <v>289</v>
      </c>
      <c r="C181" s="11"/>
      <c r="D181" s="11">
        <v>100000</v>
      </c>
      <c r="E181" t="s">
        <v>363</v>
      </c>
      <c r="F181" s="111" t="s">
        <v>108</v>
      </c>
      <c r="J181" s="4" t="s">
        <v>241</v>
      </c>
      <c r="K181" s="14">
        <v>518000</v>
      </c>
      <c r="L181" s="14"/>
    </row>
    <row r="182" spans="1:12" x14ac:dyDescent="0.3">
      <c r="A182" s="115">
        <v>46057</v>
      </c>
      <c r="B182" t="s">
        <v>55</v>
      </c>
      <c r="C182" s="11">
        <v>1000</v>
      </c>
      <c r="D182" s="11"/>
      <c r="F182" s="111" t="s">
        <v>108</v>
      </c>
      <c r="J182" s="4" t="s">
        <v>64</v>
      </c>
      <c r="K182" s="14"/>
      <c r="L182" s="14">
        <v>155000</v>
      </c>
    </row>
    <row r="183" spans="1:12" x14ac:dyDescent="0.3">
      <c r="A183" s="115">
        <v>46057</v>
      </c>
      <c r="B183" t="s">
        <v>50</v>
      </c>
      <c r="C183" s="11">
        <v>2600</v>
      </c>
      <c r="D183" s="11"/>
      <c r="E183" t="s">
        <v>364</v>
      </c>
      <c r="F183" s="111" t="s">
        <v>108</v>
      </c>
      <c r="J183" s="4" t="s">
        <v>152</v>
      </c>
      <c r="K183" s="14">
        <v>2313000</v>
      </c>
      <c r="L183" s="14"/>
    </row>
    <row r="184" spans="1:12" x14ac:dyDescent="0.3">
      <c r="A184" s="115">
        <v>46057</v>
      </c>
      <c r="B184" t="s">
        <v>52</v>
      </c>
      <c r="C184" s="96"/>
      <c r="D184" s="96"/>
      <c r="E184" t="s">
        <v>365</v>
      </c>
      <c r="F184" s="111" t="s">
        <v>108</v>
      </c>
      <c r="J184" s="4" t="s">
        <v>169</v>
      </c>
      <c r="K184" s="14"/>
      <c r="L184" s="14">
        <v>1439308</v>
      </c>
    </row>
    <row r="185" spans="1:12" x14ac:dyDescent="0.3">
      <c r="A185" s="115">
        <v>46057</v>
      </c>
      <c r="B185" t="s">
        <v>169</v>
      </c>
      <c r="C185" s="11">
        <v>150000</v>
      </c>
      <c r="D185" s="11"/>
      <c r="E185" t="s">
        <v>380</v>
      </c>
      <c r="F185" s="111" t="s">
        <v>108</v>
      </c>
      <c r="J185" s="4" t="s">
        <v>172</v>
      </c>
      <c r="K185" s="14"/>
      <c r="L185" s="14">
        <v>97520</v>
      </c>
    </row>
    <row r="186" spans="1:12" x14ac:dyDescent="0.3">
      <c r="A186" s="115">
        <v>46057</v>
      </c>
      <c r="B186" t="s">
        <v>222</v>
      </c>
      <c r="C186" s="11"/>
      <c r="D186" s="11">
        <v>125222</v>
      </c>
      <c r="E186" t="s">
        <v>366</v>
      </c>
      <c r="F186" s="111" t="s">
        <v>108</v>
      </c>
      <c r="J186" s="4" t="s">
        <v>222</v>
      </c>
      <c r="K186" s="14">
        <v>3307518</v>
      </c>
      <c r="L186" s="14">
        <v>10933826</v>
      </c>
    </row>
    <row r="187" spans="1:12" x14ac:dyDescent="0.3">
      <c r="A187" s="115">
        <v>46057</v>
      </c>
      <c r="B187" t="s">
        <v>227</v>
      </c>
      <c r="C187" s="11">
        <v>2000</v>
      </c>
      <c r="D187" s="11"/>
      <c r="E187" t="s">
        <v>367</v>
      </c>
      <c r="F187" s="111" t="s">
        <v>108</v>
      </c>
      <c r="J187" s="4" t="s">
        <v>165</v>
      </c>
      <c r="K187" s="14"/>
      <c r="L187" s="14">
        <v>120000</v>
      </c>
    </row>
    <row r="188" spans="1:12" x14ac:dyDescent="0.3">
      <c r="A188" s="115">
        <v>46057</v>
      </c>
      <c r="B188" t="s">
        <v>50</v>
      </c>
      <c r="C188" s="11">
        <v>1500</v>
      </c>
      <c r="D188" s="11"/>
      <c r="E188" t="s">
        <v>243</v>
      </c>
      <c r="F188" s="111" t="s">
        <v>108</v>
      </c>
      <c r="J188" s="4" t="s">
        <v>175</v>
      </c>
      <c r="K188" s="14">
        <v>1108616</v>
      </c>
      <c r="L188" s="14"/>
    </row>
    <row r="189" spans="1:12" x14ac:dyDescent="0.3">
      <c r="A189" s="115">
        <v>46057</v>
      </c>
      <c r="B189" t="s">
        <v>54</v>
      </c>
      <c r="C189" s="11">
        <v>2650</v>
      </c>
      <c r="D189" s="11"/>
      <c r="E189" t="s">
        <v>368</v>
      </c>
      <c r="F189" s="111" t="s">
        <v>108</v>
      </c>
      <c r="J189" s="4" t="s">
        <v>195</v>
      </c>
      <c r="K189" s="14"/>
      <c r="L189" s="14">
        <v>386350</v>
      </c>
    </row>
    <row r="190" spans="1:12" x14ac:dyDescent="0.3">
      <c r="A190" s="38">
        <v>46057</v>
      </c>
      <c r="B190" t="s">
        <v>54</v>
      </c>
      <c r="C190" s="96">
        <v>2200</v>
      </c>
      <c r="D190" s="96"/>
      <c r="E190" t="s">
        <v>369</v>
      </c>
      <c r="F190" s="111" t="s">
        <v>108</v>
      </c>
      <c r="J190" s="4" t="s">
        <v>388</v>
      </c>
      <c r="K190" s="14">
        <v>1508520</v>
      </c>
      <c r="L190" s="14"/>
    </row>
    <row r="191" spans="1:12" x14ac:dyDescent="0.3">
      <c r="A191" s="115">
        <v>46057</v>
      </c>
      <c r="B191" t="s">
        <v>212</v>
      </c>
      <c r="C191" s="96">
        <v>1360</v>
      </c>
      <c r="D191" s="96"/>
      <c r="F191" s="111" t="s">
        <v>108</v>
      </c>
      <c r="J191" s="4" t="s">
        <v>182</v>
      </c>
      <c r="K191" s="14"/>
      <c r="L191" s="14">
        <v>35000</v>
      </c>
    </row>
    <row r="192" spans="1:12" x14ac:dyDescent="0.3">
      <c r="A192" s="38">
        <v>46058</v>
      </c>
      <c r="B192" t="s">
        <v>55</v>
      </c>
      <c r="C192" s="11">
        <v>1400</v>
      </c>
      <c r="D192" s="11"/>
      <c r="E192" t="s">
        <v>370</v>
      </c>
      <c r="F192" s="111" t="s">
        <v>108</v>
      </c>
      <c r="J192" s="4" t="s">
        <v>250</v>
      </c>
      <c r="K192" s="14"/>
      <c r="L192" s="14">
        <v>100000</v>
      </c>
    </row>
    <row r="193" spans="1:12" x14ac:dyDescent="0.3">
      <c r="A193" s="115">
        <v>46058</v>
      </c>
      <c r="B193" t="s">
        <v>235</v>
      </c>
      <c r="C193" s="11"/>
      <c r="D193" s="11">
        <v>140000</v>
      </c>
      <c r="E193" t="s">
        <v>371</v>
      </c>
      <c r="F193" s="111" t="s">
        <v>108</v>
      </c>
      <c r="J193" s="4" t="s">
        <v>192</v>
      </c>
      <c r="K193" s="14">
        <v>625000</v>
      </c>
      <c r="L193" s="14"/>
    </row>
    <row r="194" spans="1:12" x14ac:dyDescent="0.3">
      <c r="A194" s="38">
        <v>46058</v>
      </c>
      <c r="B194" t="s">
        <v>52</v>
      </c>
      <c r="C194" s="11">
        <v>20000</v>
      </c>
      <c r="D194" s="11"/>
      <c r="E194" t="s">
        <v>239</v>
      </c>
      <c r="F194" s="111" t="s">
        <v>108</v>
      </c>
      <c r="J194" s="4" t="s">
        <v>256</v>
      </c>
      <c r="K194" s="14">
        <v>863242</v>
      </c>
      <c r="L194" s="14"/>
    </row>
    <row r="195" spans="1:12" x14ac:dyDescent="0.3">
      <c r="A195" s="115">
        <v>46058</v>
      </c>
      <c r="B195" t="s">
        <v>54</v>
      </c>
      <c r="C195" s="11">
        <v>7000</v>
      </c>
      <c r="D195" s="11"/>
      <c r="E195" t="s">
        <v>372</v>
      </c>
      <c r="F195" s="111" t="s">
        <v>108</v>
      </c>
      <c r="J195" s="4" t="s">
        <v>260</v>
      </c>
      <c r="K195" s="14"/>
      <c r="L195" s="14">
        <v>2313423</v>
      </c>
    </row>
    <row r="196" spans="1:12" x14ac:dyDescent="0.3">
      <c r="A196" s="38">
        <v>46058</v>
      </c>
      <c r="B196" t="s">
        <v>55</v>
      </c>
      <c r="C196" s="11">
        <v>3300</v>
      </c>
      <c r="D196" s="11"/>
      <c r="E196" t="s">
        <v>373</v>
      </c>
      <c r="F196" s="111" t="s">
        <v>108</v>
      </c>
      <c r="J196" s="4" t="s">
        <v>198</v>
      </c>
      <c r="K196" s="14"/>
      <c r="L196" s="14">
        <v>81360</v>
      </c>
    </row>
    <row r="197" spans="1:12" x14ac:dyDescent="0.3">
      <c r="A197" s="115">
        <v>46058</v>
      </c>
      <c r="B197" t="s">
        <v>55</v>
      </c>
      <c r="C197" s="11">
        <v>4675</v>
      </c>
      <c r="D197" s="11"/>
      <c r="E197" t="s">
        <v>374</v>
      </c>
      <c r="F197" s="111" t="s">
        <v>108</v>
      </c>
      <c r="J197" s="4" t="s">
        <v>211</v>
      </c>
      <c r="K197" s="14">
        <v>2965362</v>
      </c>
      <c r="L197" s="14"/>
    </row>
    <row r="198" spans="1:12" x14ac:dyDescent="0.3">
      <c r="A198" s="38">
        <v>46058</v>
      </c>
      <c r="B198" t="s">
        <v>192</v>
      </c>
      <c r="C198" s="11"/>
      <c r="D198" s="11">
        <v>100000</v>
      </c>
      <c r="E198" t="s">
        <v>375</v>
      </c>
      <c r="F198" s="111" t="s">
        <v>108</v>
      </c>
      <c r="J198" s="4" t="s">
        <v>235</v>
      </c>
      <c r="K198" s="14">
        <v>1150000</v>
      </c>
      <c r="L198" s="14"/>
    </row>
    <row r="199" spans="1:12" x14ac:dyDescent="0.3">
      <c r="A199" s="115">
        <v>46058</v>
      </c>
      <c r="B199" t="s">
        <v>256</v>
      </c>
      <c r="C199" s="11"/>
      <c r="D199" s="11">
        <v>100000</v>
      </c>
      <c r="F199" s="111" t="s">
        <v>108</v>
      </c>
      <c r="J199" s="4" t="s">
        <v>262</v>
      </c>
      <c r="K199" s="14"/>
      <c r="L199" s="14">
        <v>1005336</v>
      </c>
    </row>
    <row r="200" spans="1:12" x14ac:dyDescent="0.3">
      <c r="A200" s="38">
        <v>46058</v>
      </c>
      <c r="B200" t="s">
        <v>222</v>
      </c>
      <c r="C200" s="11"/>
      <c r="D200" s="11">
        <v>40000</v>
      </c>
      <c r="E200" t="s">
        <v>250</v>
      </c>
      <c r="F200" s="111" t="s">
        <v>108</v>
      </c>
      <c r="J200" s="4" t="s">
        <v>219</v>
      </c>
      <c r="K200" s="14">
        <v>728245</v>
      </c>
      <c r="L200" s="14"/>
    </row>
    <row r="201" spans="1:12" x14ac:dyDescent="0.3">
      <c r="A201" s="115">
        <v>46058</v>
      </c>
      <c r="B201" t="s">
        <v>250</v>
      </c>
      <c r="C201" s="11">
        <v>40000</v>
      </c>
      <c r="D201" s="11"/>
      <c r="E201" t="s">
        <v>376</v>
      </c>
      <c r="F201" s="111" t="s">
        <v>108</v>
      </c>
      <c r="J201" s="4" t="s">
        <v>335</v>
      </c>
      <c r="K201" s="14">
        <v>550000</v>
      </c>
      <c r="L201" s="14"/>
    </row>
    <row r="202" spans="1:12" x14ac:dyDescent="0.3">
      <c r="A202" s="38">
        <v>46058</v>
      </c>
      <c r="B202" t="s">
        <v>227</v>
      </c>
      <c r="C202" s="11">
        <v>3000</v>
      </c>
      <c r="D202" s="11"/>
      <c r="E202" t="s">
        <v>377</v>
      </c>
      <c r="F202" s="111" t="s">
        <v>108</v>
      </c>
      <c r="J202" s="4" t="s">
        <v>337</v>
      </c>
      <c r="K202" s="14">
        <v>1000000</v>
      </c>
      <c r="L202" s="14"/>
    </row>
    <row r="203" spans="1:12" x14ac:dyDescent="0.3">
      <c r="A203" s="115">
        <v>46058</v>
      </c>
      <c r="B203" t="s">
        <v>227</v>
      </c>
      <c r="C203" s="11">
        <v>15000</v>
      </c>
      <c r="D203" s="11"/>
      <c r="E203" t="s">
        <v>303</v>
      </c>
      <c r="F203" s="111" t="s">
        <v>108</v>
      </c>
      <c r="J203" s="4" t="s">
        <v>408</v>
      </c>
      <c r="K203" s="14"/>
      <c r="L203" s="14">
        <v>142737</v>
      </c>
    </row>
    <row r="204" spans="1:12" x14ac:dyDescent="0.3">
      <c r="A204" s="38">
        <v>46058</v>
      </c>
      <c r="B204" t="s">
        <v>260</v>
      </c>
      <c r="C204" s="11">
        <v>200119</v>
      </c>
      <c r="D204" s="11"/>
      <c r="E204" t="s">
        <v>378</v>
      </c>
      <c r="F204" s="111" t="s">
        <v>108</v>
      </c>
      <c r="J204" s="4" t="s">
        <v>435</v>
      </c>
      <c r="K204" s="14"/>
      <c r="L204" s="14">
        <v>122500</v>
      </c>
    </row>
    <row r="205" spans="1:12" x14ac:dyDescent="0.3">
      <c r="A205" s="115">
        <v>46058</v>
      </c>
      <c r="B205" t="s">
        <v>224</v>
      </c>
      <c r="C205" s="11">
        <v>3310</v>
      </c>
      <c r="D205" s="11"/>
      <c r="E205" t="s">
        <v>379</v>
      </c>
      <c r="F205" s="111" t="s">
        <v>108</v>
      </c>
      <c r="J205" s="4" t="s">
        <v>441</v>
      </c>
      <c r="K205" s="14">
        <v>500000</v>
      </c>
      <c r="L205" s="14"/>
    </row>
    <row r="206" spans="1:12" x14ac:dyDescent="0.3">
      <c r="A206" s="38">
        <v>46058</v>
      </c>
      <c r="B206" t="s">
        <v>54</v>
      </c>
      <c r="C206" s="11">
        <v>1400</v>
      </c>
      <c r="D206" s="11"/>
      <c r="E206" t="s">
        <v>368</v>
      </c>
      <c r="F206" s="111" t="s">
        <v>108</v>
      </c>
      <c r="J206" s="4" t="s">
        <v>452</v>
      </c>
      <c r="K206" s="14"/>
      <c r="L206" s="14">
        <v>28750</v>
      </c>
    </row>
    <row r="207" spans="1:12" x14ac:dyDescent="0.3">
      <c r="A207" s="38">
        <v>46059</v>
      </c>
      <c r="B207" t="s">
        <v>212</v>
      </c>
      <c r="C207" s="11">
        <v>1850</v>
      </c>
      <c r="D207" s="11"/>
      <c r="E207" t="s">
        <v>403</v>
      </c>
      <c r="F207" s="111" t="s">
        <v>108</v>
      </c>
      <c r="J207" s="4" t="s">
        <v>516</v>
      </c>
      <c r="K207" s="14">
        <v>15855</v>
      </c>
      <c r="L207" s="14"/>
    </row>
    <row r="208" spans="1:12" x14ac:dyDescent="0.3">
      <c r="A208" s="115">
        <v>46059</v>
      </c>
      <c r="B208" t="s">
        <v>52</v>
      </c>
      <c r="C208" s="11">
        <v>20000</v>
      </c>
      <c r="D208" s="11"/>
      <c r="E208" t="s">
        <v>239</v>
      </c>
      <c r="F208" s="111" t="s">
        <v>108</v>
      </c>
      <c r="J208" s="4" t="s">
        <v>531</v>
      </c>
      <c r="K208" s="14"/>
      <c r="L208" s="14">
        <v>29000</v>
      </c>
    </row>
    <row r="209" spans="1:12" x14ac:dyDescent="0.3">
      <c r="A209" s="38">
        <v>46059</v>
      </c>
      <c r="B209" t="s">
        <v>54</v>
      </c>
      <c r="C209" s="11">
        <v>5000</v>
      </c>
      <c r="D209" s="11"/>
      <c r="E209" t="s">
        <v>397</v>
      </c>
      <c r="F209" s="111" t="s">
        <v>108</v>
      </c>
      <c r="J209" s="4" t="s">
        <v>28</v>
      </c>
      <c r="K209" s="14">
        <v>21754881</v>
      </c>
      <c r="L209" s="14">
        <v>21741571</v>
      </c>
    </row>
    <row r="210" spans="1:12" x14ac:dyDescent="0.3">
      <c r="A210" s="115">
        <v>46059</v>
      </c>
      <c r="B210" t="s">
        <v>55</v>
      </c>
      <c r="C210" s="11">
        <v>1500</v>
      </c>
      <c r="D210" s="11"/>
      <c r="E210" t="s">
        <v>398</v>
      </c>
      <c r="F210" s="111" t="s">
        <v>108</v>
      </c>
    </row>
    <row r="211" spans="1:12" x14ac:dyDescent="0.3">
      <c r="A211" s="38">
        <v>46059</v>
      </c>
      <c r="B211" t="s">
        <v>262</v>
      </c>
      <c r="C211" s="11">
        <v>100000</v>
      </c>
      <c r="D211" s="11"/>
      <c r="E211" t="s">
        <v>399</v>
      </c>
      <c r="F211" s="111" t="s">
        <v>108</v>
      </c>
    </row>
    <row r="212" spans="1:12" x14ac:dyDescent="0.3">
      <c r="A212" s="115">
        <v>46059</v>
      </c>
      <c r="B212" t="s">
        <v>227</v>
      </c>
      <c r="C212" s="11">
        <v>20000</v>
      </c>
      <c r="D212" s="11"/>
      <c r="E212" t="s">
        <v>400</v>
      </c>
      <c r="F212" s="111" t="s">
        <v>108</v>
      </c>
    </row>
    <row r="213" spans="1:12" x14ac:dyDescent="0.3">
      <c r="A213" s="38">
        <v>46059</v>
      </c>
      <c r="B213" t="s">
        <v>169</v>
      </c>
      <c r="C213" s="11">
        <v>150500</v>
      </c>
      <c r="D213" s="11"/>
      <c r="E213" t="s">
        <v>401</v>
      </c>
      <c r="F213" s="111" t="s">
        <v>108</v>
      </c>
    </row>
    <row r="214" spans="1:12" x14ac:dyDescent="0.3">
      <c r="A214" s="115">
        <v>46059</v>
      </c>
      <c r="B214" t="s">
        <v>227</v>
      </c>
      <c r="C214" s="11">
        <v>5000</v>
      </c>
      <c r="D214" s="11"/>
      <c r="E214" t="s">
        <v>402</v>
      </c>
      <c r="F214" s="111" t="s">
        <v>108</v>
      </c>
    </row>
    <row r="215" spans="1:12" x14ac:dyDescent="0.3">
      <c r="A215" s="38">
        <v>46059</v>
      </c>
      <c r="B215" t="s">
        <v>222</v>
      </c>
      <c r="C215" s="11"/>
      <c r="D215" s="11">
        <v>65000</v>
      </c>
      <c r="E215" t="s">
        <v>404</v>
      </c>
      <c r="F215" s="111" t="s">
        <v>108</v>
      </c>
    </row>
    <row r="216" spans="1:12" x14ac:dyDescent="0.3">
      <c r="A216" s="115">
        <v>46059</v>
      </c>
      <c r="B216" t="s">
        <v>222</v>
      </c>
      <c r="C216" s="11"/>
      <c r="D216" s="11">
        <v>150000</v>
      </c>
      <c r="E216" t="s">
        <v>405</v>
      </c>
      <c r="F216" s="111" t="s">
        <v>108</v>
      </c>
    </row>
    <row r="217" spans="1:12" x14ac:dyDescent="0.3">
      <c r="A217" s="38">
        <v>46059</v>
      </c>
      <c r="B217" t="s">
        <v>289</v>
      </c>
      <c r="C217" s="11"/>
      <c r="D217" s="11">
        <v>100000</v>
      </c>
      <c r="E217" t="s">
        <v>406</v>
      </c>
      <c r="F217" s="111" t="s">
        <v>108</v>
      </c>
    </row>
    <row r="218" spans="1:12" x14ac:dyDescent="0.3">
      <c r="A218" s="115">
        <v>46060</v>
      </c>
      <c r="B218" t="s">
        <v>212</v>
      </c>
      <c r="C218" s="11">
        <v>100000</v>
      </c>
      <c r="D218" s="11"/>
      <c r="E218" t="s">
        <v>410</v>
      </c>
      <c r="F218" s="111" t="s">
        <v>108</v>
      </c>
    </row>
    <row r="219" spans="1:12" x14ac:dyDescent="0.3">
      <c r="A219" s="38">
        <v>46060</v>
      </c>
      <c r="B219" t="s">
        <v>227</v>
      </c>
      <c r="C219" s="11">
        <v>2923</v>
      </c>
      <c r="D219" s="11"/>
      <c r="E219" t="s">
        <v>411</v>
      </c>
      <c r="F219" s="111" t="s">
        <v>108</v>
      </c>
    </row>
    <row r="220" spans="1:12" x14ac:dyDescent="0.3">
      <c r="A220" s="115">
        <v>46060</v>
      </c>
      <c r="B220" t="s">
        <v>222</v>
      </c>
      <c r="C220" s="11"/>
      <c r="D220" s="11">
        <v>75000</v>
      </c>
      <c r="E220" t="s">
        <v>412</v>
      </c>
      <c r="F220" s="111" t="s">
        <v>108</v>
      </c>
    </row>
    <row r="221" spans="1:12" x14ac:dyDescent="0.3">
      <c r="A221" s="38">
        <v>46060</v>
      </c>
      <c r="B221" t="s">
        <v>222</v>
      </c>
      <c r="C221" s="11"/>
      <c r="D221" s="11">
        <v>15000</v>
      </c>
      <c r="E221" t="s">
        <v>413</v>
      </c>
      <c r="F221" s="111" t="s">
        <v>108</v>
      </c>
    </row>
    <row r="222" spans="1:12" x14ac:dyDescent="0.3">
      <c r="A222" s="115">
        <v>46060</v>
      </c>
      <c r="B222" t="s">
        <v>195</v>
      </c>
      <c r="C222" s="11">
        <v>15000</v>
      </c>
      <c r="D222" s="11"/>
      <c r="E222" t="s">
        <v>413</v>
      </c>
      <c r="F222" s="111" t="s">
        <v>108</v>
      </c>
    </row>
    <row r="223" spans="1:12" x14ac:dyDescent="0.3">
      <c r="A223" s="38">
        <v>46060</v>
      </c>
      <c r="B223" t="s">
        <v>222</v>
      </c>
      <c r="C223" s="11"/>
      <c r="D223" s="11">
        <v>349000</v>
      </c>
      <c r="E223" t="s">
        <v>414</v>
      </c>
      <c r="F223" s="111" t="s">
        <v>108</v>
      </c>
    </row>
    <row r="224" spans="1:12"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6" x14ac:dyDescent="0.3">
      <c r="A241" s="38">
        <v>46062</v>
      </c>
      <c r="B241" t="s">
        <v>54</v>
      </c>
      <c r="C241" s="11">
        <v>2000</v>
      </c>
      <c r="D241" s="11"/>
      <c r="E241" t="s">
        <v>429</v>
      </c>
      <c r="F241" s="111" t="s">
        <v>108</v>
      </c>
    </row>
    <row r="242" spans="1:6" x14ac:dyDescent="0.3">
      <c r="A242" s="115">
        <v>46062</v>
      </c>
      <c r="B242" t="s">
        <v>54</v>
      </c>
      <c r="C242" s="11">
        <v>5000</v>
      </c>
      <c r="D242" s="11"/>
      <c r="E242" t="s">
        <v>409</v>
      </c>
      <c r="F242" s="111" t="s">
        <v>108</v>
      </c>
    </row>
    <row r="243" spans="1:6" x14ac:dyDescent="0.3">
      <c r="A243" s="38">
        <v>46062</v>
      </c>
      <c r="B243" t="s">
        <v>262</v>
      </c>
      <c r="C243" s="11">
        <v>19000</v>
      </c>
      <c r="D243" s="11"/>
      <c r="E243" t="s">
        <v>417</v>
      </c>
      <c r="F243" s="111" t="s">
        <v>108</v>
      </c>
    </row>
    <row r="244" spans="1:6" x14ac:dyDescent="0.3">
      <c r="A244" s="115">
        <v>46062</v>
      </c>
      <c r="B244" t="s">
        <v>222</v>
      </c>
      <c r="C244" s="11"/>
      <c r="D244" s="11">
        <v>19000</v>
      </c>
      <c r="E244" t="s">
        <v>430</v>
      </c>
      <c r="F244" s="111" t="s">
        <v>108</v>
      </c>
    </row>
    <row r="245" spans="1:6" x14ac:dyDescent="0.3">
      <c r="A245" s="38">
        <v>46062</v>
      </c>
      <c r="B245" t="s">
        <v>300</v>
      </c>
      <c r="C245" s="11"/>
      <c r="D245" s="11">
        <v>300000</v>
      </c>
      <c r="E245" t="s">
        <v>431</v>
      </c>
      <c r="F245" s="111" t="s">
        <v>108</v>
      </c>
    </row>
    <row r="246" spans="1:6" x14ac:dyDescent="0.3">
      <c r="A246" s="115">
        <v>46062</v>
      </c>
      <c r="B246" t="s">
        <v>260</v>
      </c>
      <c r="C246" s="11">
        <v>100000</v>
      </c>
      <c r="D246" s="11"/>
      <c r="E246" t="s">
        <v>432</v>
      </c>
      <c r="F246" s="111" t="s">
        <v>108</v>
      </c>
    </row>
    <row r="247" spans="1:6" x14ac:dyDescent="0.3">
      <c r="A247" s="38">
        <v>46062</v>
      </c>
      <c r="B247" t="s">
        <v>262</v>
      </c>
      <c r="C247" s="11">
        <v>100195</v>
      </c>
      <c r="D247" s="11"/>
      <c r="E247" t="s">
        <v>433</v>
      </c>
      <c r="F247" s="111" t="s">
        <v>108</v>
      </c>
    </row>
    <row r="248" spans="1:6" x14ac:dyDescent="0.3">
      <c r="A248" s="115">
        <v>46062</v>
      </c>
      <c r="B248" t="s">
        <v>260</v>
      </c>
      <c r="C248" s="11">
        <v>100153</v>
      </c>
      <c r="D248" s="11"/>
      <c r="E248" t="s">
        <v>434</v>
      </c>
      <c r="F248" s="111" t="s">
        <v>108</v>
      </c>
    </row>
    <row r="249" spans="1:6" x14ac:dyDescent="0.3">
      <c r="A249" s="38">
        <v>46062</v>
      </c>
      <c r="B249" t="s">
        <v>256</v>
      </c>
      <c r="C249" s="11"/>
      <c r="D249" s="11">
        <v>100000</v>
      </c>
      <c r="F249" s="111" t="s">
        <v>108</v>
      </c>
    </row>
    <row r="250" spans="1:6" x14ac:dyDescent="0.3">
      <c r="A250" s="115">
        <v>46062</v>
      </c>
      <c r="B250" t="s">
        <v>435</v>
      </c>
      <c r="C250" s="96">
        <v>122500</v>
      </c>
      <c r="D250" s="96"/>
      <c r="E250" t="s">
        <v>436</v>
      </c>
      <c r="F250" s="111" t="s">
        <v>108</v>
      </c>
    </row>
    <row r="251" spans="1:6" x14ac:dyDescent="0.3">
      <c r="A251" s="38">
        <v>46062</v>
      </c>
      <c r="B251" t="s">
        <v>347</v>
      </c>
      <c r="C251" s="11"/>
      <c r="D251" s="11">
        <v>62000</v>
      </c>
      <c r="E251" t="s">
        <v>437</v>
      </c>
      <c r="F251" s="111" t="s">
        <v>108</v>
      </c>
    </row>
    <row r="252" spans="1:6" x14ac:dyDescent="0.3">
      <c r="A252" s="115">
        <v>46062</v>
      </c>
      <c r="B252" t="s">
        <v>169</v>
      </c>
      <c r="C252" s="11">
        <v>150000</v>
      </c>
      <c r="D252" s="11"/>
      <c r="E252" t="s">
        <v>438</v>
      </c>
      <c r="F252" s="111" t="s">
        <v>108</v>
      </c>
    </row>
    <row r="253" spans="1:6" x14ac:dyDescent="0.3">
      <c r="A253" s="38">
        <v>46062</v>
      </c>
      <c r="B253" t="s">
        <v>192</v>
      </c>
      <c r="C253" s="11"/>
      <c r="D253" s="11">
        <v>125000</v>
      </c>
      <c r="E253" t="s">
        <v>439</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440</v>
      </c>
      <c r="F255" s="111" t="s">
        <v>108</v>
      </c>
    </row>
    <row r="256" spans="1:6" x14ac:dyDescent="0.3">
      <c r="A256" s="115">
        <v>46063</v>
      </c>
      <c r="B256" t="s">
        <v>441</v>
      </c>
      <c r="C256" s="11"/>
      <c r="D256" s="11">
        <v>500000</v>
      </c>
      <c r="E256" t="s">
        <v>442</v>
      </c>
      <c r="F256" s="111" t="s">
        <v>108</v>
      </c>
    </row>
    <row r="257" spans="1:6" x14ac:dyDescent="0.3">
      <c r="A257" s="115">
        <v>46063</v>
      </c>
      <c r="B257" t="s">
        <v>222</v>
      </c>
      <c r="C257" s="11"/>
      <c r="D257" s="11">
        <v>438800</v>
      </c>
      <c r="E257" t="s">
        <v>443</v>
      </c>
      <c r="F257" s="111" t="s">
        <v>108</v>
      </c>
    </row>
    <row r="258" spans="1:6" x14ac:dyDescent="0.3">
      <c r="A258" s="115">
        <v>46063</v>
      </c>
      <c r="B258" t="s">
        <v>52</v>
      </c>
      <c r="C258" s="11">
        <v>20000</v>
      </c>
      <c r="D258" s="11"/>
      <c r="E258" t="s">
        <v>444</v>
      </c>
      <c r="F258" s="111" t="s">
        <v>108</v>
      </c>
    </row>
    <row r="259" spans="1:6" x14ac:dyDescent="0.3">
      <c r="A259" s="115">
        <v>46063</v>
      </c>
      <c r="B259" t="s">
        <v>227</v>
      </c>
      <c r="C259" s="11">
        <v>8000</v>
      </c>
      <c r="D259" s="11"/>
      <c r="E259" t="s">
        <v>444</v>
      </c>
      <c r="F259" s="111" t="s">
        <v>108</v>
      </c>
    </row>
    <row r="260" spans="1:6" x14ac:dyDescent="0.3">
      <c r="A260" s="115">
        <v>46063</v>
      </c>
      <c r="B260" t="s">
        <v>94</v>
      </c>
      <c r="C260" s="11">
        <v>200170</v>
      </c>
      <c r="D260" s="11"/>
      <c r="E260" t="s">
        <v>445</v>
      </c>
      <c r="F260" s="111" t="s">
        <v>108</v>
      </c>
    </row>
    <row r="261" spans="1:6" x14ac:dyDescent="0.3">
      <c r="A261" s="115">
        <v>46063</v>
      </c>
      <c r="B261" t="s">
        <v>169</v>
      </c>
      <c r="C261" s="11">
        <v>74000</v>
      </c>
      <c r="D261" s="11"/>
      <c r="E261" t="s">
        <v>417</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446</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447</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448</v>
      </c>
      <c r="F267" s="111" t="s">
        <v>108</v>
      </c>
    </row>
    <row r="268" spans="1:6" x14ac:dyDescent="0.3">
      <c r="A268" s="115">
        <v>46063</v>
      </c>
      <c r="B268" t="s">
        <v>224</v>
      </c>
      <c r="C268" s="11">
        <v>370</v>
      </c>
      <c r="D268" s="11"/>
      <c r="E268" t="s">
        <v>449</v>
      </c>
      <c r="F268" s="111" t="s">
        <v>108</v>
      </c>
    </row>
    <row r="269" spans="1:6" x14ac:dyDescent="0.3">
      <c r="A269" s="115">
        <v>46063</v>
      </c>
      <c r="B269" t="s">
        <v>262</v>
      </c>
      <c r="C269" s="96">
        <v>5000</v>
      </c>
      <c r="D269" s="96"/>
      <c r="E269" t="s">
        <v>450</v>
      </c>
      <c r="F269" s="111" t="s">
        <v>108</v>
      </c>
    </row>
    <row r="270" spans="1:6" x14ac:dyDescent="0.3">
      <c r="A270" s="115">
        <v>46063</v>
      </c>
      <c r="B270" t="s">
        <v>260</v>
      </c>
      <c r="C270" s="11">
        <v>7000</v>
      </c>
      <c r="D270" s="11"/>
      <c r="E270" t="s">
        <v>450</v>
      </c>
      <c r="F270" s="111" t="s">
        <v>108</v>
      </c>
    </row>
    <row r="271" spans="1:6" x14ac:dyDescent="0.3">
      <c r="A271" s="115">
        <v>46063</v>
      </c>
      <c r="B271" t="s">
        <v>94</v>
      </c>
      <c r="C271" s="11">
        <v>2000</v>
      </c>
      <c r="D271" s="11"/>
      <c r="E271" t="s">
        <v>450</v>
      </c>
      <c r="F271" s="111" t="s">
        <v>108</v>
      </c>
    </row>
    <row r="272" spans="1:6" x14ac:dyDescent="0.3">
      <c r="A272" s="115">
        <v>46063</v>
      </c>
      <c r="B272" t="s">
        <v>169</v>
      </c>
      <c r="C272" s="11">
        <v>2000</v>
      </c>
      <c r="D272" s="11"/>
      <c r="E272" t="s">
        <v>450</v>
      </c>
      <c r="F272" s="111" t="s">
        <v>108</v>
      </c>
    </row>
    <row r="273" spans="1:6" x14ac:dyDescent="0.3">
      <c r="A273" s="115">
        <v>46063</v>
      </c>
      <c r="B273" t="s">
        <v>256</v>
      </c>
      <c r="C273" s="11"/>
      <c r="D273" s="11">
        <v>100000</v>
      </c>
      <c r="E273" t="s">
        <v>451</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451</v>
      </c>
      <c r="F275" s="111" t="s">
        <v>108</v>
      </c>
    </row>
    <row r="276" spans="1:6" x14ac:dyDescent="0.3">
      <c r="A276" s="115"/>
      <c r="C276" s="11"/>
      <c r="D276" s="11"/>
      <c r="F276" s="111"/>
    </row>
    <row r="277" spans="1:6" x14ac:dyDescent="0.3">
      <c r="A277" s="115">
        <v>46053</v>
      </c>
      <c r="B277" t="s">
        <v>222</v>
      </c>
      <c r="C277" s="11"/>
      <c r="D277" s="11">
        <v>28750</v>
      </c>
      <c r="E277" t="s">
        <v>452</v>
      </c>
      <c r="F277" s="111" t="s">
        <v>108</v>
      </c>
    </row>
    <row r="278" spans="1:6" x14ac:dyDescent="0.3">
      <c r="A278" s="115">
        <v>46053</v>
      </c>
      <c r="B278" t="s">
        <v>222</v>
      </c>
      <c r="C278" s="11"/>
      <c r="D278" s="11">
        <v>10120</v>
      </c>
      <c r="E278" t="s">
        <v>453</v>
      </c>
      <c r="F278" s="111" t="s">
        <v>108</v>
      </c>
    </row>
    <row r="279" spans="1:6" x14ac:dyDescent="0.3">
      <c r="A279" s="115">
        <v>46053</v>
      </c>
      <c r="B279" t="s">
        <v>222</v>
      </c>
      <c r="C279" s="11"/>
      <c r="D279" s="11">
        <v>17750</v>
      </c>
      <c r="E279" t="s">
        <v>454</v>
      </c>
      <c r="F279" s="111" t="s">
        <v>108</v>
      </c>
    </row>
    <row r="280" spans="1:6" x14ac:dyDescent="0.3">
      <c r="A280" s="115">
        <v>46056</v>
      </c>
      <c r="B280" t="s">
        <v>222</v>
      </c>
      <c r="C280" s="11"/>
      <c r="D280" s="11">
        <v>20000</v>
      </c>
      <c r="E280" t="s">
        <v>455</v>
      </c>
      <c r="F280" s="111" t="s">
        <v>108</v>
      </c>
    </row>
    <row r="281" spans="1:6" x14ac:dyDescent="0.3">
      <c r="A281" s="115">
        <v>46063</v>
      </c>
      <c r="B281" t="s">
        <v>222</v>
      </c>
      <c r="C281" s="11"/>
      <c r="D281" s="11">
        <v>9483</v>
      </c>
      <c r="E281" t="s">
        <v>453</v>
      </c>
      <c r="F281" s="111" t="s">
        <v>108</v>
      </c>
    </row>
    <row r="282" spans="1:6" x14ac:dyDescent="0.3">
      <c r="A282" s="115">
        <v>46053</v>
      </c>
      <c r="B282" t="s">
        <v>452</v>
      </c>
      <c r="C282" s="11">
        <v>28750</v>
      </c>
      <c r="D282" s="11"/>
      <c r="E282" t="s">
        <v>452</v>
      </c>
      <c r="F282" s="111" t="s">
        <v>108</v>
      </c>
    </row>
    <row r="283" spans="1:6" x14ac:dyDescent="0.3">
      <c r="A283" s="115">
        <v>46053</v>
      </c>
      <c r="B283" t="s">
        <v>55</v>
      </c>
      <c r="C283" s="11">
        <v>10120</v>
      </c>
      <c r="D283" s="96"/>
      <c r="E283" t="s">
        <v>453</v>
      </c>
      <c r="F283" s="111" t="s">
        <v>108</v>
      </c>
    </row>
    <row r="284" spans="1:6" x14ac:dyDescent="0.3">
      <c r="A284" s="115">
        <v>46053</v>
      </c>
      <c r="B284" t="s">
        <v>55</v>
      </c>
      <c r="C284" s="11">
        <v>17750</v>
      </c>
      <c r="D284" s="11"/>
      <c r="E284" t="s">
        <v>454</v>
      </c>
      <c r="F284" s="111" t="s">
        <v>108</v>
      </c>
    </row>
    <row r="285" spans="1:6" x14ac:dyDescent="0.3">
      <c r="A285" s="115">
        <v>46056</v>
      </c>
      <c r="B285" t="s">
        <v>52</v>
      </c>
      <c r="C285" s="11">
        <v>20000</v>
      </c>
      <c r="D285" s="11"/>
      <c r="E285" t="s">
        <v>455</v>
      </c>
      <c r="F285" s="111" t="s">
        <v>108</v>
      </c>
    </row>
    <row r="286" spans="1:6" x14ac:dyDescent="0.3">
      <c r="A286" s="132">
        <v>46063</v>
      </c>
      <c r="B286" s="131" t="s">
        <v>55</v>
      </c>
      <c r="C286" s="123">
        <v>9483</v>
      </c>
      <c r="D286" s="123"/>
      <c r="E286" s="131" t="s">
        <v>453</v>
      </c>
      <c r="F286" s="133" t="s">
        <v>108</v>
      </c>
    </row>
    <row r="287" spans="1:6" x14ac:dyDescent="0.3">
      <c r="A287" s="115"/>
      <c r="C287" s="11"/>
      <c r="D287" s="11"/>
      <c r="F287" s="111" t="s">
        <v>108</v>
      </c>
    </row>
    <row r="288" spans="1:6" x14ac:dyDescent="0.3">
      <c r="A288" s="115">
        <v>46058</v>
      </c>
      <c r="B288" t="s">
        <v>456</v>
      </c>
      <c r="C288" s="11"/>
      <c r="D288" s="11">
        <v>600000</v>
      </c>
      <c r="E288" t="s">
        <v>109</v>
      </c>
      <c r="F288" s="111" t="s">
        <v>108</v>
      </c>
    </row>
    <row r="289" spans="1:6" x14ac:dyDescent="0.3">
      <c r="A289" s="115">
        <v>46064</v>
      </c>
      <c r="B289" t="s">
        <v>456</v>
      </c>
      <c r="C289" s="11"/>
      <c r="D289" s="11">
        <v>400000</v>
      </c>
      <c r="E289" t="s">
        <v>109</v>
      </c>
      <c r="F289" s="111" t="s">
        <v>108</v>
      </c>
    </row>
    <row r="290" spans="1:6" x14ac:dyDescent="0.3">
      <c r="A290" s="115">
        <v>46058</v>
      </c>
      <c r="B290" t="s">
        <v>222</v>
      </c>
      <c r="C290" s="11">
        <v>600000</v>
      </c>
      <c r="D290" s="11"/>
      <c r="E290" t="s">
        <v>458</v>
      </c>
      <c r="F290" s="111" t="s">
        <v>108</v>
      </c>
    </row>
    <row r="291" spans="1:6" x14ac:dyDescent="0.3">
      <c r="A291" s="115">
        <v>46064</v>
      </c>
      <c r="B291" t="s">
        <v>222</v>
      </c>
      <c r="C291" s="11">
        <v>400000</v>
      </c>
      <c r="D291" s="11"/>
      <c r="E291" t="s">
        <v>457</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427</v>
      </c>
      <c r="F293" s="111" t="s">
        <v>108</v>
      </c>
    </row>
    <row r="294" spans="1:6" x14ac:dyDescent="0.3">
      <c r="A294" s="115">
        <v>46050</v>
      </c>
      <c r="B294" t="s">
        <v>35</v>
      </c>
      <c r="C294" s="11"/>
      <c r="D294" s="11">
        <v>418000</v>
      </c>
      <c r="E294" t="s">
        <v>459</v>
      </c>
      <c r="F294" s="111" t="s">
        <v>108</v>
      </c>
    </row>
    <row r="295" spans="1:6" x14ac:dyDescent="0.3">
      <c r="A295" s="115">
        <v>46047</v>
      </c>
      <c r="B295" t="s">
        <v>222</v>
      </c>
      <c r="C295" s="11">
        <v>500000</v>
      </c>
      <c r="D295" s="11"/>
      <c r="E295" t="s">
        <v>460</v>
      </c>
      <c r="F295" s="111" t="s">
        <v>108</v>
      </c>
    </row>
    <row r="296" spans="1:6" x14ac:dyDescent="0.3">
      <c r="A296" s="115">
        <v>46050</v>
      </c>
      <c r="B296" t="s">
        <v>222</v>
      </c>
      <c r="C296" s="11">
        <v>228245</v>
      </c>
      <c r="D296" s="11"/>
      <c r="E296" t="s">
        <v>461</v>
      </c>
      <c r="F296" s="111" t="s">
        <v>108</v>
      </c>
    </row>
    <row r="297" spans="1:6" x14ac:dyDescent="0.3">
      <c r="A297" s="115">
        <v>46050</v>
      </c>
      <c r="B297" t="s">
        <v>222</v>
      </c>
      <c r="C297" s="11">
        <v>418000</v>
      </c>
      <c r="D297" s="11"/>
      <c r="E297" t="s">
        <v>462</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463</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464</v>
      </c>
      <c r="F301" s="111" t="s">
        <v>108</v>
      </c>
    </row>
    <row r="302" spans="1:6" x14ac:dyDescent="0.3">
      <c r="A302" s="115">
        <v>46064</v>
      </c>
      <c r="B302" t="s">
        <v>222</v>
      </c>
      <c r="C302" s="11">
        <v>100000</v>
      </c>
      <c r="D302" s="11"/>
      <c r="E302" t="s">
        <v>465</v>
      </c>
      <c r="F302" s="111" t="s">
        <v>108</v>
      </c>
    </row>
    <row r="303" spans="1:6" x14ac:dyDescent="0.3">
      <c r="A303" s="115">
        <v>46043</v>
      </c>
      <c r="B303" t="s">
        <v>222</v>
      </c>
      <c r="C303" s="11">
        <v>38940</v>
      </c>
      <c r="D303" s="11"/>
      <c r="E303" t="s">
        <v>466</v>
      </c>
      <c r="F303" s="111" t="s">
        <v>108</v>
      </c>
    </row>
    <row r="304" spans="1:6" x14ac:dyDescent="0.3">
      <c r="A304" s="115"/>
      <c r="C304" s="11"/>
      <c r="D304" s="11"/>
      <c r="F304" s="111" t="s">
        <v>108</v>
      </c>
    </row>
    <row r="305" spans="1:6" x14ac:dyDescent="0.3">
      <c r="A305" s="115">
        <v>46054</v>
      </c>
      <c r="B305" t="s">
        <v>388</v>
      </c>
      <c r="C305" s="11"/>
      <c r="D305" s="11">
        <v>1508520</v>
      </c>
      <c r="E305" t="s">
        <v>467</v>
      </c>
      <c r="F305" s="111" t="s">
        <v>108</v>
      </c>
    </row>
    <row r="306" spans="1:6" x14ac:dyDescent="0.3">
      <c r="A306" s="115">
        <v>46054</v>
      </c>
      <c r="B306" t="s">
        <v>222</v>
      </c>
      <c r="C306" s="11">
        <v>1508520</v>
      </c>
      <c r="D306" s="11"/>
      <c r="E306" t="s">
        <v>372</v>
      </c>
      <c r="F306" s="111" t="s">
        <v>108</v>
      </c>
    </row>
    <row r="307" spans="1:6" x14ac:dyDescent="0.3">
      <c r="A307" s="1">
        <v>46043</v>
      </c>
      <c r="B307" t="s">
        <v>152</v>
      </c>
      <c r="D307">
        <v>390000</v>
      </c>
      <c r="E307" t="s">
        <v>468</v>
      </c>
      <c r="F307" s="111" t="s">
        <v>108</v>
      </c>
    </row>
    <row r="308" spans="1:6" x14ac:dyDescent="0.3">
      <c r="A308" s="1">
        <v>46044</v>
      </c>
      <c r="B308" t="s">
        <v>152</v>
      </c>
      <c r="D308">
        <v>235000</v>
      </c>
      <c r="E308" t="s">
        <v>286</v>
      </c>
      <c r="F308" s="111" t="s">
        <v>108</v>
      </c>
    </row>
    <row r="309" spans="1:6" x14ac:dyDescent="0.3">
      <c r="A309" s="1">
        <v>46044</v>
      </c>
      <c r="B309" t="s">
        <v>152</v>
      </c>
      <c r="D309">
        <v>100000</v>
      </c>
      <c r="E309" t="s">
        <v>469</v>
      </c>
      <c r="F309" s="111" t="s">
        <v>108</v>
      </c>
    </row>
    <row r="310" spans="1:6" x14ac:dyDescent="0.3">
      <c r="A310" s="1">
        <v>46048</v>
      </c>
      <c r="B310" t="s">
        <v>152</v>
      </c>
      <c r="D310">
        <v>400000</v>
      </c>
      <c r="E310" t="s">
        <v>470</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471</v>
      </c>
      <c r="F314" s="111" t="s">
        <v>108</v>
      </c>
    </row>
    <row r="315" spans="1:6" x14ac:dyDescent="0.3">
      <c r="A315" s="38">
        <v>46063</v>
      </c>
      <c r="B315" t="s">
        <v>152</v>
      </c>
      <c r="C315" s="96"/>
      <c r="D315" s="96">
        <v>368000</v>
      </c>
      <c r="E315" t="s">
        <v>472</v>
      </c>
      <c r="F315" s="111" t="s">
        <v>108</v>
      </c>
    </row>
    <row r="316" spans="1:6" x14ac:dyDescent="0.3">
      <c r="A316" s="1">
        <v>46043</v>
      </c>
      <c r="B316" t="s">
        <v>222</v>
      </c>
      <c r="C316">
        <v>390000</v>
      </c>
      <c r="D316" s="96"/>
      <c r="E316" t="s">
        <v>473</v>
      </c>
      <c r="F316" s="111" t="s">
        <v>108</v>
      </c>
    </row>
    <row r="317" spans="1:6" x14ac:dyDescent="0.3">
      <c r="A317" s="1">
        <v>46044</v>
      </c>
      <c r="B317" t="s">
        <v>222</v>
      </c>
      <c r="C317">
        <v>235000</v>
      </c>
      <c r="D317" s="11"/>
      <c r="E317" t="s">
        <v>474</v>
      </c>
      <c r="F317" s="111" t="s">
        <v>108</v>
      </c>
    </row>
    <row r="318" spans="1:6" x14ac:dyDescent="0.3">
      <c r="A318" s="1">
        <v>46044</v>
      </c>
      <c r="B318" t="s">
        <v>222</v>
      </c>
      <c r="C318">
        <v>100000</v>
      </c>
      <c r="D318" s="11"/>
      <c r="E318" t="s">
        <v>475</v>
      </c>
      <c r="F318" s="111" t="s">
        <v>108</v>
      </c>
    </row>
    <row r="319" spans="1:6" x14ac:dyDescent="0.3">
      <c r="A319" s="1">
        <v>46048</v>
      </c>
      <c r="B319" t="s">
        <v>222</v>
      </c>
      <c r="C319">
        <v>400000</v>
      </c>
      <c r="D319" s="11"/>
      <c r="E319" t="s">
        <v>476</v>
      </c>
      <c r="F319" s="111" t="s">
        <v>108</v>
      </c>
    </row>
    <row r="320" spans="1:6" x14ac:dyDescent="0.3">
      <c r="A320" s="134">
        <v>46048</v>
      </c>
      <c r="B320" t="s">
        <v>222</v>
      </c>
      <c r="C320">
        <v>225000</v>
      </c>
      <c r="D320" s="11"/>
      <c r="E320" t="s">
        <v>477</v>
      </c>
      <c r="F320" s="111" t="s">
        <v>108</v>
      </c>
    </row>
    <row r="321" spans="1:12" x14ac:dyDescent="0.3">
      <c r="A321" s="1">
        <v>46050</v>
      </c>
      <c r="B321" t="s">
        <v>222</v>
      </c>
      <c r="C321">
        <v>220000</v>
      </c>
      <c r="D321" s="11"/>
      <c r="E321" t="s">
        <v>478</v>
      </c>
      <c r="F321" s="111" t="s">
        <v>108</v>
      </c>
    </row>
    <row r="322" spans="1:12" x14ac:dyDescent="0.3">
      <c r="A322" s="38">
        <v>46052</v>
      </c>
      <c r="B322" t="s">
        <v>222</v>
      </c>
      <c r="C322" s="96">
        <v>120000</v>
      </c>
      <c r="D322" s="11"/>
      <c r="E322" t="s">
        <v>479</v>
      </c>
      <c r="F322" s="111" t="s">
        <v>108</v>
      </c>
    </row>
    <row r="323" spans="1:12" x14ac:dyDescent="0.3">
      <c r="A323" s="38">
        <v>46059</v>
      </c>
      <c r="B323" t="s">
        <v>222</v>
      </c>
      <c r="C323" s="96">
        <v>100000</v>
      </c>
      <c r="D323" s="11"/>
      <c r="E323" t="s">
        <v>475</v>
      </c>
      <c r="F323" s="111" t="s">
        <v>108</v>
      </c>
    </row>
    <row r="324" spans="1:12" x14ac:dyDescent="0.3">
      <c r="A324" s="136">
        <v>46063</v>
      </c>
      <c r="B324" s="137" t="s">
        <v>222</v>
      </c>
      <c r="C324" s="138">
        <v>368000</v>
      </c>
      <c r="D324" s="127"/>
      <c r="E324" s="137" t="s">
        <v>480</v>
      </c>
      <c r="F324" s="139" t="s">
        <v>108</v>
      </c>
      <c r="G324" s="137"/>
    </row>
    <row r="325" spans="1:12" x14ac:dyDescent="0.3">
      <c r="A325" s="115">
        <v>46064</v>
      </c>
      <c r="B325" t="s">
        <v>289</v>
      </c>
      <c r="C325" s="11"/>
      <c r="D325" s="11">
        <v>7000</v>
      </c>
      <c r="E325" t="s">
        <v>481</v>
      </c>
      <c r="F325" s="111" t="s">
        <v>108</v>
      </c>
    </row>
    <row r="326" spans="1:12" x14ac:dyDescent="0.3">
      <c r="A326" s="115">
        <v>46064</v>
      </c>
      <c r="B326" t="s">
        <v>222</v>
      </c>
      <c r="C326" s="11"/>
      <c r="D326" s="11">
        <v>100000</v>
      </c>
      <c r="E326" t="s">
        <v>482</v>
      </c>
      <c r="F326" s="111" t="s">
        <v>108</v>
      </c>
    </row>
    <row r="327" spans="1:12" x14ac:dyDescent="0.3">
      <c r="A327" s="115">
        <v>46064</v>
      </c>
      <c r="B327" t="s">
        <v>195</v>
      </c>
      <c r="C327" s="11">
        <v>138250</v>
      </c>
      <c r="D327" s="11"/>
      <c r="E327" t="s">
        <v>483</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485</v>
      </c>
      <c r="F329" s="111" t="s">
        <v>108</v>
      </c>
      <c r="J329">
        <v>22100</v>
      </c>
      <c r="K329">
        <v>22100</v>
      </c>
      <c r="L329">
        <v>44000</v>
      </c>
    </row>
    <row r="330" spans="1:12" x14ac:dyDescent="0.3">
      <c r="A330" s="115">
        <v>46064</v>
      </c>
      <c r="B330" t="s">
        <v>484</v>
      </c>
      <c r="C330" s="11">
        <v>500</v>
      </c>
      <c r="D330" s="11"/>
      <c r="E330" t="s">
        <v>486</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487</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409</v>
      </c>
      <c r="F360" s="111" t="s">
        <v>108</v>
      </c>
    </row>
    <row r="361" spans="1:12" x14ac:dyDescent="0.3">
      <c r="A361" s="115">
        <v>46064</v>
      </c>
      <c r="B361" t="s">
        <v>54</v>
      </c>
      <c r="C361" s="11">
        <v>1000</v>
      </c>
      <c r="D361" s="11"/>
      <c r="E361" t="s">
        <v>488</v>
      </c>
      <c r="F361" s="111" t="s">
        <v>108</v>
      </c>
    </row>
    <row r="362" spans="1:12" x14ac:dyDescent="0.3">
      <c r="A362" s="115">
        <v>46064</v>
      </c>
      <c r="B362" t="s">
        <v>300</v>
      </c>
      <c r="C362" s="11"/>
      <c r="D362" s="11">
        <v>162000</v>
      </c>
      <c r="E362" t="s">
        <v>489</v>
      </c>
      <c r="F362" s="111" t="s">
        <v>108</v>
      </c>
    </row>
    <row r="363" spans="1:12" x14ac:dyDescent="0.3">
      <c r="A363" s="115">
        <v>46064</v>
      </c>
      <c r="B363" t="s">
        <v>55</v>
      </c>
      <c r="C363" s="11">
        <v>1700</v>
      </c>
      <c r="D363" s="11"/>
      <c r="E363" t="s">
        <v>490</v>
      </c>
      <c r="F363" s="111" t="s">
        <v>108</v>
      </c>
    </row>
    <row r="364" spans="1:12" x14ac:dyDescent="0.3">
      <c r="A364" s="115">
        <v>46064</v>
      </c>
      <c r="B364" t="s">
        <v>484</v>
      </c>
      <c r="C364" s="11">
        <v>2540</v>
      </c>
      <c r="D364" s="11"/>
      <c r="E364" t="s">
        <v>491</v>
      </c>
      <c r="F364" s="111" t="s">
        <v>108</v>
      </c>
    </row>
    <row r="365" spans="1:12" x14ac:dyDescent="0.3">
      <c r="A365" s="115">
        <v>46064</v>
      </c>
      <c r="B365" t="s">
        <v>54</v>
      </c>
      <c r="C365" s="11">
        <v>1010</v>
      </c>
      <c r="D365" s="11"/>
      <c r="E365" t="s">
        <v>492</v>
      </c>
      <c r="F365" s="111" t="s">
        <v>108</v>
      </c>
    </row>
    <row r="366" spans="1:12" x14ac:dyDescent="0.3">
      <c r="A366" s="115">
        <v>46064</v>
      </c>
      <c r="B366" t="s">
        <v>224</v>
      </c>
      <c r="C366" s="11">
        <v>4482</v>
      </c>
      <c r="D366" s="11"/>
      <c r="E366" t="s">
        <v>493</v>
      </c>
      <c r="F366" s="111" t="s">
        <v>108</v>
      </c>
    </row>
    <row r="367" spans="1:12" x14ac:dyDescent="0.3">
      <c r="A367" s="115">
        <v>46064</v>
      </c>
      <c r="B367" t="s">
        <v>55</v>
      </c>
      <c r="C367" s="11">
        <v>28000</v>
      </c>
      <c r="D367" s="11"/>
      <c r="E367" t="s">
        <v>494</v>
      </c>
      <c r="F367" s="111" t="s">
        <v>108</v>
      </c>
    </row>
    <row r="368" spans="1:12" x14ac:dyDescent="0.3">
      <c r="A368" s="115">
        <v>46064</v>
      </c>
      <c r="B368" t="s">
        <v>484</v>
      </c>
      <c r="C368" s="11">
        <v>1890</v>
      </c>
      <c r="D368" s="11"/>
      <c r="E368" t="s">
        <v>495</v>
      </c>
      <c r="F368" s="111" t="s">
        <v>108</v>
      </c>
    </row>
    <row r="369" spans="1:6" x14ac:dyDescent="0.3">
      <c r="A369" s="115">
        <v>46064</v>
      </c>
      <c r="B369" t="s">
        <v>222</v>
      </c>
      <c r="C369" s="11"/>
      <c r="D369" s="11">
        <v>40000</v>
      </c>
      <c r="E369" t="s">
        <v>496</v>
      </c>
      <c r="F369" s="111" t="s">
        <v>108</v>
      </c>
    </row>
    <row r="370" spans="1:6" x14ac:dyDescent="0.3">
      <c r="A370" s="115">
        <v>46064</v>
      </c>
      <c r="B370" t="s">
        <v>9</v>
      </c>
      <c r="C370" s="11"/>
      <c r="D370" s="11">
        <v>95000</v>
      </c>
      <c r="E370" t="s">
        <v>497</v>
      </c>
      <c r="F370" s="111" t="s">
        <v>108</v>
      </c>
    </row>
    <row r="371" spans="1:6" x14ac:dyDescent="0.3">
      <c r="A371" s="115">
        <v>46064</v>
      </c>
      <c r="B371" t="s">
        <v>55</v>
      </c>
      <c r="C371" s="11">
        <v>40000</v>
      </c>
      <c r="D371" s="11"/>
      <c r="E371" t="s">
        <v>498</v>
      </c>
      <c r="F371" s="111" t="s">
        <v>108</v>
      </c>
    </row>
    <row r="372" spans="1:6" x14ac:dyDescent="0.3">
      <c r="A372" s="115">
        <v>46064</v>
      </c>
      <c r="B372" t="s">
        <v>260</v>
      </c>
      <c r="C372" s="11">
        <v>150000</v>
      </c>
      <c r="D372" s="11"/>
      <c r="E372" t="s">
        <v>499</v>
      </c>
      <c r="F372" s="111" t="s">
        <v>108</v>
      </c>
    </row>
    <row r="373" spans="1:6" x14ac:dyDescent="0.3">
      <c r="A373" s="115">
        <v>46064</v>
      </c>
      <c r="B373" t="s">
        <v>165</v>
      </c>
      <c r="C373" s="11">
        <v>60000</v>
      </c>
      <c r="D373" s="11"/>
      <c r="E373" t="s">
        <v>500</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502</v>
      </c>
      <c r="F375" s="111" t="s">
        <v>108</v>
      </c>
    </row>
    <row r="376" spans="1:6" x14ac:dyDescent="0.3">
      <c r="A376" s="38">
        <v>46065</v>
      </c>
      <c r="B376" t="s">
        <v>224</v>
      </c>
      <c r="C376" s="11">
        <v>4900</v>
      </c>
      <c r="D376" s="11"/>
      <c r="E376" t="s">
        <v>503</v>
      </c>
      <c r="F376" s="111" t="s">
        <v>108</v>
      </c>
    </row>
    <row r="377" spans="1:6" x14ac:dyDescent="0.3">
      <c r="A377" s="38">
        <v>46065</v>
      </c>
      <c r="B377" t="s">
        <v>484</v>
      </c>
      <c r="C377" s="11">
        <v>1000</v>
      </c>
      <c r="D377" s="11"/>
      <c r="E377" t="s">
        <v>504</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505</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420</v>
      </c>
      <c r="F384" s="111" t="s">
        <v>108</v>
      </c>
    </row>
    <row r="385" spans="1:6" x14ac:dyDescent="0.3">
      <c r="A385" s="38">
        <v>46065</v>
      </c>
      <c r="B385" t="s">
        <v>227</v>
      </c>
      <c r="C385" s="11">
        <v>50000</v>
      </c>
      <c r="D385" s="11"/>
      <c r="E385" t="s">
        <v>506</v>
      </c>
      <c r="F385" s="111" t="s">
        <v>108</v>
      </c>
    </row>
    <row r="386" spans="1:6" x14ac:dyDescent="0.3">
      <c r="A386" s="38">
        <v>46065</v>
      </c>
      <c r="B386" t="s">
        <v>54</v>
      </c>
      <c r="C386" s="11">
        <v>5000</v>
      </c>
      <c r="D386" s="11"/>
      <c r="E386" t="s">
        <v>409</v>
      </c>
      <c r="F386" s="111" t="s">
        <v>108</v>
      </c>
    </row>
    <row r="387" spans="1:6" x14ac:dyDescent="0.3">
      <c r="A387" s="115">
        <v>46065</v>
      </c>
      <c r="B387" t="s">
        <v>54</v>
      </c>
      <c r="C387" s="11">
        <f>960*2</f>
        <v>1920</v>
      </c>
      <c r="D387" s="11"/>
      <c r="E387" t="s">
        <v>515</v>
      </c>
      <c r="F387" s="111" t="s">
        <v>108</v>
      </c>
    </row>
    <row r="388" spans="1:6" x14ac:dyDescent="0.3">
      <c r="A388" s="38">
        <v>46065</v>
      </c>
      <c r="B388" t="s">
        <v>224</v>
      </c>
      <c r="C388" s="11">
        <v>2000</v>
      </c>
      <c r="D388" s="11"/>
      <c r="E388" t="s">
        <v>507</v>
      </c>
      <c r="F388" s="111" t="s">
        <v>108</v>
      </c>
    </row>
    <row r="389" spans="1:6" x14ac:dyDescent="0.3">
      <c r="A389" s="115">
        <v>46065</v>
      </c>
      <c r="B389" t="s">
        <v>484</v>
      </c>
      <c r="C389" s="11">
        <v>2000</v>
      </c>
      <c r="D389" s="11"/>
      <c r="E389" t="s">
        <v>521</v>
      </c>
      <c r="F389" s="111" t="s">
        <v>108</v>
      </c>
    </row>
    <row r="390" spans="1:6" x14ac:dyDescent="0.3">
      <c r="A390" s="38">
        <v>46065</v>
      </c>
      <c r="B390" t="s">
        <v>55</v>
      </c>
      <c r="C390" s="11">
        <v>1900</v>
      </c>
      <c r="D390" s="11"/>
      <c r="E390" t="s">
        <v>508</v>
      </c>
      <c r="F390" s="111" t="s">
        <v>108</v>
      </c>
    </row>
    <row r="391" spans="1:6" x14ac:dyDescent="0.3">
      <c r="A391" s="38">
        <v>46065</v>
      </c>
      <c r="B391" t="s">
        <v>235</v>
      </c>
      <c r="C391" s="11"/>
      <c r="D391" s="11">
        <v>200000</v>
      </c>
      <c r="E391" t="s">
        <v>509</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510</v>
      </c>
      <c r="F393" s="111" t="s">
        <v>108</v>
      </c>
    </row>
    <row r="394" spans="1:6" x14ac:dyDescent="0.3">
      <c r="A394" s="38">
        <v>46065</v>
      </c>
      <c r="B394" t="s">
        <v>262</v>
      </c>
      <c r="C394" s="11">
        <v>100270</v>
      </c>
      <c r="D394" s="11"/>
      <c r="E394" t="s">
        <v>511</v>
      </c>
      <c r="F394" s="111" t="s">
        <v>108</v>
      </c>
    </row>
    <row r="395" spans="1:6" x14ac:dyDescent="0.3">
      <c r="A395" s="38">
        <v>46065</v>
      </c>
      <c r="B395" t="s">
        <v>260</v>
      </c>
      <c r="C395" s="11">
        <v>200250</v>
      </c>
      <c r="D395" s="11"/>
      <c r="E395" t="s">
        <v>512</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513</v>
      </c>
      <c r="F398" s="111" t="s">
        <v>108</v>
      </c>
    </row>
    <row r="399" spans="1:6" x14ac:dyDescent="0.3">
      <c r="A399" s="38">
        <v>46065</v>
      </c>
      <c r="B399" t="s">
        <v>227</v>
      </c>
      <c r="C399" s="11">
        <v>25000</v>
      </c>
      <c r="D399" s="11"/>
      <c r="E399" t="s">
        <v>514</v>
      </c>
      <c r="F399" s="111" t="s">
        <v>108</v>
      </c>
    </row>
    <row r="400" spans="1:6" x14ac:dyDescent="0.3">
      <c r="A400" s="38">
        <v>46066</v>
      </c>
      <c r="B400" t="s">
        <v>175</v>
      </c>
      <c r="C400" s="11"/>
      <c r="D400" s="11">
        <v>300000</v>
      </c>
      <c r="E400" t="s">
        <v>517</v>
      </c>
      <c r="F400" s="111" t="s">
        <v>108</v>
      </c>
    </row>
    <row r="401" spans="1:15" x14ac:dyDescent="0.3">
      <c r="A401" s="38">
        <v>46066</v>
      </c>
      <c r="B401" t="s">
        <v>113</v>
      </c>
      <c r="C401" s="11">
        <f>51540+2300</f>
        <v>53840</v>
      </c>
      <c r="D401" s="11"/>
      <c r="E401" t="s">
        <v>518</v>
      </c>
      <c r="F401" s="111" t="s">
        <v>108</v>
      </c>
    </row>
    <row r="402" spans="1:15" x14ac:dyDescent="0.3">
      <c r="A402" s="38">
        <v>46066</v>
      </c>
      <c r="B402" t="s">
        <v>52</v>
      </c>
      <c r="C402" s="11">
        <v>28000</v>
      </c>
      <c r="D402" s="11"/>
      <c r="E402" t="s">
        <v>400</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519</v>
      </c>
      <c r="F404" s="111" t="s">
        <v>108</v>
      </c>
    </row>
    <row r="405" spans="1:15" x14ac:dyDescent="0.3">
      <c r="A405" s="38">
        <v>46066</v>
      </c>
      <c r="B405" t="s">
        <v>52</v>
      </c>
      <c r="C405" s="11">
        <v>32800</v>
      </c>
      <c r="D405" s="11"/>
      <c r="E405" t="s">
        <v>520</v>
      </c>
      <c r="F405" s="111" t="s">
        <v>108</v>
      </c>
    </row>
    <row r="406" spans="1:15" x14ac:dyDescent="0.3">
      <c r="A406" s="38">
        <v>46066</v>
      </c>
      <c r="B406" t="s">
        <v>260</v>
      </c>
      <c r="C406" s="11">
        <v>3000</v>
      </c>
      <c r="D406" s="11"/>
      <c r="E406" t="s">
        <v>450</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41">
        <v>46067</v>
      </c>
      <c r="B410" s="122" t="s">
        <v>516</v>
      </c>
      <c r="C410" s="11"/>
      <c r="D410" s="11">
        <v>15855</v>
      </c>
      <c r="F410" s="111" t="s">
        <v>108</v>
      </c>
    </row>
    <row r="411" spans="1:15" x14ac:dyDescent="0.3">
      <c r="A411" s="141">
        <v>46067</v>
      </c>
      <c r="B411" t="s">
        <v>9</v>
      </c>
      <c r="C411" s="11"/>
      <c r="D411" s="11">
        <v>200000</v>
      </c>
      <c r="E411" t="s">
        <v>524</v>
      </c>
      <c r="F411" s="111" t="s">
        <v>108</v>
      </c>
    </row>
    <row r="412" spans="1:15" x14ac:dyDescent="0.3">
      <c r="A412" s="141">
        <v>46067</v>
      </c>
      <c r="B412" t="s">
        <v>54</v>
      </c>
      <c r="C412" s="11">
        <v>2000</v>
      </c>
      <c r="D412" s="11"/>
      <c r="E412" t="s">
        <v>429</v>
      </c>
      <c r="F412" s="111" t="s">
        <v>108</v>
      </c>
    </row>
    <row r="413" spans="1:15" x14ac:dyDescent="0.3">
      <c r="A413" s="141">
        <v>46067</v>
      </c>
      <c r="B413" t="s">
        <v>289</v>
      </c>
      <c r="C413" s="11"/>
      <c r="D413" s="11">
        <v>300000</v>
      </c>
      <c r="E413" t="s">
        <v>525</v>
      </c>
      <c r="F413" s="111" t="s">
        <v>108</v>
      </c>
    </row>
    <row r="414" spans="1:15" x14ac:dyDescent="0.3">
      <c r="A414" s="141">
        <v>46067</v>
      </c>
      <c r="B414" t="s">
        <v>195</v>
      </c>
      <c r="C414" s="11">
        <v>24650</v>
      </c>
      <c r="D414" s="11"/>
      <c r="E414" t="s">
        <v>526</v>
      </c>
      <c r="F414" s="111" t="s">
        <v>108</v>
      </c>
    </row>
    <row r="415" spans="1:15" x14ac:dyDescent="0.3">
      <c r="A415" s="141">
        <v>46067</v>
      </c>
      <c r="B415" t="s">
        <v>260</v>
      </c>
      <c r="C415" s="11">
        <v>300003</v>
      </c>
      <c r="D415" s="11"/>
      <c r="E415" t="s">
        <v>527</v>
      </c>
      <c r="F415" s="111" t="s">
        <v>108</v>
      </c>
      <c r="J415">
        <v>30000</v>
      </c>
      <c r="L415">
        <v>10000</v>
      </c>
      <c r="M415">
        <v>16300</v>
      </c>
      <c r="O415">
        <v>5100</v>
      </c>
    </row>
    <row r="416" spans="1:15" x14ac:dyDescent="0.3">
      <c r="A416" s="141">
        <v>46067</v>
      </c>
      <c r="B416" t="s">
        <v>182</v>
      </c>
      <c r="C416" s="11">
        <v>35000</v>
      </c>
      <c r="D416" s="11"/>
      <c r="E416" t="s">
        <v>146</v>
      </c>
      <c r="F416" s="111" t="s">
        <v>108</v>
      </c>
      <c r="J416">
        <v>119760</v>
      </c>
      <c r="L416">
        <v>3200</v>
      </c>
      <c r="M416">
        <v>12800</v>
      </c>
      <c r="O416">
        <v>12300</v>
      </c>
    </row>
    <row r="417" spans="1:15" x14ac:dyDescent="0.3">
      <c r="A417" s="141">
        <v>46067</v>
      </c>
      <c r="B417" t="s">
        <v>52</v>
      </c>
      <c r="C417" s="11">
        <v>13050</v>
      </c>
      <c r="D417" s="11"/>
      <c r="E417" t="s">
        <v>528</v>
      </c>
      <c r="F417" s="111" t="s">
        <v>108</v>
      </c>
      <c r="J417">
        <v>35000</v>
      </c>
      <c r="L417">
        <v>22800</v>
      </c>
      <c r="M417">
        <v>22650</v>
      </c>
      <c r="O417">
        <v>10810</v>
      </c>
    </row>
    <row r="418" spans="1:15" x14ac:dyDescent="0.3">
      <c r="A418" s="141">
        <v>46067</v>
      </c>
      <c r="B418" t="s">
        <v>64</v>
      </c>
      <c r="C418" s="11">
        <v>110000</v>
      </c>
      <c r="D418" s="11"/>
      <c r="E418" t="s">
        <v>529</v>
      </c>
      <c r="F418" s="111" t="s">
        <v>108</v>
      </c>
      <c r="J418">
        <v>29600</v>
      </c>
      <c r="L418">
        <v>29600</v>
      </c>
      <c r="M418">
        <v>22800</v>
      </c>
      <c r="O418">
        <v>12000</v>
      </c>
    </row>
    <row r="419" spans="1:15" x14ac:dyDescent="0.3">
      <c r="A419" s="141">
        <v>46067</v>
      </c>
      <c r="B419" t="s">
        <v>52</v>
      </c>
      <c r="C419" s="11">
        <v>15970</v>
      </c>
      <c r="D419" s="11"/>
      <c r="E419" t="s">
        <v>530</v>
      </c>
      <c r="F419" s="111" t="s">
        <v>108</v>
      </c>
      <c r="J419">
        <v>46600</v>
      </c>
      <c r="L419">
        <v>46600</v>
      </c>
      <c r="M419">
        <v>15000</v>
      </c>
      <c r="O419">
        <v>11650</v>
      </c>
    </row>
    <row r="420" spans="1:15" x14ac:dyDescent="0.3">
      <c r="A420" s="141">
        <v>46067</v>
      </c>
      <c r="B420" t="s">
        <v>94</v>
      </c>
      <c r="C420" s="11">
        <v>1000</v>
      </c>
      <c r="D420" s="11"/>
      <c r="E420" t="s">
        <v>450</v>
      </c>
      <c r="F420" s="111" t="s">
        <v>108</v>
      </c>
      <c r="J420">
        <v>22800</v>
      </c>
      <c r="L420">
        <v>20800</v>
      </c>
      <c r="M420">
        <v>18450</v>
      </c>
      <c r="O420">
        <v>16300</v>
      </c>
    </row>
    <row r="421" spans="1:15" x14ac:dyDescent="0.3">
      <c r="A421" s="141">
        <v>46067</v>
      </c>
      <c r="B421" t="s">
        <v>484</v>
      </c>
      <c r="C421" s="11">
        <v>3000</v>
      </c>
      <c r="D421" s="11"/>
      <c r="E421" t="s">
        <v>540</v>
      </c>
      <c r="F421" s="111" t="s">
        <v>108</v>
      </c>
      <c r="J421">
        <v>3200</v>
      </c>
      <c r="L421">
        <v>20000</v>
      </c>
      <c r="M421">
        <v>24600</v>
      </c>
      <c r="O421">
        <v>17300</v>
      </c>
    </row>
    <row r="422" spans="1:15" x14ac:dyDescent="0.3">
      <c r="A422" s="141">
        <v>46067</v>
      </c>
      <c r="B422" t="s">
        <v>260</v>
      </c>
      <c r="C422" s="11">
        <v>2000</v>
      </c>
      <c r="D422" s="11"/>
      <c r="E422" t="s">
        <v>450</v>
      </c>
      <c r="F422" s="111" t="s">
        <v>108</v>
      </c>
      <c r="J422">
        <v>11640</v>
      </c>
      <c r="L422">
        <v>80000</v>
      </c>
      <c r="M422">
        <v>15000</v>
      </c>
      <c r="O422">
        <v>17460</v>
      </c>
    </row>
    <row r="423" spans="1:15" x14ac:dyDescent="0.3">
      <c r="A423" s="141">
        <v>46067</v>
      </c>
      <c r="B423" t="s">
        <v>531</v>
      </c>
      <c r="C423" s="11">
        <v>29000</v>
      </c>
      <c r="D423" s="11"/>
      <c r="E423" t="s">
        <v>532</v>
      </c>
      <c r="F423" s="111" t="s">
        <v>108</v>
      </c>
      <c r="J423">
        <v>17500</v>
      </c>
      <c r="L423">
        <v>30000</v>
      </c>
      <c r="M423">
        <v>12000</v>
      </c>
      <c r="O423">
        <v>18450</v>
      </c>
    </row>
    <row r="424" spans="1:15" x14ac:dyDescent="0.3">
      <c r="A424" s="141">
        <v>46067</v>
      </c>
      <c r="B424" t="s">
        <v>55</v>
      </c>
      <c r="C424" s="11">
        <v>2600</v>
      </c>
      <c r="D424" s="11"/>
      <c r="E424" t="s">
        <v>533</v>
      </c>
      <c r="F424" s="111" t="s">
        <v>108</v>
      </c>
      <c r="J424">
        <v>20800</v>
      </c>
      <c r="L424">
        <v>15600</v>
      </c>
      <c r="M424">
        <v>18300</v>
      </c>
      <c r="O424">
        <v>12800</v>
      </c>
    </row>
    <row r="425" spans="1:15" x14ac:dyDescent="0.3">
      <c r="A425" s="141">
        <v>46067</v>
      </c>
      <c r="B425" t="s">
        <v>55</v>
      </c>
      <c r="C425" s="11">
        <v>2500</v>
      </c>
      <c r="D425" s="11"/>
      <c r="E425" t="s">
        <v>534</v>
      </c>
      <c r="F425" s="111" t="s">
        <v>108</v>
      </c>
      <c r="J425">
        <v>15600</v>
      </c>
      <c r="L425">
        <v>15000</v>
      </c>
      <c r="M425">
        <v>20000</v>
      </c>
      <c r="O425">
        <v>24600</v>
      </c>
    </row>
    <row r="426" spans="1:15" x14ac:dyDescent="0.3">
      <c r="A426" s="141">
        <v>46067</v>
      </c>
      <c r="B426" t="s">
        <v>484</v>
      </c>
      <c r="C426" s="11">
        <v>250</v>
      </c>
      <c r="D426" s="11"/>
      <c r="E426" t="s">
        <v>535</v>
      </c>
      <c r="F426" s="111" t="s">
        <v>108</v>
      </c>
      <c r="J426">
        <v>11000</v>
      </c>
      <c r="L426">
        <v>14300</v>
      </c>
      <c r="M426">
        <v>20000</v>
      </c>
      <c r="O426">
        <v>22800</v>
      </c>
    </row>
    <row r="427" spans="1:15" x14ac:dyDescent="0.3">
      <c r="A427" s="141">
        <v>46067</v>
      </c>
      <c r="B427" t="s">
        <v>256</v>
      </c>
      <c r="C427" s="11"/>
      <c r="D427" s="11">
        <v>100000</v>
      </c>
      <c r="F427" s="111" t="s">
        <v>108</v>
      </c>
      <c r="J427">
        <v>17000</v>
      </c>
      <c r="L427">
        <v>16500</v>
      </c>
      <c r="M427">
        <v>38400</v>
      </c>
      <c r="O427">
        <v>20000</v>
      </c>
    </row>
    <row r="428" spans="1:15" x14ac:dyDescent="0.3">
      <c r="A428" s="141">
        <v>46067</v>
      </c>
      <c r="B428" t="s">
        <v>64</v>
      </c>
      <c r="C428" s="11">
        <v>45000</v>
      </c>
      <c r="D428" s="11"/>
      <c r="E428" t="s">
        <v>536</v>
      </c>
      <c r="F428" s="111" t="s">
        <v>108</v>
      </c>
      <c r="J428">
        <v>10000</v>
      </c>
      <c r="L428">
        <v>17500</v>
      </c>
      <c r="M428">
        <v>12300</v>
      </c>
      <c r="O428">
        <v>18300</v>
      </c>
    </row>
    <row r="429" spans="1:15" x14ac:dyDescent="0.3">
      <c r="A429" s="141">
        <v>46067</v>
      </c>
      <c r="B429" t="s">
        <v>94</v>
      </c>
      <c r="C429" s="11">
        <v>200040</v>
      </c>
      <c r="D429" s="11"/>
      <c r="E429" t="s">
        <v>537</v>
      </c>
      <c r="F429" s="111" t="s">
        <v>108</v>
      </c>
      <c r="J429">
        <v>80000</v>
      </c>
      <c r="L429">
        <v>17500</v>
      </c>
      <c r="M429">
        <v>17300</v>
      </c>
      <c r="O429">
        <v>15000</v>
      </c>
    </row>
    <row r="430" spans="1:15" x14ac:dyDescent="0.3">
      <c r="A430" s="141">
        <v>46068</v>
      </c>
      <c r="B430" t="s">
        <v>117</v>
      </c>
      <c r="C430" s="11">
        <v>78000</v>
      </c>
      <c r="D430" s="11"/>
      <c r="E430" t="s">
        <v>61</v>
      </c>
      <c r="F430" s="111" t="s">
        <v>108</v>
      </c>
      <c r="J430">
        <v>20000</v>
      </c>
      <c r="L430">
        <v>17500</v>
      </c>
      <c r="M430">
        <v>5100</v>
      </c>
      <c r="O430">
        <v>11000</v>
      </c>
    </row>
    <row r="431" spans="1:15" x14ac:dyDescent="0.3">
      <c r="A431" s="141">
        <v>46068</v>
      </c>
      <c r="B431" t="s">
        <v>222</v>
      </c>
      <c r="C431" s="11"/>
      <c r="D431" s="11">
        <v>78000</v>
      </c>
      <c r="E431" t="s">
        <v>61</v>
      </c>
      <c r="F431" s="111" t="s">
        <v>108</v>
      </c>
      <c r="L431">
        <v>3300</v>
      </c>
      <c r="M431">
        <v>8350</v>
      </c>
      <c r="O431">
        <v>35000</v>
      </c>
    </row>
    <row r="432" spans="1:15" x14ac:dyDescent="0.3">
      <c r="A432" s="141">
        <v>46068</v>
      </c>
      <c r="B432" t="s">
        <v>113</v>
      </c>
      <c r="C432" s="11">
        <v>7250</v>
      </c>
      <c r="D432" s="11"/>
      <c r="E432" s="1">
        <v>46068</v>
      </c>
      <c r="F432" s="111" t="s">
        <v>108</v>
      </c>
      <c r="L432">
        <v>5830</v>
      </c>
      <c r="M432">
        <v>9850</v>
      </c>
      <c r="O432">
        <v>7000</v>
      </c>
    </row>
    <row r="433" spans="1:15" x14ac:dyDescent="0.3">
      <c r="A433" s="141">
        <v>46068</v>
      </c>
      <c r="B433" t="s">
        <v>222</v>
      </c>
      <c r="C433" s="11"/>
      <c r="D433" s="11">
        <v>7250</v>
      </c>
      <c r="E433" t="s">
        <v>113</v>
      </c>
      <c r="F433" s="111" t="s">
        <v>108</v>
      </c>
      <c r="L433">
        <v>7000</v>
      </c>
      <c r="M433">
        <v>20000</v>
      </c>
      <c r="O433">
        <v>5850</v>
      </c>
    </row>
    <row r="434" spans="1:15" x14ac:dyDescent="0.3">
      <c r="A434" s="141">
        <v>46068</v>
      </c>
      <c r="B434" t="s">
        <v>262</v>
      </c>
      <c r="C434" s="11">
        <v>100500</v>
      </c>
      <c r="D434" s="11"/>
      <c r="E434" t="s">
        <v>538</v>
      </c>
      <c r="F434" s="111" t="s">
        <v>108</v>
      </c>
      <c r="L434">
        <v>5332</v>
      </c>
      <c r="O434">
        <v>3300</v>
      </c>
    </row>
    <row r="435" spans="1:15" x14ac:dyDescent="0.3">
      <c r="A435" s="141">
        <v>46068</v>
      </c>
      <c r="B435" s="142" t="s">
        <v>94</v>
      </c>
      <c r="C435" s="96">
        <v>54950</v>
      </c>
      <c r="D435" s="96"/>
      <c r="E435" s="142" t="s">
        <v>417</v>
      </c>
      <c r="F435" s="143" t="s">
        <v>108</v>
      </c>
      <c r="G435" s="142"/>
      <c r="L435">
        <v>35000</v>
      </c>
      <c r="O435">
        <v>17500</v>
      </c>
    </row>
    <row r="436" spans="1:15" x14ac:dyDescent="0.3">
      <c r="A436" s="141">
        <v>46068</v>
      </c>
      <c r="B436" t="s">
        <v>212</v>
      </c>
      <c r="C436" s="11"/>
      <c r="D436" s="11">
        <v>54940</v>
      </c>
      <c r="E436" t="s">
        <v>539</v>
      </c>
      <c r="F436" s="111" t="s">
        <v>108</v>
      </c>
      <c r="L436">
        <v>11000</v>
      </c>
      <c r="M436">
        <v>17000</v>
      </c>
      <c r="O436">
        <v>17500</v>
      </c>
    </row>
    <row r="437" spans="1:15" x14ac:dyDescent="0.3">
      <c r="A437" s="38"/>
      <c r="C437" s="14">
        <f>SUBTOTAL(109,Table14[Debit])</f>
        <v>21741571</v>
      </c>
      <c r="D437" s="14">
        <f>SUBTOTAL(109,Table14[Credit])</f>
        <v>21754881</v>
      </c>
      <c r="F437" s="54">
        <f>(Table14[[#Totals],[Credit]]-Table14[[#Totals],[Debit]])</f>
        <v>13310</v>
      </c>
      <c r="L437">
        <v>17460</v>
      </c>
      <c r="M437">
        <v>22000</v>
      </c>
      <c r="O437">
        <v>17500</v>
      </c>
    </row>
    <row r="438" spans="1:15" x14ac:dyDescent="0.3">
      <c r="L438">
        <v>11640</v>
      </c>
      <c r="O438">
        <v>16500</v>
      </c>
    </row>
    <row r="439" spans="1:15" x14ac:dyDescent="0.3">
      <c r="L439">
        <v>10800</v>
      </c>
      <c r="O439">
        <v>14300</v>
      </c>
    </row>
    <row r="440" spans="1:15" x14ac:dyDescent="0.3">
      <c r="L440">
        <v>17000</v>
      </c>
      <c r="O440">
        <v>15000</v>
      </c>
    </row>
    <row r="441" spans="1:15" x14ac:dyDescent="0.3">
      <c r="O441">
        <v>22650</v>
      </c>
    </row>
    <row r="442" spans="1:15" x14ac:dyDescent="0.3">
      <c r="O442">
        <v>20000</v>
      </c>
    </row>
    <row r="443" spans="1:15" x14ac:dyDescent="0.3">
      <c r="O443">
        <v>15600</v>
      </c>
    </row>
    <row r="444" spans="1:15" x14ac:dyDescent="0.3">
      <c r="O444">
        <v>15000</v>
      </c>
    </row>
    <row r="445" spans="1:15" x14ac:dyDescent="0.3">
      <c r="O445">
        <v>400</v>
      </c>
    </row>
    <row r="446" spans="1:15" x14ac:dyDescent="0.3">
      <c r="O446">
        <v>20000</v>
      </c>
    </row>
    <row r="447" spans="1:15" x14ac:dyDescent="0.3">
      <c r="O447">
        <v>30000</v>
      </c>
    </row>
    <row r="448" spans="1: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8" sqref="A1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L10" s="144"/>
      <c r="M10" s="144">
        <v>0</v>
      </c>
    </row>
    <row r="11" spans="1:14" x14ac:dyDescent="0.3">
      <c r="A11" s="1">
        <v>46058</v>
      </c>
      <c r="F11" t="s">
        <v>423</v>
      </c>
      <c r="G11">
        <f>SUMIFS(Table14[Debit], Table14[Date], Table8[[#This Row],[Date]], Table14[Party], Table8[[#This Row],[Party]])</f>
        <v>0</v>
      </c>
      <c r="H11">
        <f>Table8[[#This Row],[Price]]-Table8[[#This Row],[Paid]]</f>
        <v>0</v>
      </c>
      <c r="K11" s="26">
        <v>46044</v>
      </c>
      <c r="L11" s="144">
        <v>255000</v>
      </c>
      <c r="M11" s="144">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s="144">
        <v>159250</v>
      </c>
      <c r="M12" s="144">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s="144">
        <v>423000</v>
      </c>
      <c r="M13" s="144">
        <v>423000</v>
      </c>
    </row>
    <row r="14" spans="1:14" x14ac:dyDescent="0.3">
      <c r="A14" s="134">
        <v>46053</v>
      </c>
      <c r="B14" t="s">
        <v>64</v>
      </c>
      <c r="E14">
        <v>28750</v>
      </c>
      <c r="F14" t="s">
        <v>452</v>
      </c>
      <c r="G14">
        <f>SUMIFS(Table14[Debit], Table14[Date], Table8[[#This Row],[Date]], Table14[Party], Table8[[#This Row],[Party]])</f>
        <v>28750</v>
      </c>
      <c r="H14">
        <f>Table8[[#This Row],[Price]]-Table8[[#This Row],[Paid]]</f>
        <v>0</v>
      </c>
      <c r="K14" s="26">
        <v>46053</v>
      </c>
      <c r="L14" s="144">
        <v>115000</v>
      </c>
      <c r="M14" s="144">
        <v>86250</v>
      </c>
    </row>
    <row r="15" spans="1:14" x14ac:dyDescent="0.3">
      <c r="A15" s="134">
        <v>46067</v>
      </c>
      <c r="B15" t="s">
        <v>541</v>
      </c>
      <c r="E15">
        <v>24650</v>
      </c>
      <c r="F15" t="s">
        <v>176</v>
      </c>
      <c r="G15">
        <f>SUMIFS(Table14[Debit], Table14[Date], Table8[[#This Row],[Date]], Table14[Party], Table8[[#This Row],[Party]])</f>
        <v>24650</v>
      </c>
      <c r="H15">
        <f>Table8[[#This Row],[Price]]-Table8[[#This Row],[Paid]]</f>
        <v>0</v>
      </c>
      <c r="K15" s="26">
        <v>46056</v>
      </c>
      <c r="L15" s="144"/>
      <c r="M15" s="144">
        <v>0</v>
      </c>
    </row>
    <row r="16" spans="1:14" x14ac:dyDescent="0.3">
      <c r="A16" s="134">
        <v>46067</v>
      </c>
      <c r="B16" t="s">
        <v>542</v>
      </c>
      <c r="D16" s="144"/>
      <c r="E16">
        <v>155000</v>
      </c>
      <c r="F16" t="s">
        <v>64</v>
      </c>
      <c r="G16" s="144">
        <f>SUMIFS(Table14[Debit], Table14[Date], Table8[[#This Row],[Date]], Table14[Party], Table8[[#This Row],[Party]])</f>
        <v>155000</v>
      </c>
      <c r="H16" s="144">
        <f>Table8[[#This Row],[Price]]-Table8[[#This Row],[Paid]]</f>
        <v>0</v>
      </c>
      <c r="K16" s="4" t="s">
        <v>103</v>
      </c>
      <c r="L16" s="144"/>
      <c r="M16" s="144">
        <v>0</v>
      </c>
    </row>
    <row r="17" spans="1:13" x14ac:dyDescent="0.3">
      <c r="A17" s="134">
        <v>46067</v>
      </c>
      <c r="B17" t="s">
        <v>146</v>
      </c>
      <c r="D17" s="144"/>
      <c r="E17">
        <v>35000</v>
      </c>
      <c r="F17" t="s">
        <v>182</v>
      </c>
      <c r="G17" s="144">
        <f>SUMIFS(Table14[Debit], Table14[Date], Table8[[#This Row],[Date]], Table14[Party], Table8[[#This Row],[Party]])</f>
        <v>35000</v>
      </c>
      <c r="H17" s="144">
        <f>Table8[[#This Row],[Price]]-Table8[[#This Row],[Paid]]</f>
        <v>0</v>
      </c>
      <c r="K17" s="26">
        <v>46058</v>
      </c>
      <c r="L17" s="144"/>
      <c r="M17" s="144">
        <v>0</v>
      </c>
    </row>
    <row r="18" spans="1:13" x14ac:dyDescent="0.3">
      <c r="D18" s="144"/>
      <c r="G18" s="144">
        <f>SUMIFS(Table14[Debit], Table14[Date], Table8[[#This Row],[Date]], Table14[Party], Table8[[#This Row],[Party]])</f>
        <v>0</v>
      </c>
      <c r="H18" s="144">
        <f>Table8[[#This Row],[Price]]-Table8[[#This Row],[Paid]]</f>
        <v>0</v>
      </c>
      <c r="K18" s="26">
        <v>46060</v>
      </c>
      <c r="L18" s="144">
        <v>15000</v>
      </c>
      <c r="M18" s="144">
        <v>0</v>
      </c>
    </row>
    <row r="19" spans="1:13" x14ac:dyDescent="0.3">
      <c r="D19" s="144"/>
      <c r="G19" s="144">
        <f>SUMIFS(Table14[Debit], Table14[Date], Table8[[#This Row],[Date]], Table14[Party], Table8[[#This Row],[Party]])</f>
        <v>0</v>
      </c>
      <c r="H19" s="144">
        <f>Table8[[#This Row],[Price]]-Table8[[#This Row],[Paid]]</f>
        <v>0</v>
      </c>
      <c r="K19" s="26">
        <v>46062</v>
      </c>
      <c r="L19" s="144">
        <v>122500</v>
      </c>
      <c r="M19" s="144">
        <v>0</v>
      </c>
    </row>
    <row r="20" spans="1:13" x14ac:dyDescent="0.3">
      <c r="E20">
        <f>SUBTOTAL(109,Table8[Price])</f>
        <v>1304400</v>
      </c>
      <c r="H20">
        <f>SUBTOTAL(109,Table8[Balance])</f>
        <v>764250</v>
      </c>
      <c r="K20" s="26">
        <v>46067</v>
      </c>
      <c r="L20" s="144">
        <v>214650</v>
      </c>
      <c r="M20" s="144">
        <v>0</v>
      </c>
    </row>
    <row r="21" spans="1:13" x14ac:dyDescent="0.3">
      <c r="K21" s="4" t="s">
        <v>28</v>
      </c>
      <c r="L21" s="144">
        <v>1304400</v>
      </c>
      <c r="M21" s="144">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44">
        <v>0</v>
      </c>
      <c r="L5" s="144">
        <v>0</v>
      </c>
      <c r="M5" s="144">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44">
        <v>0</v>
      </c>
      <c r="L6" s="144">
        <v>50000</v>
      </c>
      <c r="M6" s="144">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44">
        <v>98400</v>
      </c>
      <c r="L7" s="144">
        <v>98400</v>
      </c>
      <c r="M7" s="144">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44">
        <v>240000</v>
      </c>
      <c r="L8" s="144">
        <v>120000</v>
      </c>
      <c r="M8" s="144">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44">
        <v>351000</v>
      </c>
      <c r="L9" s="144">
        <v>0</v>
      </c>
      <c r="M9" s="144">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44">
        <v>49200</v>
      </c>
      <c r="L10" s="144">
        <v>49200</v>
      </c>
      <c r="M10" s="144">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44"/>
      <c r="L11" s="144">
        <v>0</v>
      </c>
      <c r="M11" s="144">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44">
        <v>738600</v>
      </c>
      <c r="L12" s="144">
        <v>317600</v>
      </c>
      <c r="M12" s="144">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317600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2115556</v>
      </c>
      <c r="C2" s="32">
        <f>GETPIVOTDATA("Sum of Tiyaar/gaz",$A$3)</f>
        <v>1783571</v>
      </c>
      <c r="D2" s="31">
        <f>((B2*48)+((C2/1.0936)*10))/C2</f>
        <v>66.07859151305216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2037</v>
      </c>
      <c r="B8" s="14">
        <v>14961</v>
      </c>
      <c r="C8" s="14">
        <v>1686</v>
      </c>
      <c r="D8" s="28">
        <f t="shared" si="1"/>
        <v>435.08005425289031</v>
      </c>
      <c r="E8" s="11">
        <f t="shared" si="2"/>
        <v>16361.349599999998</v>
      </c>
      <c r="F8" s="11">
        <f t="shared" si="0"/>
        <v>1686</v>
      </c>
      <c r="G8" s="78">
        <f t="shared" si="4"/>
        <v>89.695226608934504</v>
      </c>
      <c r="H8" s="28">
        <f t="shared" si="3"/>
        <v>1541.697147037308</v>
      </c>
      <c r="I8" s="28">
        <f t="shared" ref="I8:I38" si="5">((B8*48)+(H8*10))/C8</f>
        <v>435.08005425289031</v>
      </c>
      <c r="J8" s="28"/>
      <c r="K8" s="28"/>
      <c r="L8" s="28"/>
    </row>
    <row r="9" spans="1:12" x14ac:dyDescent="0.3">
      <c r="A9" s="16">
        <v>2026</v>
      </c>
      <c r="B9" s="14">
        <v>70035</v>
      </c>
      <c r="C9" s="14">
        <v>8408</v>
      </c>
      <c r="D9" s="28">
        <f t="shared" si="1"/>
        <v>408.96333098306764</v>
      </c>
      <c r="E9" s="11">
        <f t="shared" si="2"/>
        <v>76590.275999999998</v>
      </c>
      <c r="F9" s="11">
        <f t="shared" si="0"/>
        <v>8408</v>
      </c>
      <c r="G9" s="78">
        <f t="shared" si="4"/>
        <v>89.022105103786288</v>
      </c>
      <c r="H9" s="28">
        <f t="shared" si="3"/>
        <v>7688.3686905632776</v>
      </c>
      <c r="I9" s="28">
        <f t="shared" si="5"/>
        <v>408.96333098306764</v>
      </c>
      <c r="J9" s="28"/>
      <c r="K9" s="28"/>
      <c r="L9" s="28"/>
    </row>
    <row r="10" spans="1:12" x14ac:dyDescent="0.3">
      <c r="A10" s="16">
        <v>2012</v>
      </c>
      <c r="B10" s="14">
        <v>28546</v>
      </c>
      <c r="C10" s="14">
        <v>15267</v>
      </c>
      <c r="D10" s="28">
        <f t="shared" si="1"/>
        <v>98.893767313437493</v>
      </c>
      <c r="E10" s="11">
        <f t="shared" si="2"/>
        <v>31217.905599999998</v>
      </c>
      <c r="F10" s="11">
        <f t="shared" si="0"/>
        <v>15267</v>
      </c>
      <c r="G10" s="78">
        <f t="shared" si="4"/>
        <v>51.095373931811743</v>
      </c>
      <c r="H10" s="28">
        <f t="shared" si="3"/>
        <v>13960.314557425019</v>
      </c>
      <c r="I10" s="28">
        <f t="shared" si="5"/>
        <v>98.893767313437493</v>
      </c>
      <c r="J10" s="28"/>
      <c r="K10" s="28"/>
      <c r="L10" s="28"/>
    </row>
    <row r="11" spans="1:12" x14ac:dyDescent="0.3">
      <c r="A11" s="16">
        <v>2039</v>
      </c>
      <c r="B11" s="14">
        <v>31746</v>
      </c>
      <c r="C11" s="14">
        <v>15139</v>
      </c>
      <c r="D11" s="28"/>
      <c r="E11" s="11">
        <f t="shared" si="2"/>
        <v>34717.425599999995</v>
      </c>
      <c r="F11" s="11">
        <f t="shared" si="0"/>
        <v>15139</v>
      </c>
      <c r="G11" s="78">
        <f t="shared" si="4"/>
        <v>56.393656101044535</v>
      </c>
      <c r="H11" s="28">
        <f t="shared" si="3"/>
        <v>13843.269934162401</v>
      </c>
      <c r="I11" s="28">
        <f t="shared" si="5"/>
        <v>109.79857978344832</v>
      </c>
      <c r="J11" s="28"/>
      <c r="K11" s="28"/>
      <c r="L11" s="28"/>
    </row>
    <row r="12" spans="1:12" x14ac:dyDescent="0.3">
      <c r="A12" s="16">
        <v>2023</v>
      </c>
      <c r="B12" s="14">
        <v>20503</v>
      </c>
      <c r="C12" s="14">
        <v>10968</v>
      </c>
      <c r="D12" s="28">
        <f t="shared" si="1"/>
        <v>98.872776400269558</v>
      </c>
      <c r="E12" s="11">
        <f t="shared" si="2"/>
        <v>22422.0808</v>
      </c>
      <c r="F12" s="11">
        <f t="shared" si="0"/>
        <v>10968</v>
      </c>
      <c r="G12" s="78">
        <f t="shared" si="4"/>
        <v>51.083933298465325</v>
      </c>
      <c r="H12" s="28">
        <f t="shared" si="3"/>
        <v>10029.261155815655</v>
      </c>
      <c r="I12" s="28">
        <f t="shared" si="5"/>
        <v>98.872776400269558</v>
      </c>
    </row>
    <row r="13" spans="1:12" x14ac:dyDescent="0.3">
      <c r="A13" s="16" t="s">
        <v>220</v>
      </c>
      <c r="B13" s="14">
        <v>57352</v>
      </c>
      <c r="C13" s="14">
        <v>46886</v>
      </c>
      <c r="D13" s="28">
        <f t="shared" si="1"/>
        <v>67.858780816586957</v>
      </c>
      <c r="E13" s="11">
        <f t="shared" si="2"/>
        <v>62720.147199999992</v>
      </c>
      <c r="F13" s="11">
        <f t="shared" si="0"/>
        <v>46886</v>
      </c>
      <c r="G13" s="78">
        <f t="shared" si="4"/>
        <v>25.245711158024818</v>
      </c>
      <c r="H13" s="28">
        <f t="shared" si="3"/>
        <v>42873.079736649604</v>
      </c>
      <c r="I13" s="28">
        <f t="shared" si="5"/>
        <v>67.858780816586957</v>
      </c>
    </row>
    <row r="14" spans="1:12" x14ac:dyDescent="0.3">
      <c r="A14" s="16">
        <v>2024</v>
      </c>
      <c r="B14" s="14">
        <v>16895</v>
      </c>
      <c r="C14" s="14">
        <v>18197</v>
      </c>
      <c r="D14" s="28">
        <f t="shared" si="1"/>
        <v>53.709698926634012</v>
      </c>
      <c r="E14" s="11">
        <f t="shared" si="2"/>
        <v>18476.371999999999</v>
      </c>
      <c r="F14" s="11">
        <f t="shared" si="0"/>
        <v>18197</v>
      </c>
      <c r="G14" s="78">
        <f t="shared" si="4"/>
        <v>1.5120500929511422</v>
      </c>
      <c r="H14" s="28">
        <f t="shared" si="3"/>
        <v>16639.539136795906</v>
      </c>
      <c r="I14" s="28">
        <f t="shared" si="5"/>
        <v>53.709698926634012</v>
      </c>
    </row>
    <row r="15" spans="1:12" x14ac:dyDescent="0.3">
      <c r="A15" s="16">
        <v>2025</v>
      </c>
      <c r="B15" s="14">
        <v>6991</v>
      </c>
      <c r="C15" s="14">
        <v>7531</v>
      </c>
      <c r="D15" s="28">
        <f t="shared" si="1"/>
        <v>53.702337191595397</v>
      </c>
      <c r="E15" s="11">
        <f>B15 * 1.0936</f>
        <v>7645.3575999999994</v>
      </c>
      <c r="F15" s="11">
        <f t="shared" si="0"/>
        <v>7531</v>
      </c>
      <c r="G15" s="78">
        <f t="shared" si="4"/>
        <v>1.4957783008083112</v>
      </c>
      <c r="H15" s="28">
        <f t="shared" si="3"/>
        <v>6886.4301389904904</v>
      </c>
      <c r="I15" s="28">
        <f>((B15*48)+(H15*10))/C15</f>
        <v>53.702337191595397</v>
      </c>
    </row>
    <row r="16" spans="1:12" x14ac:dyDescent="0.3">
      <c r="A16" s="16">
        <v>2041</v>
      </c>
      <c r="B16" s="14">
        <v>50350</v>
      </c>
      <c r="C16" s="14">
        <v>54214</v>
      </c>
      <c r="D16" s="28">
        <f t="shared" si="1"/>
        <v>53.723002253741562</v>
      </c>
      <c r="E16" s="11">
        <f t="shared" si="2"/>
        <v>55062.759999999995</v>
      </c>
      <c r="F16" s="11">
        <f t="shared" si="0"/>
        <v>54214</v>
      </c>
      <c r="G16" s="78">
        <f t="shared" si="4"/>
        <v>1.5414410756017247</v>
      </c>
      <c r="H16" s="28">
        <f t="shared" si="3"/>
        <v>49573.884418434529</v>
      </c>
      <c r="I16" s="28">
        <f>((B16*48)+(H16*10))/C16</f>
        <v>53.723002253741562</v>
      </c>
    </row>
    <row r="17" spans="1:9" x14ac:dyDescent="0.3">
      <c r="A17" s="16">
        <v>2035</v>
      </c>
      <c r="B17" s="14">
        <v>61388</v>
      </c>
      <c r="C17" s="14">
        <v>9698</v>
      </c>
      <c r="D17" s="28">
        <f t="shared" si="1"/>
        <v>312.98242837119187</v>
      </c>
      <c r="E17" s="11">
        <f t="shared" si="2"/>
        <v>67133.916799999992</v>
      </c>
      <c r="F17" s="11">
        <f t="shared" si="0"/>
        <v>9698</v>
      </c>
      <c r="G17" s="78">
        <f t="shared" si="4"/>
        <v>85.554246702316647</v>
      </c>
      <c r="H17" s="28">
        <f t="shared" si="3"/>
        <v>8867.9590343818581</v>
      </c>
      <c r="I17" s="28">
        <f>((B17*48)+(H17*10))/C17</f>
        <v>312.98242837119187</v>
      </c>
    </row>
    <row r="18" spans="1:9" x14ac:dyDescent="0.3">
      <c r="A18" s="16">
        <v>2040</v>
      </c>
      <c r="B18" s="14">
        <v>13976</v>
      </c>
      <c r="C18" s="14">
        <v>4368</v>
      </c>
      <c r="D18" s="28">
        <f t="shared" si="1"/>
        <v>162.72652877480968</v>
      </c>
      <c r="E18" s="11">
        <f t="shared" si="2"/>
        <v>15284.153599999998</v>
      </c>
      <c r="F18" s="11">
        <f t="shared" si="0"/>
        <v>4368</v>
      </c>
      <c r="G18" s="78">
        <f t="shared" si="4"/>
        <v>71.421381161728178</v>
      </c>
      <c r="H18" s="28">
        <f t="shared" si="3"/>
        <v>3994.1477688368695</v>
      </c>
      <c r="I18" s="28">
        <f>((B18*48)+(H18*10))/C18</f>
        <v>162.72652877480968</v>
      </c>
    </row>
    <row r="19" spans="1:9" x14ac:dyDescent="0.3">
      <c r="A19" s="16">
        <v>2020</v>
      </c>
      <c r="B19" s="14">
        <v>22557</v>
      </c>
      <c r="C19" s="14">
        <v>24649</v>
      </c>
      <c r="D19" s="28">
        <f t="shared" si="1"/>
        <v>53.070274525590207</v>
      </c>
      <c r="E19" s="11">
        <f t="shared" si="2"/>
        <v>24668.335199999998</v>
      </c>
      <c r="F19" s="11">
        <f t="shared" si="0"/>
        <v>24649</v>
      </c>
      <c r="G19" s="78">
        <f t="shared" ref="G19:G38" si="6">100- (F19/E19 *100)</f>
        <v>7.8380644024960588E-2</v>
      </c>
      <c r="H19" s="28">
        <f t="shared" si="3"/>
        <v>22539.319678127289</v>
      </c>
      <c r="I19" s="28">
        <f t="shared" si="5"/>
        <v>53.070274525590207</v>
      </c>
    </row>
    <row r="20" spans="1:9" x14ac:dyDescent="0.3">
      <c r="A20" s="16">
        <v>2034</v>
      </c>
      <c r="B20" s="14">
        <v>50630</v>
      </c>
      <c r="C20" s="14">
        <v>54174</v>
      </c>
      <c r="D20" s="28">
        <f t="shared" si="1"/>
        <v>54.004007083409931</v>
      </c>
      <c r="E20" s="11">
        <f>B20 * 1.0936</f>
        <v>55368.967999999993</v>
      </c>
      <c r="F20" s="11">
        <f t="shared" si="0"/>
        <v>54174</v>
      </c>
      <c r="G20" s="78">
        <f t="shared" si="6"/>
        <v>2.1581908479854519</v>
      </c>
      <c r="H20" s="28">
        <f t="shared" si="3"/>
        <v>49537.307973664967</v>
      </c>
      <c r="I20" s="28">
        <f t="shared" si="5"/>
        <v>54.004007083409931</v>
      </c>
    </row>
    <row r="21" spans="1:9" x14ac:dyDescent="0.3">
      <c r="A21" s="16">
        <v>2046</v>
      </c>
      <c r="B21" s="14">
        <v>100417</v>
      </c>
      <c r="C21" s="14">
        <v>6704</v>
      </c>
      <c r="D21" s="28">
        <f t="shared" si="1"/>
        <v>728.1202448439434</v>
      </c>
      <c r="E21" s="11">
        <f t="shared" si="2"/>
        <v>109816.0312</v>
      </c>
      <c r="F21" s="11">
        <f t="shared" si="0"/>
        <v>6704</v>
      </c>
      <c r="G21" s="78">
        <f t="shared" si="6"/>
        <v>93.895244686278559</v>
      </c>
      <c r="H21" s="28">
        <f t="shared" si="3"/>
        <v>6130.2121433796638</v>
      </c>
      <c r="I21" s="28">
        <f t="shared" si="5"/>
        <v>728.1202448439434</v>
      </c>
    </row>
    <row r="22" spans="1:9" x14ac:dyDescent="0.3">
      <c r="A22" s="16">
        <v>2033</v>
      </c>
      <c r="B22" s="14">
        <v>26970</v>
      </c>
      <c r="C22" s="14">
        <v>29067</v>
      </c>
      <c r="D22" s="28">
        <f t="shared" si="1"/>
        <v>53.681215124686453</v>
      </c>
      <c r="E22" s="11">
        <f t="shared" si="2"/>
        <v>29494.391999999996</v>
      </c>
      <c r="F22" s="11">
        <f t="shared" si="0"/>
        <v>29067</v>
      </c>
      <c r="G22" s="78">
        <f t="shared" si="6"/>
        <v>1.4490619098030351</v>
      </c>
      <c r="H22" s="28">
        <f t="shared" si="3"/>
        <v>26579.188002926119</v>
      </c>
      <c r="I22" s="28">
        <f t="shared" si="5"/>
        <v>53.681215124686453</v>
      </c>
    </row>
    <row r="23" spans="1:9" x14ac:dyDescent="0.3">
      <c r="A23" s="16">
        <v>2032</v>
      </c>
      <c r="B23" s="14">
        <v>25205</v>
      </c>
      <c r="C23" s="14">
        <v>27004</v>
      </c>
      <c r="D23" s="28">
        <f t="shared" si="1"/>
        <v>53.94636271068569</v>
      </c>
      <c r="E23" s="11">
        <f t="shared" si="2"/>
        <v>27564.187999999998</v>
      </c>
      <c r="F23" s="11">
        <f t="shared" si="0"/>
        <v>27004</v>
      </c>
      <c r="G23" s="78">
        <f t="shared" si="6"/>
        <v>2.0323036542923063</v>
      </c>
      <c r="H23" s="28">
        <f t="shared" si="3"/>
        <v>24692.757863935629</v>
      </c>
      <c r="I23" s="28">
        <f t="shared" si="5"/>
        <v>53.94636271068569</v>
      </c>
    </row>
    <row r="24" spans="1:9" x14ac:dyDescent="0.3">
      <c r="A24" s="16">
        <v>2021</v>
      </c>
      <c r="B24" s="14">
        <v>24970</v>
      </c>
      <c r="C24" s="14">
        <v>26890</v>
      </c>
      <c r="D24" s="28">
        <f t="shared" si="1"/>
        <v>53.716814799681053</v>
      </c>
      <c r="E24" s="11">
        <f t="shared" si="2"/>
        <v>27307.191999999999</v>
      </c>
      <c r="F24" s="11">
        <f t="shared" si="0"/>
        <v>26890</v>
      </c>
      <c r="G24" s="78">
        <f t="shared" si="6"/>
        <v>1.5277733426417512</v>
      </c>
      <c r="H24" s="28">
        <f t="shared" si="3"/>
        <v>24588.514996342357</v>
      </c>
      <c r="I24" s="28">
        <f t="shared" si="5"/>
        <v>53.716814799681053</v>
      </c>
    </row>
    <row r="25" spans="1:9" x14ac:dyDescent="0.3">
      <c r="A25" s="16">
        <v>2052</v>
      </c>
      <c r="B25" s="14">
        <v>72275</v>
      </c>
      <c r="C25" s="14">
        <v>77643</v>
      </c>
      <c r="D25" s="28">
        <f t="shared" si="1"/>
        <v>53.825537721506123</v>
      </c>
      <c r="E25" s="11">
        <f t="shared" si="2"/>
        <v>79039.939999999988</v>
      </c>
      <c r="F25" s="11">
        <f t="shared" si="0"/>
        <v>77643</v>
      </c>
      <c r="G25" s="78">
        <f t="shared" si="6"/>
        <v>1.7673849448772216</v>
      </c>
      <c r="H25" s="28">
        <f t="shared" si="3"/>
        <v>70997.62253108999</v>
      </c>
      <c r="I25" s="28">
        <f t="shared" si="5"/>
        <v>53.825537721506123</v>
      </c>
    </row>
    <row r="26" spans="1:9" x14ac:dyDescent="0.3">
      <c r="A26" s="16" t="s">
        <v>304</v>
      </c>
      <c r="B26" s="14">
        <v>61388</v>
      </c>
      <c r="C26" s="14">
        <v>53292</v>
      </c>
      <c r="D26" s="28">
        <f t="shared" si="1"/>
        <v>64.436162532180433</v>
      </c>
      <c r="E26" s="11">
        <f t="shared" si="2"/>
        <v>67133.916799999992</v>
      </c>
      <c r="F26" s="11">
        <f t="shared" si="0"/>
        <v>53292</v>
      </c>
      <c r="G26" s="78">
        <f t="shared" si="6"/>
        <v>20.618366184765776</v>
      </c>
      <c r="H26" s="28">
        <f t="shared" si="3"/>
        <v>48730.797366495979</v>
      </c>
      <c r="I26" s="28">
        <f t="shared" si="5"/>
        <v>64.436162532180433</v>
      </c>
    </row>
    <row r="27" spans="1:9" x14ac:dyDescent="0.3">
      <c r="A27" s="16">
        <v>2015</v>
      </c>
      <c r="B27" s="14">
        <v>29087</v>
      </c>
      <c r="C27" s="14">
        <v>31183</v>
      </c>
      <c r="D27" s="28">
        <f t="shared" si="1"/>
        <v>53.917737847941602</v>
      </c>
      <c r="E27" s="11">
        <f t="shared" si="2"/>
        <v>31809.543199999996</v>
      </c>
      <c r="F27" s="11">
        <f t="shared" si="0"/>
        <v>31183</v>
      </c>
      <c r="G27" s="78">
        <f t="shared" si="6"/>
        <v>1.969670535853524</v>
      </c>
      <c r="H27" s="28">
        <f t="shared" si="3"/>
        <v>28514.081931236287</v>
      </c>
      <c r="I27" s="28">
        <f t="shared" si="5"/>
        <v>53.917737847941602</v>
      </c>
    </row>
    <row r="28" spans="1:9" x14ac:dyDescent="0.3">
      <c r="A28" s="16">
        <v>2061</v>
      </c>
      <c r="B28" s="14">
        <v>9163</v>
      </c>
      <c r="C28" s="14">
        <v>8404</v>
      </c>
      <c r="D28" s="28">
        <f t="shared" si="1"/>
        <v>61.479189726423513</v>
      </c>
      <c r="E28" s="11">
        <f t="shared" si="2"/>
        <v>10020.656799999999</v>
      </c>
      <c r="F28" s="11">
        <f t="shared" si="0"/>
        <v>8404</v>
      </c>
      <c r="G28" s="78">
        <f t="shared" si="6"/>
        <v>16.133241884903185</v>
      </c>
      <c r="H28" s="28">
        <f t="shared" si="3"/>
        <v>7684.7110460863214</v>
      </c>
      <c r="I28" s="28">
        <f t="shared" si="5"/>
        <v>61.479189726423513</v>
      </c>
    </row>
    <row r="29" spans="1:9" x14ac:dyDescent="0.3">
      <c r="A29" s="16">
        <v>1978</v>
      </c>
      <c r="B29" s="14">
        <v>15801</v>
      </c>
      <c r="C29" s="14">
        <v>16020</v>
      </c>
      <c r="D29" s="28">
        <f t="shared" si="1"/>
        <v>56.487931417111206</v>
      </c>
      <c r="E29" s="11">
        <f t="shared" si="2"/>
        <v>17279.973599999998</v>
      </c>
      <c r="F29" s="11">
        <f t="shared" si="0"/>
        <v>16020</v>
      </c>
      <c r="G29" s="78">
        <f t="shared" si="6"/>
        <v>7.2915250287187803</v>
      </c>
      <c r="H29" s="28">
        <f t="shared" si="3"/>
        <v>14648.866130212145</v>
      </c>
      <c r="I29" s="28">
        <f t="shared" si="5"/>
        <v>56.487931417111206</v>
      </c>
    </row>
    <row r="30" spans="1:9" x14ac:dyDescent="0.3">
      <c r="A30" s="16">
        <v>2043</v>
      </c>
      <c r="B30" s="14">
        <v>10156</v>
      </c>
      <c r="C30" s="14">
        <v>10772</v>
      </c>
      <c r="D30" s="28">
        <f t="shared" si="1"/>
        <v>54.399217022321551</v>
      </c>
      <c r="E30" s="11">
        <f t="shared" si="2"/>
        <v>11106.601599999998</v>
      </c>
      <c r="F30" s="11">
        <f t="shared" si="0"/>
        <v>10772</v>
      </c>
      <c r="G30" s="78">
        <f t="shared" si="6"/>
        <v>3.0126370968415586</v>
      </c>
      <c r="H30" s="28">
        <f t="shared" si="3"/>
        <v>9850.0365764447706</v>
      </c>
      <c r="I30" s="28">
        <f t="shared" si="5"/>
        <v>54.399217022321551</v>
      </c>
    </row>
    <row r="31" spans="1:9" x14ac:dyDescent="0.3">
      <c r="A31" s="16">
        <v>2044</v>
      </c>
      <c r="B31" s="14">
        <v>18250</v>
      </c>
      <c r="C31" s="14">
        <v>19489</v>
      </c>
      <c r="D31" s="28">
        <f t="shared" si="1"/>
        <v>54.09254364146593</v>
      </c>
      <c r="E31" s="11">
        <f t="shared" si="2"/>
        <v>19958.199999999997</v>
      </c>
      <c r="F31" s="11">
        <f t="shared" si="0"/>
        <v>19489</v>
      </c>
      <c r="G31" s="78">
        <f t="shared" si="6"/>
        <v>2.3509134090248409</v>
      </c>
      <c r="H31" s="28">
        <f t="shared" si="3"/>
        <v>17820.958302852963</v>
      </c>
      <c r="I31" s="28">
        <f t="shared" si="5"/>
        <v>54.09254364146593</v>
      </c>
    </row>
    <row r="32" spans="1:9" x14ac:dyDescent="0.3">
      <c r="A32" s="16">
        <v>2050</v>
      </c>
      <c r="B32" s="14">
        <v>22555</v>
      </c>
      <c r="C32" s="14">
        <v>23930</v>
      </c>
      <c r="D32" s="28">
        <f t="shared" si="1"/>
        <v>54.386066896529165</v>
      </c>
      <c r="E32" s="11">
        <f t="shared" si="2"/>
        <v>24666.147999999997</v>
      </c>
      <c r="F32" s="11">
        <f t="shared" si="0"/>
        <v>23930</v>
      </c>
      <c r="G32" s="78">
        <f t="shared" si="6"/>
        <v>2.9844465378217819</v>
      </c>
      <c r="H32" s="28">
        <f t="shared" si="3"/>
        <v>21881.858083394294</v>
      </c>
      <c r="I32" s="28">
        <f t="shared" si="5"/>
        <v>54.386066896529165</v>
      </c>
    </row>
    <row r="33" spans="1:9" x14ac:dyDescent="0.3">
      <c r="A33" s="16">
        <v>2059</v>
      </c>
      <c r="B33" s="14">
        <v>2825</v>
      </c>
      <c r="C33" s="14">
        <v>3025</v>
      </c>
      <c r="D33" s="28">
        <f t="shared" ref="D33:D37" si="7">I33</f>
        <v>53.970557473383842</v>
      </c>
      <c r="E33" s="11">
        <f t="shared" ref="E33:E37" si="8">B33 * 1.0936</f>
        <v>3089.4199999999996</v>
      </c>
      <c r="F33" s="11">
        <f t="shared" ref="F33:F37" si="9">C33</f>
        <v>3025</v>
      </c>
      <c r="G33" s="78">
        <f t="shared" ref="G33:G37" si="10">100- (F33/E33 *100)</f>
        <v>2.0851810372173247</v>
      </c>
      <c r="H33" s="28">
        <f t="shared" ref="H33:H37" si="11">F33/1.0936</f>
        <v>2766.0936356986103</v>
      </c>
      <c r="I33" s="28">
        <f t="shared" ref="I33:I37" si="12">((B33*48)+(H33*10))/C33</f>
        <v>53.970557473383842</v>
      </c>
    </row>
    <row r="34" spans="1:9" x14ac:dyDescent="0.3">
      <c r="A34" s="16">
        <v>2051</v>
      </c>
      <c r="B34" s="14">
        <v>24771</v>
      </c>
      <c r="C34" s="14">
        <v>26201</v>
      </c>
      <c r="D34" s="28">
        <f t="shared" si="7"/>
        <v>54.52436385450423</v>
      </c>
      <c r="E34" s="11">
        <f t="shared" si="8"/>
        <v>27089.565599999998</v>
      </c>
      <c r="F34" s="11">
        <f t="shared" si="9"/>
        <v>26201</v>
      </c>
      <c r="G34" s="78">
        <f t="shared" si="10"/>
        <v>3.2801028009101714</v>
      </c>
      <c r="H34" s="28">
        <f t="shared" si="11"/>
        <v>23958.485735186543</v>
      </c>
      <c r="I34" s="28">
        <f t="shared" si="12"/>
        <v>54.52436385450423</v>
      </c>
    </row>
    <row r="35" spans="1:9" x14ac:dyDescent="0.3">
      <c r="A35" s="16" t="s">
        <v>336</v>
      </c>
      <c r="B35" s="14">
        <v>20829</v>
      </c>
      <c r="C35" s="14">
        <v>21454</v>
      </c>
      <c r="D35" s="28">
        <f t="shared" si="7"/>
        <v>55.745770556613223</v>
      </c>
      <c r="E35" s="11">
        <f t="shared" si="8"/>
        <v>22778.594399999998</v>
      </c>
      <c r="F35" s="11">
        <f t="shared" si="9"/>
        <v>21454</v>
      </c>
      <c r="G35" s="78">
        <f t="shared" si="10"/>
        <v>5.8150840071150185</v>
      </c>
      <c r="H35" s="28">
        <f t="shared" si="11"/>
        <v>19617.776152158011</v>
      </c>
      <c r="I35" s="28">
        <f t="shared" si="12"/>
        <v>55.745770556613223</v>
      </c>
    </row>
    <row r="36" spans="1:9" x14ac:dyDescent="0.3">
      <c r="A36" s="16">
        <v>2042</v>
      </c>
      <c r="B36" s="14">
        <v>38203</v>
      </c>
      <c r="C36" s="14">
        <v>40953</v>
      </c>
      <c r="D36" s="28">
        <f t="shared" si="7"/>
        <v>53.920904101336497</v>
      </c>
      <c r="E36" s="11">
        <f t="shared" si="8"/>
        <v>41778.800799999997</v>
      </c>
      <c r="F36" s="11">
        <f t="shared" si="9"/>
        <v>40953</v>
      </c>
      <c r="G36" s="78">
        <f t="shared" si="10"/>
        <v>1.9766024495370402</v>
      </c>
      <c r="H36" s="28">
        <f t="shared" si="11"/>
        <v>37447.87856620337</v>
      </c>
      <c r="I36" s="28">
        <f t="shared" si="12"/>
        <v>53.920904101336497</v>
      </c>
    </row>
    <row r="37" spans="1:9" x14ac:dyDescent="0.3">
      <c r="A37" s="16">
        <v>2036</v>
      </c>
      <c r="B37" s="14">
        <v>19708</v>
      </c>
      <c r="C37" s="14">
        <v>21060</v>
      </c>
      <c r="D37" s="28">
        <f t="shared" si="7"/>
        <v>54.06262971091062</v>
      </c>
      <c r="E37" s="11">
        <f t="shared" si="8"/>
        <v>21552.668799999999</v>
      </c>
      <c r="F37" s="11">
        <f t="shared" si="9"/>
        <v>21060</v>
      </c>
      <c r="G37" s="78">
        <f t="shared" si="10"/>
        <v>2.2858830364432663</v>
      </c>
      <c r="H37" s="28">
        <f t="shared" si="11"/>
        <v>19257.498171177762</v>
      </c>
      <c r="I37" s="28">
        <f t="shared" si="12"/>
        <v>54.06262971091062</v>
      </c>
    </row>
    <row r="38" spans="1:9" x14ac:dyDescent="0.3">
      <c r="A38" s="16">
        <v>2057</v>
      </c>
      <c r="B38" s="14">
        <v>51107</v>
      </c>
      <c r="C38" s="14">
        <v>54438</v>
      </c>
      <c r="D38" s="28">
        <f t="shared" si="1"/>
        <v>54.207045172332577</v>
      </c>
      <c r="E38" s="11">
        <f t="shared" si="2"/>
        <v>55890.615199999993</v>
      </c>
      <c r="F38" s="11">
        <f t="shared" si="0"/>
        <v>54438</v>
      </c>
      <c r="G38" s="78">
        <f t="shared" si="6"/>
        <v>2.5990324042809902</v>
      </c>
      <c r="H38" s="28">
        <f t="shared" si="3"/>
        <v>49778.712509144112</v>
      </c>
      <c r="I38" s="28">
        <f t="shared" si="5"/>
        <v>54.207045172332577</v>
      </c>
    </row>
    <row r="39" spans="1:9" x14ac:dyDescent="0.3">
      <c r="A39" s="16">
        <v>2056</v>
      </c>
      <c r="B39" s="14">
        <v>25068</v>
      </c>
      <c r="C39" s="14">
        <v>26732</v>
      </c>
      <c r="D39" s="28">
        <f t="shared" ref="D39:D44" si="13">I39</f>
        <v>54.156231497644235</v>
      </c>
      <c r="E39" s="11">
        <f t="shared" ref="E39:E44" si="14">B39 * 1.0936</f>
        <v>27414.364799999999</v>
      </c>
      <c r="F39" s="11">
        <f t="shared" ref="F39:F44" si="15">C39</f>
        <v>26732</v>
      </c>
      <c r="G39" s="78">
        <f t="shared" ref="G39:G44" si="16">100- (F39/E39 *100)</f>
        <v>2.4890775510508973</v>
      </c>
      <c r="H39" s="28">
        <f t="shared" ref="H39:H44" si="17">F39/1.0936</f>
        <v>24444.038039502564</v>
      </c>
      <c r="I39" s="28">
        <f t="shared" ref="I39:I44" si="18">((B39*48)+(H39*10))/C39</f>
        <v>54.156231497644235</v>
      </c>
    </row>
    <row r="40" spans="1:9" x14ac:dyDescent="0.3">
      <c r="A40" s="16">
        <v>2065</v>
      </c>
      <c r="B40" s="14">
        <v>49937</v>
      </c>
      <c r="C40" s="14">
        <v>52623</v>
      </c>
      <c r="D40" s="28">
        <f t="shared" si="13"/>
        <v>54.694079837281215</v>
      </c>
      <c r="E40" s="11">
        <f t="shared" si="14"/>
        <v>54611.103199999998</v>
      </c>
      <c r="F40" s="11">
        <f t="shared" si="15"/>
        <v>52623</v>
      </c>
      <c r="G40" s="78">
        <f t="shared" si="16"/>
        <v>3.640474342221296</v>
      </c>
      <c r="H40" s="28">
        <f t="shared" si="17"/>
        <v>48119.056327724946</v>
      </c>
      <c r="I40" s="28">
        <f t="shared" si="18"/>
        <v>54.694079837281215</v>
      </c>
    </row>
    <row r="41" spans="1:9" x14ac:dyDescent="0.3">
      <c r="A41" s="16">
        <v>2053</v>
      </c>
      <c r="B41" s="14">
        <v>20797</v>
      </c>
      <c r="C41" s="14">
        <v>22226</v>
      </c>
      <c r="D41" s="28">
        <f t="shared" si="13"/>
        <v>54.057995832003364</v>
      </c>
      <c r="E41" s="11">
        <f t="shared" si="14"/>
        <v>22743.599199999997</v>
      </c>
      <c r="F41" s="11">
        <f t="shared" si="15"/>
        <v>22226</v>
      </c>
      <c r="G41" s="78">
        <f t="shared" si="16"/>
        <v>2.2758016242213586</v>
      </c>
      <c r="H41" s="28">
        <f t="shared" si="17"/>
        <v>20323.701536210683</v>
      </c>
      <c r="I41" s="28">
        <f t="shared" si="18"/>
        <v>54.057995832003364</v>
      </c>
    </row>
    <row r="42" spans="1:9" x14ac:dyDescent="0.3">
      <c r="A42" s="16">
        <v>2080</v>
      </c>
      <c r="B42" s="14">
        <v>53024</v>
      </c>
      <c r="C42" s="14">
        <v>12593</v>
      </c>
      <c r="D42" s="28">
        <f t="shared" si="13"/>
        <v>211.252584153561</v>
      </c>
      <c r="E42" s="11">
        <f t="shared" si="14"/>
        <v>57987.046399999992</v>
      </c>
      <c r="F42" s="11">
        <f t="shared" si="15"/>
        <v>12593</v>
      </c>
      <c r="G42" s="78">
        <f t="shared" si="16"/>
        <v>78.28308082268525</v>
      </c>
      <c r="H42" s="28">
        <f t="shared" si="17"/>
        <v>11515.179224579371</v>
      </c>
      <c r="I42" s="28">
        <f t="shared" si="18"/>
        <v>211.252584153561</v>
      </c>
    </row>
    <row r="43" spans="1:9" x14ac:dyDescent="0.3">
      <c r="A43" s="16">
        <v>2068</v>
      </c>
      <c r="B43" s="14">
        <v>52566</v>
      </c>
      <c r="C43" s="14">
        <v>56937</v>
      </c>
      <c r="D43" s="28">
        <f t="shared" si="13"/>
        <v>53.459196286443422</v>
      </c>
      <c r="E43" s="11">
        <f t="shared" si="14"/>
        <v>57486.177599999995</v>
      </c>
      <c r="F43" s="11">
        <f t="shared" si="15"/>
        <v>56937</v>
      </c>
      <c r="G43" s="78">
        <f t="shared" si="16"/>
        <v>0.95532112749133091</v>
      </c>
      <c r="H43" s="28">
        <f t="shared" si="17"/>
        <v>52063.8258961229</v>
      </c>
      <c r="I43" s="28">
        <f t="shared" si="18"/>
        <v>53.459196286443422</v>
      </c>
    </row>
    <row r="44" spans="1:9" x14ac:dyDescent="0.3">
      <c r="A44" s="16">
        <v>2067</v>
      </c>
      <c r="B44" s="14">
        <v>20322</v>
      </c>
      <c r="C44" s="14">
        <v>21839</v>
      </c>
      <c r="D44" s="28">
        <f t="shared" si="13"/>
        <v>53.809892592639365</v>
      </c>
      <c r="E44" s="11">
        <f t="shared" si="14"/>
        <v>22224.139199999998</v>
      </c>
      <c r="F44" s="11">
        <f t="shared" si="15"/>
        <v>21839</v>
      </c>
      <c r="G44" s="78">
        <f t="shared" si="16"/>
        <v>1.7329769064801326</v>
      </c>
      <c r="H44" s="28">
        <f t="shared" si="17"/>
        <v>19969.824433065107</v>
      </c>
      <c r="I44" s="28">
        <f t="shared" si="18"/>
        <v>53.809892592639365</v>
      </c>
    </row>
    <row r="45" spans="1:9" x14ac:dyDescent="0.3">
      <c r="A45" s="16">
        <v>2047</v>
      </c>
      <c r="B45" s="14">
        <v>70927</v>
      </c>
      <c r="C45" s="14">
        <v>78148</v>
      </c>
      <c r="D45" s="28">
        <f t="shared" ref="D45:D58" si="19">I45</f>
        <v>52.708834537839202</v>
      </c>
      <c r="E45" s="11">
        <f t="shared" ref="E45:E58" si="20">B45 * 1.0936</f>
        <v>77565.767199999987</v>
      </c>
      <c r="F45" s="11">
        <f t="shared" ref="F45:F58" si="21">C45</f>
        <v>78148</v>
      </c>
      <c r="G45" s="78">
        <f t="shared" ref="G45:G58" si="22">100- (F45/E45 *100)</f>
        <v>-0.75063113666979575</v>
      </c>
      <c r="H45" s="28">
        <f t="shared" ref="H45:H58" si="23">F45/1.0936</f>
        <v>71459.400146305779</v>
      </c>
      <c r="I45" s="28">
        <f t="shared" ref="I45:I58" si="24">((B45*48)+(H45*10))/C45</f>
        <v>52.708834537839202</v>
      </c>
    </row>
    <row r="46" spans="1:9" x14ac:dyDescent="0.3">
      <c r="A46" s="16">
        <v>2049</v>
      </c>
      <c r="B46" s="14">
        <v>55052</v>
      </c>
      <c r="C46" s="14">
        <v>23989</v>
      </c>
      <c r="D46" s="28">
        <f t="shared" si="19"/>
        <v>119.29859866581742</v>
      </c>
      <c r="E46" s="11">
        <f t="shared" si="20"/>
        <v>60204.867199999993</v>
      </c>
      <c r="F46" s="11">
        <f t="shared" si="21"/>
        <v>23989</v>
      </c>
      <c r="G46" s="78">
        <f t="shared" si="22"/>
        <v>60.154384328581322</v>
      </c>
      <c r="H46" s="28">
        <f t="shared" si="23"/>
        <v>21935.808339429408</v>
      </c>
      <c r="I46" s="28">
        <f t="shared" si="24"/>
        <v>119.29859866581742</v>
      </c>
    </row>
    <row r="47" spans="1:9" x14ac:dyDescent="0.3">
      <c r="A47" s="16">
        <v>2055</v>
      </c>
      <c r="B47" s="14">
        <v>47813</v>
      </c>
      <c r="C47" s="14">
        <v>50450</v>
      </c>
      <c r="D47" s="28">
        <f t="shared" si="19"/>
        <v>54.635171648289031</v>
      </c>
      <c r="E47" s="11">
        <f t="shared" si="20"/>
        <v>52288.296799999996</v>
      </c>
      <c r="F47" s="11">
        <f t="shared" si="21"/>
        <v>50450</v>
      </c>
      <c r="G47" s="78">
        <f t="shared" si="22"/>
        <v>3.5156945483066409</v>
      </c>
      <c r="H47" s="28">
        <f t="shared" si="23"/>
        <v>46132.040965618144</v>
      </c>
      <c r="I47" s="28">
        <f t="shared" si="24"/>
        <v>54.635171648289031</v>
      </c>
    </row>
    <row r="48" spans="1:9" x14ac:dyDescent="0.3">
      <c r="A48" s="16">
        <v>2087</v>
      </c>
      <c r="B48" s="14">
        <v>25142</v>
      </c>
      <c r="C48" s="14">
        <v>28472</v>
      </c>
      <c r="D48" s="28">
        <f t="shared" si="19"/>
        <v>51.530174693375521</v>
      </c>
      <c r="E48" s="11">
        <f t="shared" si="20"/>
        <v>27495.291199999996</v>
      </c>
      <c r="F48" s="11">
        <f t="shared" si="21"/>
        <v>28472</v>
      </c>
      <c r="G48" s="78">
        <f t="shared" si="22"/>
        <v>-3.5522766167321151</v>
      </c>
      <c r="H48" s="28">
        <f t="shared" si="23"/>
        <v>26035.113386978788</v>
      </c>
      <c r="I48" s="28">
        <f t="shared" si="24"/>
        <v>51.530174693375521</v>
      </c>
    </row>
    <row r="49" spans="1:9" x14ac:dyDescent="0.3">
      <c r="A49" s="16">
        <v>2077</v>
      </c>
      <c r="B49" s="14">
        <v>62470</v>
      </c>
      <c r="C49" s="14">
        <v>66034</v>
      </c>
      <c r="D49" s="28">
        <f t="shared" si="19"/>
        <v>54.553445777605774</v>
      </c>
      <c r="E49" s="11">
        <f t="shared" si="20"/>
        <v>68317.191999999995</v>
      </c>
      <c r="F49" s="11">
        <f t="shared" si="21"/>
        <v>66034</v>
      </c>
      <c r="G49" s="78">
        <f t="shared" si="22"/>
        <v>3.3420460255450735</v>
      </c>
      <c r="H49" s="28">
        <f t="shared" si="23"/>
        <v>60382.223847841997</v>
      </c>
      <c r="I49" s="28">
        <f t="shared" si="24"/>
        <v>54.553445777605774</v>
      </c>
    </row>
    <row r="50" spans="1:9" x14ac:dyDescent="0.3">
      <c r="A50" s="16">
        <v>2076</v>
      </c>
      <c r="B50" s="14">
        <v>50784</v>
      </c>
      <c r="C50" s="14">
        <v>53541</v>
      </c>
      <c r="D50" s="28">
        <f t="shared" si="19"/>
        <v>54.672435280474133</v>
      </c>
      <c r="E50" s="11">
        <f t="shared" si="20"/>
        <v>55537.382399999995</v>
      </c>
      <c r="F50" s="11">
        <f t="shared" si="21"/>
        <v>53541</v>
      </c>
      <c r="G50" s="78">
        <f t="shared" si="22"/>
        <v>3.5946641950485514</v>
      </c>
      <c r="H50" s="28">
        <f t="shared" si="23"/>
        <v>48958.485735186543</v>
      </c>
      <c r="I50" s="28">
        <f t="shared" si="24"/>
        <v>54.672435280474133</v>
      </c>
    </row>
    <row r="51" spans="1:9" x14ac:dyDescent="0.3">
      <c r="A51" s="16">
        <v>2070</v>
      </c>
      <c r="B51" s="14">
        <v>60945</v>
      </c>
      <c r="C51" s="14">
        <v>64989</v>
      </c>
      <c r="D51" s="28">
        <f t="shared" si="19"/>
        <v>54.157267264958229</v>
      </c>
      <c r="E51" s="11">
        <f t="shared" si="20"/>
        <v>66649.45199999999</v>
      </c>
      <c r="F51" s="11">
        <f t="shared" si="21"/>
        <v>64989</v>
      </c>
      <c r="G51" s="78">
        <f t="shared" si="22"/>
        <v>2.4913213089883897</v>
      </c>
      <c r="H51" s="28">
        <f t="shared" si="23"/>
        <v>59426.664228237023</v>
      </c>
      <c r="I51" s="28">
        <f t="shared" si="24"/>
        <v>54.157267264958229</v>
      </c>
    </row>
    <row r="52" spans="1:9" x14ac:dyDescent="0.3">
      <c r="A52" s="16">
        <v>2064</v>
      </c>
      <c r="B52" s="14">
        <v>34568</v>
      </c>
      <c r="C52" s="14">
        <v>36850</v>
      </c>
      <c r="D52" s="28">
        <f t="shared" si="19"/>
        <v>54.171628153043393</v>
      </c>
      <c r="E52" s="11">
        <f t="shared" si="20"/>
        <v>37803.5648</v>
      </c>
      <c r="F52" s="11">
        <f t="shared" si="21"/>
        <v>36850</v>
      </c>
      <c r="G52" s="78">
        <f t="shared" si="22"/>
        <v>2.52242031947209</v>
      </c>
      <c r="H52" s="28">
        <f t="shared" si="23"/>
        <v>33696.04974396489</v>
      </c>
      <c r="I52" s="28">
        <f t="shared" si="24"/>
        <v>54.171628153043393</v>
      </c>
    </row>
    <row r="53" spans="1:9" x14ac:dyDescent="0.3">
      <c r="A53" s="16">
        <v>2062</v>
      </c>
      <c r="B53" s="14">
        <v>27813</v>
      </c>
      <c r="C53" s="14">
        <v>29372</v>
      </c>
      <c r="D53" s="28">
        <f t="shared" si="19"/>
        <v>54.596378658005605</v>
      </c>
      <c r="E53" s="11">
        <f t="shared" si="20"/>
        <v>30416.296799999996</v>
      </c>
      <c r="F53" s="11">
        <f t="shared" si="21"/>
        <v>29372</v>
      </c>
      <c r="G53" s="78">
        <f t="shared" si="22"/>
        <v>3.4333462974361737</v>
      </c>
      <c r="H53" s="28">
        <f t="shared" si="23"/>
        <v>26858.083394294077</v>
      </c>
      <c r="I53" s="28">
        <f t="shared" si="24"/>
        <v>54.596378658005605</v>
      </c>
    </row>
    <row r="54" spans="1:9" x14ac:dyDescent="0.3">
      <c r="A54" s="16">
        <v>2063</v>
      </c>
      <c r="B54" s="14">
        <v>24175</v>
      </c>
      <c r="C54" s="14">
        <v>25825</v>
      </c>
      <c r="D54" s="28">
        <f t="shared" si="19"/>
        <v>54.077315451830628</v>
      </c>
      <c r="E54" s="11">
        <f t="shared" si="20"/>
        <v>26437.78</v>
      </c>
      <c r="F54" s="11">
        <f t="shared" si="21"/>
        <v>25825</v>
      </c>
      <c r="G54" s="78">
        <f t="shared" si="22"/>
        <v>2.3178194235673288</v>
      </c>
      <c r="H54" s="28">
        <f t="shared" si="23"/>
        <v>23614.667154352599</v>
      </c>
      <c r="I54" s="28">
        <f t="shared" si="24"/>
        <v>54.077315451830628</v>
      </c>
    </row>
    <row r="55" spans="1:9" x14ac:dyDescent="0.3">
      <c r="A55" s="16">
        <v>2072</v>
      </c>
      <c r="B55" s="14">
        <v>15104</v>
      </c>
      <c r="C55" s="14">
        <v>15955</v>
      </c>
      <c r="D55" s="28">
        <f t="shared" si="19"/>
        <v>54.583910628305603</v>
      </c>
      <c r="E55" s="11">
        <f t="shared" si="20"/>
        <v>16517.734399999998</v>
      </c>
      <c r="F55" s="11">
        <f t="shared" si="21"/>
        <v>15955</v>
      </c>
      <c r="G55" s="78">
        <f t="shared" si="22"/>
        <v>3.4068497917002247</v>
      </c>
      <c r="H55" s="28">
        <f t="shared" si="23"/>
        <v>14589.429407461595</v>
      </c>
      <c r="I55" s="28">
        <f t="shared" si="24"/>
        <v>54.583910628305603</v>
      </c>
    </row>
    <row r="56" spans="1:9" x14ac:dyDescent="0.3">
      <c r="A56" s="16">
        <v>2078</v>
      </c>
      <c r="B56" s="14">
        <v>25072</v>
      </c>
      <c r="C56" s="14">
        <v>4507</v>
      </c>
      <c r="D56" s="28">
        <f t="shared" si="19"/>
        <v>276.16341449836062</v>
      </c>
      <c r="E56" s="11">
        <f t="shared" si="20"/>
        <v>27418.739199999996</v>
      </c>
      <c r="F56" s="11">
        <f t="shared" si="21"/>
        <v>4507</v>
      </c>
      <c r="G56" s="78">
        <f t="shared" si="22"/>
        <v>83.562336812335985</v>
      </c>
      <c r="H56" s="28">
        <f t="shared" si="23"/>
        <v>4121.25091441112</v>
      </c>
      <c r="I56" s="28">
        <f t="shared" si="24"/>
        <v>276.16341449836062</v>
      </c>
    </row>
    <row r="57" spans="1:9" x14ac:dyDescent="0.3">
      <c r="A57" s="16" t="s">
        <v>501</v>
      </c>
      <c r="B57" s="14">
        <v>38006</v>
      </c>
      <c r="C57" s="14">
        <v>41523</v>
      </c>
      <c r="D57" s="28">
        <f t="shared" si="19"/>
        <v>53.078508996019004</v>
      </c>
      <c r="E57" s="11">
        <f t="shared" si="20"/>
        <v>41563.361599999997</v>
      </c>
      <c r="F57" s="11">
        <f t="shared" si="21"/>
        <v>41523</v>
      </c>
      <c r="G57" s="78">
        <f t="shared" si="22"/>
        <v>9.7108603458096354E-2</v>
      </c>
      <c r="H57" s="28">
        <f t="shared" si="23"/>
        <v>37969.092904169716</v>
      </c>
      <c r="I57" s="28">
        <f t="shared" si="24"/>
        <v>53.078508996019004</v>
      </c>
    </row>
    <row r="58" spans="1:9" x14ac:dyDescent="0.3">
      <c r="A58" s="16">
        <v>2091</v>
      </c>
      <c r="B58" s="14">
        <v>17444</v>
      </c>
      <c r="C58" s="14">
        <v>18354</v>
      </c>
      <c r="D58" s="28">
        <f t="shared" si="19"/>
        <v>54.764248492163269</v>
      </c>
      <c r="E58" s="11">
        <f t="shared" si="20"/>
        <v>19076.758399999999</v>
      </c>
      <c r="F58" s="11">
        <f t="shared" si="21"/>
        <v>18354</v>
      </c>
      <c r="G58" s="78">
        <f t="shared" si="22"/>
        <v>3.7886856081376976</v>
      </c>
      <c r="H58" s="28">
        <f t="shared" si="23"/>
        <v>16783.101682516462</v>
      </c>
      <c r="I58" s="28">
        <f t="shared" si="24"/>
        <v>54.764248492163269</v>
      </c>
    </row>
    <row r="59" spans="1:9" x14ac:dyDescent="0.3">
      <c r="A59" s="16">
        <v>2090</v>
      </c>
      <c r="B59" s="14">
        <v>50157</v>
      </c>
      <c r="C59" s="14">
        <v>52082</v>
      </c>
      <c r="D59" s="28">
        <f t="shared" ref="D59:D73" si="25">I59</f>
        <v>55.369985774781405</v>
      </c>
      <c r="E59" s="11">
        <f t="shared" ref="E59:E73" si="26">B59 * 1.0936</f>
        <v>54851.695199999995</v>
      </c>
      <c r="F59" s="11">
        <f t="shared" ref="F59:F73" si="27">C59</f>
        <v>52082</v>
      </c>
      <c r="G59" s="78">
        <f t="shared" ref="G59:G73" si="28">100- (F59/E59 *100)</f>
        <v>5.0494249811261938</v>
      </c>
      <c r="H59" s="28">
        <f t="shared" ref="H59:H73" si="29">F59/1.0936</f>
        <v>47624.35991221654</v>
      </c>
      <c r="I59" s="28">
        <f t="shared" ref="I59:I73" si="30">((B59*48)+(H59*10))/C59</f>
        <v>55.369985774781405</v>
      </c>
    </row>
    <row r="60" spans="1:9" x14ac:dyDescent="0.3">
      <c r="A60" s="16" t="s">
        <v>522</v>
      </c>
      <c r="B60" s="14">
        <v>39029</v>
      </c>
      <c r="C60" s="14">
        <v>30853</v>
      </c>
      <c r="D60" s="28">
        <f t="shared" si="25"/>
        <v>69.864041182992679</v>
      </c>
      <c r="E60" s="11">
        <f t="shared" si="26"/>
        <v>42682.114399999999</v>
      </c>
      <c r="F60" s="11">
        <f t="shared" si="27"/>
        <v>30853</v>
      </c>
      <c r="G60" s="78">
        <f t="shared" si="28"/>
        <v>27.714452684190363</v>
      </c>
      <c r="H60" s="28">
        <f t="shared" si="29"/>
        <v>28212.326261887349</v>
      </c>
      <c r="I60" s="28">
        <f t="shared" si="30"/>
        <v>69.864041182992679</v>
      </c>
    </row>
    <row r="61" spans="1:9" x14ac:dyDescent="0.3">
      <c r="A61" s="16">
        <v>2083</v>
      </c>
      <c r="B61" s="14">
        <v>20008</v>
      </c>
      <c r="C61" s="14">
        <v>20873</v>
      </c>
      <c r="D61" s="28">
        <f t="shared" si="25"/>
        <v>55.154938577051709</v>
      </c>
      <c r="E61" s="11">
        <f t="shared" si="26"/>
        <v>21880.748799999998</v>
      </c>
      <c r="F61" s="11">
        <f t="shared" si="27"/>
        <v>20873</v>
      </c>
      <c r="G61" s="78">
        <f t="shared" si="28"/>
        <v>4.6056412840862038</v>
      </c>
      <c r="H61" s="28">
        <f t="shared" si="29"/>
        <v>19086.503291880032</v>
      </c>
      <c r="I61" s="28">
        <f t="shared" si="30"/>
        <v>55.154938577051709</v>
      </c>
    </row>
    <row r="62" spans="1:9" x14ac:dyDescent="0.3">
      <c r="A62" s="16">
        <v>2073</v>
      </c>
      <c r="B62" s="14">
        <v>20111</v>
      </c>
      <c r="C62" s="14">
        <v>18648</v>
      </c>
      <c r="D62" s="28">
        <f t="shared" si="25"/>
        <v>60.909876958157859</v>
      </c>
      <c r="E62" s="11">
        <f t="shared" si="26"/>
        <v>21993.389599999999</v>
      </c>
      <c r="F62" s="11">
        <f t="shared" si="27"/>
        <v>18648</v>
      </c>
      <c r="G62" s="78">
        <f t="shared" si="28"/>
        <v>15.210886820283491</v>
      </c>
      <c r="H62" s="28">
        <f t="shared" si="29"/>
        <v>17051.938551572788</v>
      </c>
      <c r="I62" s="28">
        <f t="shared" si="30"/>
        <v>60.909876958157859</v>
      </c>
    </row>
    <row r="63" spans="1:9" x14ac:dyDescent="0.3">
      <c r="A63" s="16">
        <v>1977</v>
      </c>
      <c r="B63" s="14">
        <v>27995</v>
      </c>
      <c r="C63" s="14">
        <v>19687</v>
      </c>
      <c r="D63" s="28">
        <f t="shared" si="25"/>
        <v>77.400320873907816</v>
      </c>
      <c r="E63" s="11">
        <f t="shared" si="26"/>
        <v>30615.331999999999</v>
      </c>
      <c r="F63" s="11">
        <f t="shared" si="27"/>
        <v>19687</v>
      </c>
      <c r="G63" s="78">
        <f t="shared" si="28"/>
        <v>35.695618130157797</v>
      </c>
      <c r="H63" s="28">
        <f t="shared" si="29"/>
        <v>18002.011704462329</v>
      </c>
      <c r="I63" s="28">
        <f t="shared" si="30"/>
        <v>77.400320873907816</v>
      </c>
    </row>
    <row r="64" spans="1:9" x14ac:dyDescent="0.3">
      <c r="A64" s="16">
        <v>2094</v>
      </c>
      <c r="B64" s="14">
        <v>30340</v>
      </c>
      <c r="C64" s="14">
        <v>17714</v>
      </c>
      <c r="D64" s="28">
        <f t="shared" si="25"/>
        <v>91.357050110761747</v>
      </c>
      <c r="E64" s="11">
        <f t="shared" si="26"/>
        <v>33179.824000000001</v>
      </c>
      <c r="F64" s="11">
        <f t="shared" si="27"/>
        <v>17714</v>
      </c>
      <c r="G64" s="78">
        <f t="shared" si="28"/>
        <v>46.612133928136565</v>
      </c>
      <c r="H64" s="28">
        <f t="shared" si="29"/>
        <v>16197.878566203366</v>
      </c>
      <c r="I64" s="28">
        <f t="shared" si="30"/>
        <v>91.357050110761747</v>
      </c>
    </row>
    <row r="65" spans="1:9" x14ac:dyDescent="0.3">
      <c r="A65" s="16" t="s">
        <v>28</v>
      </c>
      <c r="B65" s="30">
        <v>100417</v>
      </c>
      <c r="C65" s="30">
        <v>1783571</v>
      </c>
      <c r="D65" s="28">
        <f t="shared" si="25"/>
        <v>11.846563744042694</v>
      </c>
      <c r="E65" s="11">
        <f t="shared" si="26"/>
        <v>109816.0312</v>
      </c>
      <c r="F65" s="11">
        <f t="shared" si="27"/>
        <v>1783571</v>
      </c>
      <c r="G65" s="78">
        <f t="shared" si="28"/>
        <v>-1524.1444719047543</v>
      </c>
      <c r="H65" s="28">
        <f t="shared" si="29"/>
        <v>1630917.154352597</v>
      </c>
      <c r="I65" s="28">
        <f t="shared" si="30"/>
        <v>11.846563744042694</v>
      </c>
    </row>
    <row r="66" spans="1:9" x14ac:dyDescent="0.3">
      <c r="D66" s="28" t="e">
        <f t="shared" si="25"/>
        <v>#DIV/0!</v>
      </c>
      <c r="E66" s="11">
        <f t="shared" si="26"/>
        <v>0</v>
      </c>
      <c r="F66" s="11">
        <f t="shared" si="27"/>
        <v>0</v>
      </c>
      <c r="G66" s="78" t="e">
        <f t="shared" si="28"/>
        <v>#DIV/0!</v>
      </c>
      <c r="H66" s="28">
        <f t="shared" si="29"/>
        <v>0</v>
      </c>
      <c r="I66" s="28" t="e">
        <f t="shared" si="30"/>
        <v>#DIV/0!</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4" workbookViewId="0">
      <selection activeCell="Q22" sqref="Q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13957031.018288225</v>
      </c>
    </row>
    <row r="3" spans="1:3" ht="21" x14ac:dyDescent="0.4">
      <c r="A3" s="102" t="str">
        <f>Billing!Q6</f>
        <v>Ejaz Sahab</v>
      </c>
      <c r="B3" s="105">
        <f>Billing!AD6</f>
        <v>6067319</v>
      </c>
      <c r="C3" s="103">
        <f>Billing!AE6</f>
        <v>159500.67812728696</v>
      </c>
    </row>
    <row r="4" spans="1:3" ht="21" x14ac:dyDescent="0.4">
      <c r="A4" s="102" t="str">
        <f>Billing!Q7</f>
        <v>Arshad</v>
      </c>
      <c r="B4" s="105">
        <f>Billing!AD7</f>
        <v>8342501</v>
      </c>
      <c r="C4" s="104">
        <f>Billing!AE7</f>
        <v>9146.7688368698582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9459871</v>
      </c>
      <c r="C7" s="103">
        <f>Billing!AE10</f>
        <v>356737.44915874302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3869679</v>
      </c>
      <c r="C12" s="103">
        <f>Billing!AE15</f>
        <v>55878.790782736614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6024187</v>
      </c>
      <c r="C18" s="104">
        <f>Billing!AE21</f>
        <v>37297.089246526361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1000000</v>
      </c>
      <c r="C29" s="103">
        <f>Billing!AE32</f>
        <v>516782.18727139756</v>
      </c>
    </row>
    <row r="30" spans="1:3" ht="21" x14ac:dyDescent="0.4">
      <c r="A30" s="102" t="str">
        <f>Billing!Q33</f>
        <v>Ahmad Shafique</v>
      </c>
      <c r="B30" s="105">
        <f>Billing!AD33</f>
        <v>500000</v>
      </c>
      <c r="C30" s="103">
        <f>Billing!AE33</f>
        <v>136460.3145574251</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32" priority="1" operator="lessThan">
      <formula>10</formula>
    </cfRule>
  </conditionalFormatting>
  <conditionalFormatting sqref="C2:C41">
    <cfRule type="cellIs" dxfId="3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2026-02-15T11:46:29Z</dcterms:modified>
  <cp:category/>
  <cp:contentStatus/>
</cp:coreProperties>
</file>