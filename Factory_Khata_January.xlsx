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703" documentId="8_{EB9B3F02-843B-43AB-9D1E-44A7B86FB663}" xr6:coauthVersionLast="47" xr6:coauthVersionMax="47" xr10:uidLastSave="{5DFC5439-6548-4CDE-A7B2-819DFB13115C}"/>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4" r:id="rId20"/>
    <pivotCache cacheId="98" r:id="rId21"/>
    <pivotCache cacheId="102" r:id="rId22"/>
    <pivotCache cacheId="107" r:id="rId23"/>
    <pivotCache cacheId="113" r:id="rId24"/>
    <pivotCache cacheId="11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0" i="1" l="1"/>
  <c r="J190" i="1" a="1"/>
  <c r="J190" i="1" s="1"/>
  <c r="I191" i="1"/>
  <c r="J191" i="1" a="1"/>
  <c r="J191" i="1"/>
  <c r="I192" i="1"/>
  <c r="J192" i="1" a="1"/>
  <c r="J192" i="1"/>
  <c r="I193" i="1"/>
  <c r="J193" i="1" a="1"/>
  <c r="J193" i="1"/>
  <c r="I194" i="1"/>
  <c r="J194" i="1" a="1"/>
  <c r="J194" i="1" s="1"/>
  <c r="I195" i="1"/>
  <c r="J195" i="1" a="1"/>
  <c r="J195" i="1"/>
  <c r="I196" i="1"/>
  <c r="J196" i="1" a="1"/>
  <c r="J196" i="1"/>
  <c r="C133" i="17"/>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a="1"/>
  <c r="J176" i="1" s="1"/>
  <c r="I177" i="1"/>
  <c r="J177" i="1" s="1" a="1"/>
  <c r="J177" i="1" s="1"/>
  <c r="I178" i="1"/>
  <c r="J178" i="1" a="1"/>
  <c r="J178" i="1" s="1"/>
  <c r="I179" i="1"/>
  <c r="J179" i="1" s="1" a="1"/>
  <c r="J179" i="1" s="1"/>
  <c r="I180" i="1"/>
  <c r="J180" i="1" s="1" a="1"/>
  <c r="J180" i="1" s="1"/>
  <c r="I181" i="1"/>
  <c r="J181" i="1" s="1" a="1"/>
  <c r="J181" i="1" s="1"/>
  <c r="I182" i="1"/>
  <c r="J182" i="1" s="1" a="1"/>
  <c r="J182" i="1" s="1"/>
  <c r="I183" i="1"/>
  <c r="J183" i="1" a="1"/>
  <c r="J183" i="1" s="1"/>
  <c r="I184" i="1"/>
  <c r="J184" i="1" s="1" a="1"/>
  <c r="J184" i="1" s="1"/>
  <c r="I185" i="1"/>
  <c r="J185" i="1" s="1" a="1"/>
  <c r="J185" i="1" s="1"/>
  <c r="I186" i="1"/>
  <c r="J186" i="1" s="1" a="1"/>
  <c r="J186" i="1" s="1"/>
  <c r="I187" i="1"/>
  <c r="J187" i="1" s="1" a="1"/>
  <c r="J187" i="1" s="1"/>
  <c r="I188" i="1"/>
  <c r="J188" i="1" s="1" a="1"/>
  <c r="J188" i="1" s="1"/>
  <c r="I189" i="1"/>
  <c r="J189" i="1" s="1" a="1"/>
  <c r="J189" i="1" s="1"/>
  <c r="F189" i="1"/>
  <c r="I172" i="1"/>
  <c r="J172" i="1" s="1" a="1"/>
  <c r="J172" i="1" s="1"/>
  <c r="I173" i="1"/>
  <c r="J173" i="1" a="1"/>
  <c r="J173" i="1" s="1"/>
  <c r="I174" i="1"/>
  <c r="J174" i="1" s="1" a="1"/>
  <c r="J174" i="1" s="1"/>
  <c r="I175" i="1"/>
  <c r="J175" i="1" s="1" a="1"/>
  <c r="J175" i="1" s="1"/>
  <c r="G16" i="7"/>
  <c r="H16" i="7" s="1"/>
  <c r="G17" i="7"/>
  <c r="H17" i="7" s="1"/>
  <c r="G18" i="7"/>
  <c r="H18" i="7" s="1"/>
  <c r="G19" i="7"/>
  <c r="H19" i="7" s="1"/>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a="1"/>
  <c r="J157" i="1" s="1"/>
  <c r="I141" i="1"/>
  <c r="J141" i="1" s="1" a="1"/>
  <c r="J141" i="1" s="1"/>
  <c r="I142" i="1"/>
  <c r="J142" i="1" a="1"/>
  <c r="J142" i="1" s="1"/>
  <c r="I143" i="1"/>
  <c r="J143" i="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a="1"/>
  <c r="J84" i="1" s="1"/>
  <c r="I85" i="1"/>
  <c r="J85" i="1" a="1"/>
  <c r="J85" i="1" s="1"/>
  <c r="I86" i="1"/>
  <c r="J86" i="1" a="1"/>
  <c r="J86" i="1" s="1"/>
  <c r="I87" i="1"/>
  <c r="J87" i="1" a="1"/>
  <c r="J87" i="1" s="1"/>
  <c r="I88" i="1"/>
  <c r="J88" i="1" s="1" a="1"/>
  <c r="J88" i="1" s="1"/>
  <c r="I89" i="1"/>
  <c r="J89" i="1" s="1" a="1"/>
  <c r="J89" i="1" s="1"/>
  <c r="I90" i="1"/>
  <c r="J90" i="1" a="1"/>
  <c r="J90" i="1" s="1"/>
  <c r="I91" i="1"/>
  <c r="J91" i="1" s="1" a="1"/>
  <c r="J91" i="1" s="1"/>
  <c r="I92" i="1"/>
  <c r="J92" i="1" s="1" a="1"/>
  <c r="J92" i="1" s="1"/>
  <c r="I93" i="1"/>
  <c r="J93" i="1" s="1" a="1"/>
  <c r="J93" i="1" s="1"/>
  <c r="I94" i="1"/>
  <c r="J94" i="1" s="1" a="1"/>
  <c r="J94" i="1" s="1"/>
  <c r="I95" i="1"/>
  <c r="J95" i="1" s="1" a="1"/>
  <c r="J95" i="1" s="1"/>
  <c r="I96" i="1"/>
  <c r="J96" i="1" s="1" a="1"/>
  <c r="J96" i="1" s="1"/>
  <c r="I97" i="1"/>
  <c r="J97" i="1" a="1"/>
  <c r="J97" i="1" s="1"/>
  <c r="I98" i="1"/>
  <c r="J98" i="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G83" i="2" s="1"/>
  <c r="H83" i="2"/>
  <c r="I83" i="2" s="1"/>
  <c r="D83" i="2" s="1"/>
  <c r="E84" i="2"/>
  <c r="F84" i="2"/>
  <c r="H84" i="2" s="1"/>
  <c r="I84" i="2" s="1"/>
  <c r="D84" i="2" s="1"/>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195" i="1" s="1"/>
  <c r="E76" i="2"/>
  <c r="F76" i="2"/>
  <c r="E77" i="2"/>
  <c r="F77" i="2"/>
  <c r="E78" i="2"/>
  <c r="F78" i="2"/>
  <c r="H78" i="2" s="1"/>
  <c r="I78" i="2" s="1"/>
  <c r="D78" i="2" s="1"/>
  <c r="E79" i="2"/>
  <c r="F79" i="2"/>
  <c r="H79" i="2"/>
  <c r="I79" i="2" s="1"/>
  <c r="D79" i="2" s="1"/>
  <c r="E80" i="2"/>
  <c r="G80" i="2" s="1"/>
  <c r="F80" i="2"/>
  <c r="H80" i="2" s="1"/>
  <c r="I80" i="2" s="1"/>
  <c r="D80" i="2" s="1"/>
  <c r="E81" i="2"/>
  <c r="F81" i="2"/>
  <c r="H81" i="2" s="1"/>
  <c r="I81" i="2" s="1"/>
  <c r="D81" i="2" s="1"/>
  <c r="G81" i="2"/>
  <c r="E82" i="2"/>
  <c r="G82" i="2" s="1"/>
  <c r="F82" i="2"/>
  <c r="H82" i="2" s="1"/>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H58" i="2" s="1"/>
  <c r="I58" i="2" s="1"/>
  <c r="D58" i="2" s="1"/>
  <c r="F27" i="2"/>
  <c r="H27" i="2" s="1"/>
  <c r="I27" i="2" s="1"/>
  <c r="D27" i="2" s="1"/>
  <c r="E27" i="2"/>
  <c r="G27" i="2" s="1"/>
  <c r="E59" i="2"/>
  <c r="F59" i="2"/>
  <c r="H59" i="2" s="1"/>
  <c r="I59" i="2" s="1"/>
  <c r="D59" i="2" s="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E72" i="2"/>
  <c r="F72" i="2"/>
  <c r="E73" i="2"/>
  <c r="F73" i="2"/>
  <c r="H73" i="2" s="1"/>
  <c r="I73" i="2" s="1"/>
  <c r="D73" i="2" s="1"/>
  <c r="E45" i="2"/>
  <c r="F45" i="2"/>
  <c r="H45" i="2" s="1"/>
  <c r="I45" i="2" s="1"/>
  <c r="D45" i="2" s="1"/>
  <c r="E46" i="2"/>
  <c r="F46" i="2"/>
  <c r="E47" i="2"/>
  <c r="F47" i="2"/>
  <c r="H47" i="2" s="1"/>
  <c r="I47" i="2" s="1"/>
  <c r="D47" i="2" s="1"/>
  <c r="E48" i="2"/>
  <c r="F48" i="2"/>
  <c r="H48" i="2" s="1"/>
  <c r="I48" i="2" s="1"/>
  <c r="D48" i="2" s="1"/>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F54" i="2"/>
  <c r="F24" i="2"/>
  <c r="E24" i="2"/>
  <c r="E55" i="2"/>
  <c r="F55" i="2"/>
  <c r="H55" i="2" s="1"/>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E6" i="2"/>
  <c r="F5" i="2"/>
  <c r="H5" i="2" s="1"/>
  <c r="I5" i="2" s="1"/>
  <c r="D5" i="2" s="1"/>
  <c r="E5" i="2"/>
  <c r="E34" i="2"/>
  <c r="F34" i="2"/>
  <c r="H34" i="2" s="1"/>
  <c r="I34" i="2" s="1"/>
  <c r="D34" i="2" s="1"/>
  <c r="F18" i="2"/>
  <c r="E18" i="2"/>
  <c r="E35" i="2"/>
  <c r="F35" i="2"/>
  <c r="E36" i="2"/>
  <c r="F36" i="2"/>
  <c r="H36" i="2" s="1"/>
  <c r="I36" i="2" s="1"/>
  <c r="D36" i="2" s="1"/>
  <c r="F22" i="2"/>
  <c r="E22" i="2"/>
  <c r="F7" i="2"/>
  <c r="H7" i="2" s="1"/>
  <c r="I7" i="2" s="1"/>
  <c r="D7" i="2" s="1"/>
  <c r="E7" i="2"/>
  <c r="E37" i="2"/>
  <c r="F37" i="2"/>
  <c r="E39" i="2"/>
  <c r="F39" i="2"/>
  <c r="H39" i="2" s="1"/>
  <c r="I39" i="2" s="1"/>
  <c r="D39" i="2" s="1"/>
  <c r="E40" i="2"/>
  <c r="F40" i="2"/>
  <c r="E41" i="2"/>
  <c r="F41" i="2"/>
  <c r="H41" i="2"/>
  <c r="I41" i="2" s="1"/>
  <c r="D41" i="2" s="1"/>
  <c r="E42" i="2"/>
  <c r="F42" i="2"/>
  <c r="H42" i="2" s="1"/>
  <c r="I42" i="2" s="1"/>
  <c r="D42" i="2" s="1"/>
  <c r="E43" i="2"/>
  <c r="F43" i="2"/>
  <c r="H43" i="2" s="1"/>
  <c r="I43" i="2" s="1"/>
  <c r="D43" i="2" s="1"/>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E31" i="2"/>
  <c r="F32" i="2"/>
  <c r="H32" i="2" s="1"/>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G79" i="2"/>
  <c r="H123" i="6"/>
  <c r="H24" i="2"/>
  <c r="I24" i="2" s="1"/>
  <c r="D24" i="2" s="1"/>
  <c r="I123" i="6"/>
  <c r="H22" i="2"/>
  <c r="I22" i="2" s="1"/>
  <c r="D22" i="2" s="1"/>
  <c r="H38" i="2"/>
  <c r="I38" i="2" s="1"/>
  <c r="D38" i="2" s="1"/>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C2" i="2"/>
  <c r="H75" i="2" l="1"/>
  <c r="I75" i="2" s="1"/>
  <c r="D75" i="2" s="1"/>
  <c r="G78" i="2"/>
  <c r="G84" i="2"/>
  <c r="G24" i="2"/>
  <c r="G19" i="2"/>
  <c r="G54" i="2"/>
  <c r="H47" i="1"/>
  <c r="H17" i="1"/>
  <c r="H44" i="1"/>
  <c r="H31" i="1"/>
  <c r="H12" i="1"/>
  <c r="H35" i="1"/>
  <c r="H37" i="1"/>
  <c r="H10" i="1"/>
  <c r="H48" i="1"/>
  <c r="H19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97" i="1"/>
  <c r="H11" i="1"/>
  <c r="H33" i="1"/>
  <c r="H3" i="1"/>
  <c r="H13" i="1"/>
  <c r="H14" i="1"/>
  <c r="H56" i="1"/>
  <c r="H18" i="1"/>
  <c r="H45" i="1"/>
  <c r="H19" i="1"/>
  <c r="H39" i="1"/>
  <c r="H26" i="1"/>
  <c r="H23" i="1"/>
  <c r="H55" i="1"/>
  <c r="G18" i="2"/>
  <c r="H175" i="1" s="1"/>
  <c r="G73" i="2"/>
  <c r="H187" i="1" s="1"/>
  <c r="G43" i="2"/>
  <c r="H128" i="1" s="1"/>
  <c r="G55" i="2"/>
  <c r="H152" i="1" s="1"/>
  <c r="G49" i="2"/>
  <c r="H143" i="1" s="1"/>
  <c r="G77" i="2"/>
  <c r="G37" i="2"/>
  <c r="H112" i="1" s="1"/>
  <c r="G57" i="2"/>
  <c r="G72" i="2"/>
  <c r="H184" i="1" s="1"/>
  <c r="G76" i="2"/>
  <c r="H196" i="1" s="1"/>
  <c r="G48" i="2"/>
  <c r="G6" i="2"/>
  <c r="H100" i="1" s="1"/>
  <c r="G70" i="2"/>
  <c r="H180" i="1" s="1"/>
  <c r="G69" i="2"/>
  <c r="H179" i="1" s="1"/>
  <c r="G14" i="2"/>
  <c r="H72" i="1" s="1"/>
  <c r="G25" i="2"/>
  <c r="H86" i="1" s="1"/>
  <c r="H77" i="2"/>
  <c r="I77" i="2" s="1"/>
  <c r="D77" i="2" s="1"/>
  <c r="G66" i="2"/>
  <c r="H176" i="1" s="1"/>
  <c r="G60" i="2"/>
  <c r="H164" i="1" s="1"/>
  <c r="G40" i="2"/>
  <c r="G50" i="2"/>
  <c r="H145" i="1" s="1"/>
  <c r="H76" i="2"/>
  <c r="I76" i="2" s="1"/>
  <c r="D76" i="2" s="1"/>
  <c r="G74" i="2"/>
  <c r="H189" i="1" s="1"/>
  <c r="G31" i="2"/>
  <c r="H103" i="1" s="1"/>
  <c r="G11" i="2"/>
  <c r="H94" i="1" s="1"/>
  <c r="G30" i="2"/>
  <c r="H183" i="1" s="1"/>
  <c r="G10" i="2"/>
  <c r="G34" i="2"/>
  <c r="H19" i="2"/>
  <c r="I19" i="2" s="1"/>
  <c r="D19" i="2" s="1"/>
  <c r="G7" i="2"/>
  <c r="H71" i="1" s="1"/>
  <c r="G53" i="2"/>
  <c r="G67" i="2"/>
  <c r="H188" i="1" s="1"/>
  <c r="G28" i="2"/>
  <c r="H93" i="1" s="1"/>
  <c r="H6" i="2"/>
  <c r="I6" i="2" s="1"/>
  <c r="D6" i="2" s="1"/>
  <c r="G68" i="2"/>
  <c r="H75" i="1"/>
  <c r="G15" i="2"/>
  <c r="H63" i="1" s="1"/>
  <c r="H72" i="2"/>
  <c r="I72" i="2" s="1"/>
  <c r="D72" i="2" s="1"/>
  <c r="G64" i="2"/>
  <c r="H191" i="1" s="1"/>
  <c r="H57" i="2"/>
  <c r="I57" i="2" s="1"/>
  <c r="D57" i="2" s="1"/>
  <c r="G12" i="2"/>
  <c r="H66" i="1" s="1"/>
  <c r="G8" i="2"/>
  <c r="H185" i="1" s="1"/>
  <c r="G46" i="2"/>
  <c r="H132" i="1" s="1"/>
  <c r="G71" i="2"/>
  <c r="G21" i="2"/>
  <c r="H77" i="1" s="1"/>
  <c r="G47" i="2"/>
  <c r="G51" i="2"/>
  <c r="H146" i="1" s="1"/>
  <c r="G4" i="2"/>
  <c r="G41" i="2"/>
  <c r="H119" i="1" s="1"/>
  <c r="G22" i="2"/>
  <c r="H79" i="1" s="1"/>
  <c r="G45" i="2"/>
  <c r="H130" i="1" s="1"/>
  <c r="G59" i="2"/>
  <c r="H163" i="1" s="1"/>
  <c r="G44" i="2"/>
  <c r="H129" i="1" s="1"/>
  <c r="H53" i="2"/>
  <c r="I53" i="2" s="1"/>
  <c r="D53" i="2" s="1"/>
  <c r="G23" i="2"/>
  <c r="H81" i="1" s="1"/>
  <c r="G17" i="2"/>
  <c r="H70" i="1" s="1"/>
  <c r="G16" i="2"/>
  <c r="H65" i="1" s="1"/>
  <c r="G35" i="2"/>
  <c r="H108" i="1" s="1"/>
  <c r="G65" i="2"/>
  <c r="H193" i="1" s="1"/>
  <c r="G52" i="2"/>
  <c r="H158" i="1" s="1"/>
  <c r="G61" i="2"/>
  <c r="G13" i="2"/>
  <c r="H64" i="1" s="1"/>
  <c r="H35" i="2"/>
  <c r="I35" i="2" s="1"/>
  <c r="D35" i="2" s="1"/>
  <c r="H25" i="2"/>
  <c r="I25" i="2" s="1"/>
  <c r="D25" i="2" s="1"/>
  <c r="G56" i="2"/>
  <c r="G20" i="2"/>
  <c r="H82" i="1"/>
  <c r="G9" i="2"/>
  <c r="H14" i="2"/>
  <c r="I14" i="2" s="1"/>
  <c r="D14" i="2" s="1"/>
  <c r="G29" i="2"/>
  <c r="H101" i="1" s="1"/>
  <c r="H71" i="2"/>
  <c r="I71" i="2" s="1"/>
  <c r="D71" i="2" s="1"/>
  <c r="G63" i="2"/>
  <c r="H173" i="1" s="1"/>
  <c r="H16" i="2"/>
  <c r="I16" i="2" s="1"/>
  <c r="D16" i="2" s="1"/>
  <c r="G32" i="2"/>
  <c r="H104" i="1" s="1"/>
  <c r="G38" i="2"/>
  <c r="H113" i="1" s="1"/>
  <c r="H40" i="2"/>
  <c r="I40" i="2" s="1"/>
  <c r="D40" i="2" s="1"/>
  <c r="G58" i="2"/>
  <c r="G5" i="2"/>
  <c r="H149" i="1" s="1"/>
  <c r="H50" i="2"/>
  <c r="I50" i="2" s="1"/>
  <c r="D50" i="2" s="1"/>
  <c r="G36" i="2"/>
  <c r="H111" i="1" s="1"/>
  <c r="H12" i="2"/>
  <c r="I12" i="2" s="1"/>
  <c r="D12" i="2" s="1"/>
  <c r="H54" i="2"/>
  <c r="I54" i="2" s="1"/>
  <c r="D54" i="2" s="1"/>
  <c r="G26" i="2"/>
  <c r="H96" i="1" s="1"/>
  <c r="G42" i="2"/>
  <c r="H124" i="1" s="1"/>
  <c r="G39" i="2"/>
  <c r="H118" i="1" s="1"/>
  <c r="H18" i="2"/>
  <c r="I18" i="2" s="1"/>
  <c r="D18" i="2" s="1"/>
  <c r="H46" i="2"/>
  <c r="I46" i="2" s="1"/>
  <c r="D46" i="2" s="1"/>
  <c r="G62" i="2"/>
  <c r="L79" i="9" a="1"/>
  <c r="L79" i="9" s="1"/>
  <c r="H115" i="9"/>
  <c r="J115" i="9"/>
  <c r="W36" i="9" a="1"/>
  <c r="W36" i="9" s="1"/>
  <c r="I115" i="9"/>
  <c r="X36" i="9" s="1" a="1"/>
  <c r="X36" i="9" s="1"/>
  <c r="Y36" i="9" a="1"/>
  <c r="Y36" i="9" s="1"/>
  <c r="K115" i="9"/>
  <c r="E115" i="9"/>
  <c r="G115" i="9"/>
  <c r="C115" i="9"/>
  <c r="Z36" i="9" a="1"/>
  <c r="Z36" i="9" s="1"/>
  <c r="O115" i="9"/>
  <c r="F115" i="9"/>
  <c r="M115" i="9"/>
  <c r="AB36" i="9" s="1" a="1"/>
  <c r="AB36" i="9" s="1"/>
  <c r="L115" i="9"/>
  <c r="AA36" i="9" s="1" a="1"/>
  <c r="AA36" i="9" s="1"/>
  <c r="D115" i="9"/>
  <c r="A33" i="20"/>
  <c r="AD36" i="9"/>
  <c r="B33" i="20" s="1"/>
  <c r="A32" i="20"/>
  <c r="A25" i="20"/>
  <c r="A10" i="20"/>
  <c r="A6" i="20"/>
  <c r="A7" i="20"/>
  <c r="A28" i="20"/>
  <c r="A26" i="20"/>
  <c r="A8" i="20"/>
  <c r="A31" i="20"/>
  <c r="A23" i="20"/>
  <c r="A24" i="20"/>
  <c r="N5" i="17"/>
  <c r="N7" i="17" s="1"/>
  <c r="P7" i="17" s="1"/>
  <c r="H123" i="1"/>
  <c r="H102" i="1"/>
  <c r="H99" i="1"/>
  <c r="H98" i="1"/>
  <c r="H90" i="1"/>
  <c r="H136" i="1"/>
  <c r="H153" i="1"/>
  <c r="H151" i="1"/>
  <c r="H37" i="2"/>
  <c r="I37" i="2" s="1"/>
  <c r="D37" i="2" s="1"/>
  <c r="G33" i="2"/>
  <c r="H31" i="2"/>
  <c r="I31" i="2" s="1"/>
  <c r="D31" i="2" s="1"/>
  <c r="A4" i="20"/>
  <c r="Q5" i="9"/>
  <c r="A2" i="20" s="1"/>
  <c r="A18" i="20"/>
  <c r="A3" i="20"/>
  <c r="A19" i="20"/>
  <c r="A16" i="20"/>
  <c r="A13" i="20"/>
  <c r="G85" i="9"/>
  <c r="V6" i="9" s="1" a="1"/>
  <c r="V6" i="9" s="1"/>
  <c r="I91" i="9"/>
  <c r="X12" i="9" s="1" a="1"/>
  <c r="X12" i="9" s="1"/>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V21" i="9" s="1" a="1"/>
  <c r="V21" i="9" s="1"/>
  <c r="L65" i="9" a="1"/>
  <c r="L65" i="9" s="1"/>
  <c r="K103" i="9"/>
  <c r="Z24" i="9" s="1" a="1"/>
  <c r="Z24" i="9" s="1"/>
  <c r="O64" i="9"/>
  <c r="J72" i="9" a="1"/>
  <c r="J72" i="9" s="1"/>
  <c r="G91" i="9"/>
  <c r="V12" i="9" s="1" a="1"/>
  <c r="V12" i="9" s="1"/>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U34" i="9" s="1" a="1"/>
  <c r="U34" i="9" s="1"/>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Y23" i="9" s="1" a="1"/>
  <c r="Y23" i="9" s="1"/>
  <c r="O110" i="9"/>
  <c r="AD31" i="9" s="1"/>
  <c r="B28" i="20" s="1"/>
  <c r="M102" i="9"/>
  <c r="AB23" i="9" s="1" a="1"/>
  <c r="AB23" i="9" s="1"/>
  <c r="H97" i="9"/>
  <c r="W18" i="9" s="1" a="1"/>
  <c r="W18" i="9" s="1"/>
  <c r="D110" i="9"/>
  <c r="S31" i="9" s="1" a="1"/>
  <c r="S31" i="9" s="1"/>
  <c r="O112" i="9"/>
  <c r="AD33" i="9" s="1"/>
  <c r="B30" i="20" s="1"/>
  <c r="L112" i="9"/>
  <c r="AA33" i="9" s="1" a="1"/>
  <c r="AA33" i="9" s="1"/>
  <c r="M107" i="9"/>
  <c r="AB28" i="9" s="1" a="1"/>
  <c r="AB28" i="9" s="1"/>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H52" i="9" a="1"/>
  <c r="H52" i="9" s="1"/>
  <c r="G94" i="9"/>
  <c r="V15" i="9" s="1" a="1"/>
  <c r="V15" i="9" s="1"/>
  <c r="G87" i="9"/>
  <c r="V8" i="9" s="1" a="1"/>
  <c r="V8" i="9" s="1"/>
  <c r="G96" i="9"/>
  <c r="V17" i="9" s="1" a="1"/>
  <c r="V17"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S30" i="9" s="1" a="1"/>
  <c r="S30" i="9" s="1"/>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U32" i="9" s="1" a="1"/>
  <c r="U32" i="9" s="1"/>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T27" i="9" s="1" a="1"/>
  <c r="T27" i="9" s="1"/>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W6" i="9" s="1" a="1"/>
  <c r="W6" i="9" s="1"/>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W23" i="9" s="1" a="1"/>
  <c r="W23" i="9" s="1"/>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Y8" i="9" s="1" a="1"/>
  <c r="Y8" i="9" s="1"/>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O55" i="9"/>
  <c r="O73" i="9"/>
  <c r="L99" i="9"/>
  <c r="AA20" i="9" s="1" a="1"/>
  <c r="AA20" i="9" s="1"/>
  <c r="H59" i="9" a="1"/>
  <c r="H59" i="9" s="1"/>
  <c r="L54" i="9" a="1"/>
  <c r="L54" i="9" s="1"/>
  <c r="E112" i="9"/>
  <c r="T33" i="9" s="1" a="1"/>
  <c r="T33" i="9" s="1"/>
  <c r="K70" i="9" a="1"/>
  <c r="K70" i="9" s="1"/>
  <c r="M105" i="9"/>
  <c r="AB26" i="9" s="1" a="1"/>
  <c r="AB26" i="9" s="1"/>
  <c r="E96" i="9"/>
  <c r="T17" i="9" s="1" a="1"/>
  <c r="T17" i="9" s="1"/>
  <c r="M97" i="9"/>
  <c r="AB18" i="9" s="1" a="1"/>
  <c r="AB18" i="9" s="1"/>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W12" i="9" s="1" a="1"/>
  <c r="W12" i="9" s="1"/>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I94" i="9"/>
  <c r="X15" i="9" s="1" a="1"/>
  <c r="X15" i="9" s="1"/>
  <c r="O78" i="9"/>
  <c r="I72" i="9" a="1"/>
  <c r="I72" i="9" s="1"/>
  <c r="M99" i="9"/>
  <c r="AB20" i="9" s="1" a="1"/>
  <c r="AB20" i="9" s="1"/>
  <c r="E113" i="9"/>
  <c r="T34" i="9" s="1" a="1"/>
  <c r="T34" i="9" s="1"/>
  <c r="D96" i="9"/>
  <c r="S17" i="9" s="1" a="1"/>
  <c r="S17" i="9" s="1"/>
  <c r="K55" i="9" a="1"/>
  <c r="K55" i="9" s="1"/>
  <c r="J65" i="9" a="1"/>
  <c r="J65" i="9" s="1"/>
  <c r="M103" i="9"/>
  <c r="AB24" i="9" s="1" a="1"/>
  <c r="AB24" i="9" s="1"/>
  <c r="L114" i="9"/>
  <c r="AA35" i="9" s="1" a="1"/>
  <c r="AA35" i="9" s="1"/>
  <c r="M69" i="9" a="1"/>
  <c r="M69"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O108" i="9"/>
  <c r="AD29" i="9" s="1"/>
  <c r="B26" i="20" s="1"/>
  <c r="H87" i="9"/>
  <c r="W8" i="9" s="1" a="1"/>
  <c r="W8" i="9" s="1"/>
  <c r="J85" i="9"/>
  <c r="Y6" i="9" s="1" a="1"/>
  <c r="Y6" i="9" s="1"/>
  <c r="L103" i="9"/>
  <c r="AA24" i="9" s="1" a="1"/>
  <c r="AA24" i="9" s="1"/>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AD30" i="9" s="1"/>
  <c r="B27" i="20" s="1"/>
  <c r="O111" i="9"/>
  <c r="AD32" i="9" s="1"/>
  <c r="B29" i="20" s="1"/>
  <c r="O88" i="9"/>
  <c r="AD9" i="9" s="1"/>
  <c r="B6" i="20" s="1"/>
  <c r="G67" i="9" a="1"/>
  <c r="G67" i="9" s="1"/>
  <c r="H65" i="9" a="1"/>
  <c r="H65" i="9" s="1"/>
  <c r="G69" i="9" a="1"/>
  <c r="G69" i="9" s="1"/>
  <c r="L68" i="9" a="1"/>
  <c r="L68" i="9" s="1"/>
  <c r="H57" i="9" a="1"/>
  <c r="H57" i="9" s="1"/>
  <c r="H75" i="9" a="1"/>
  <c r="H75" i="9" s="1"/>
  <c r="H56" i="9" a="1"/>
  <c r="H56" i="9" s="1"/>
  <c r="J199" i="1" a="1"/>
  <c r="J199" i="1" s="1"/>
  <c r="A17" i="20"/>
  <c r="K113" i="9"/>
  <c r="Z34" i="9" s="1" a="1"/>
  <c r="Z34" i="9" s="1"/>
  <c r="K72" i="9" a="1"/>
  <c r="K72"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H79" i="9" a="1"/>
  <c r="H79" i="9" s="1"/>
  <c r="G59" i="9" a="1"/>
  <c r="G59" i="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O60" i="9"/>
  <c r="K71" i="9" a="1"/>
  <c r="K71"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99" i="1"/>
  <c r="H76" i="9" a="1"/>
  <c r="H76" i="9" s="1"/>
  <c r="G51" i="9" a="1"/>
  <c r="G51" i="9" s="1"/>
  <c r="I199" i="1" a="1"/>
  <c r="I199" i="1" s="1"/>
  <c r="E5" i="8" s="1"/>
  <c r="M72" i="9" a="1"/>
  <c r="M72"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U26" i="9" s="1" a="1"/>
  <c r="U26" i="9" s="1"/>
  <c r="H105" i="9"/>
  <c r="D88" i="9"/>
  <c r="S9" i="9" s="1" a="1"/>
  <c r="S9" i="9" s="1"/>
  <c r="L100" i="9"/>
  <c r="AA21" i="9" s="1" a="1"/>
  <c r="AA21" i="9" s="1"/>
  <c r="D107" i="9"/>
  <c r="S28" i="9" s="1" a="1"/>
  <c r="S28" i="9" s="1"/>
  <c r="J71" i="9" a="1"/>
  <c r="J71" i="9" s="1"/>
  <c r="F88" i="9"/>
  <c r="U9" i="9" s="1" a="1"/>
  <c r="U9" i="9" s="1"/>
  <c r="F98" i="9"/>
  <c r="U19" i="9" s="1" a="1"/>
  <c r="U19" i="9" s="1"/>
  <c r="E101" i="9"/>
  <c r="T22" i="9" s="1" a="1"/>
  <c r="T22" i="9" s="1"/>
  <c r="L60" i="9" a="1"/>
  <c r="L60"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K6" i="6"/>
  <c r="C4" i="8" s="1"/>
  <c r="G123" i="6"/>
  <c r="D489" i="17"/>
  <c r="K5" i="17" s="1"/>
  <c r="C16" i="10"/>
  <c r="C12" i="10"/>
  <c r="C43" i="12"/>
  <c r="D44" i="18"/>
  <c r="C11" i="8" s="1"/>
  <c r="G23" i="15"/>
  <c r="E44" i="18"/>
  <c r="I37" i="12"/>
  <c r="J43" i="14"/>
  <c r="C12" i="8" s="1"/>
  <c r="D42" i="14"/>
  <c r="C10" i="8" s="1"/>
  <c r="H23" i="15"/>
  <c r="H20" i="7"/>
  <c r="C489" i="17"/>
  <c r="D2" i="2"/>
  <c r="H73" i="1" l="1"/>
  <c r="H156" i="1"/>
  <c r="H117" i="1"/>
  <c r="H140" i="1"/>
  <c r="H68" i="1"/>
  <c r="H161" i="1"/>
  <c r="H127" i="1"/>
  <c r="H97" i="1"/>
  <c r="H120" i="1"/>
  <c r="H106" i="1"/>
  <c r="H121" i="1"/>
  <c r="H142" i="1"/>
  <c r="H138" i="1"/>
  <c r="H165" i="1"/>
  <c r="H116" i="1"/>
  <c r="H133" i="1"/>
  <c r="H141" i="1"/>
  <c r="H125" i="1"/>
  <c r="H107" i="1"/>
  <c r="H69" i="1"/>
  <c r="H139" i="1"/>
  <c r="H115" i="1"/>
  <c r="H135" i="1"/>
  <c r="H89" i="1"/>
  <c r="H148" i="1"/>
  <c r="H126" i="1"/>
  <c r="H177" i="1"/>
  <c r="H134" i="1"/>
  <c r="H137" i="1"/>
  <c r="H154" i="1"/>
  <c r="H131" i="1"/>
  <c r="H170" i="1"/>
  <c r="H174" i="1"/>
  <c r="H144" i="1"/>
  <c r="H92" i="1"/>
  <c r="H155" i="1"/>
  <c r="H168" i="1"/>
  <c r="H182" i="1"/>
  <c r="H194" i="1"/>
  <c r="H192" i="1"/>
  <c r="H190" i="1"/>
  <c r="H83" i="1"/>
  <c r="H169" i="1"/>
  <c r="H80" i="1"/>
  <c r="H122" i="1"/>
  <c r="H114" i="1"/>
  <c r="N115" i="9"/>
  <c r="P115" i="9" s="1"/>
  <c r="D8" i="19" a="1"/>
  <c r="D8" i="19" s="1"/>
  <c r="H167" i="1"/>
  <c r="H91" i="1"/>
  <c r="H178" i="1"/>
  <c r="H186" i="1"/>
  <c r="H110" i="1"/>
  <c r="H162" i="1"/>
  <c r="H159" i="1"/>
  <c r="H85" i="1"/>
  <c r="H84" i="1"/>
  <c r="H76" i="1"/>
  <c r="H88" i="1"/>
  <c r="H105" i="1"/>
  <c r="H74" i="1"/>
  <c r="H78" i="1"/>
  <c r="H172" i="1"/>
  <c r="H181" i="1"/>
  <c r="H109" i="1"/>
  <c r="H67" i="1"/>
  <c r="H87" i="1"/>
  <c r="H157" i="1"/>
  <c r="H166" i="1"/>
  <c r="H160" i="1"/>
  <c r="H171" i="1"/>
  <c r="H150" i="1"/>
  <c r="H147" i="1"/>
  <c r="H95" i="1"/>
  <c r="D12" i="19" a="1"/>
  <c r="D12" i="19" s="1"/>
  <c r="V36" i="9" a="1"/>
  <c r="V36" i="9" s="1"/>
  <c r="AC36" i="9" s="1"/>
  <c r="D14" i="19" a="1"/>
  <c r="D14" i="19" s="1"/>
  <c r="E14" i="19" s="1"/>
  <c r="G49" i="9" a="1"/>
  <c r="G49" i="9" s="1"/>
  <c r="C6" i="9"/>
  <c r="E18" i="19" a="1"/>
  <c r="E18" i="19" s="1"/>
  <c r="B18" i="20"/>
  <c r="N87" i="9"/>
  <c r="P87" i="9" s="1"/>
  <c r="C13" i="9"/>
  <c r="C16" i="9"/>
  <c r="F49" i="9" a="1"/>
  <c r="F49" i="9" s="1"/>
  <c r="N107" i="9"/>
  <c r="P107" i="9" s="1"/>
  <c r="C49" i="9" a="1"/>
  <c r="C49" i="9" s="1"/>
  <c r="H49" i="9" a="1"/>
  <c r="H49" i="9" s="1"/>
  <c r="C15" i="9"/>
  <c r="N68" i="9"/>
  <c r="P68" i="9" s="1"/>
  <c r="AC33" i="9"/>
  <c r="AE33" i="9" s="1"/>
  <c r="C30" i="20" s="1"/>
  <c r="N62" i="9"/>
  <c r="P62" i="9" s="1"/>
  <c r="AC30" i="9"/>
  <c r="AE30" i="9" s="1"/>
  <c r="C27" i="20" s="1"/>
  <c r="N74" i="9"/>
  <c r="P74" i="9" s="1"/>
  <c r="E49" i="9" a="1"/>
  <c r="E49" i="9" s="1"/>
  <c r="H84" i="9"/>
  <c r="W5" i="9" s="1" a="1"/>
  <c r="W5" i="9" s="1"/>
  <c r="J84" i="9"/>
  <c r="C84" i="9"/>
  <c r="R5" i="9" s="1" a="1"/>
  <c r="R5" i="9" s="1"/>
  <c r="K49" i="9" a="1"/>
  <c r="K49" i="9" s="1"/>
  <c r="L84" i="9"/>
  <c r="AA5" i="9" s="1" a="1"/>
  <c r="AA5" i="9" s="1"/>
  <c r="J49" i="9" a="1"/>
  <c r="J49" i="9" s="1"/>
  <c r="E84" i="9"/>
  <c r="T5" i="9" s="1" a="1"/>
  <c r="T5" i="9" s="1"/>
  <c r="F84" i="9"/>
  <c r="U5" i="9" s="1" a="1"/>
  <c r="U5" i="9" s="1"/>
  <c r="D84" i="9"/>
  <c r="S5" i="9" s="1" a="1"/>
  <c r="S5" i="9" s="1"/>
  <c r="M49" i="9" a="1"/>
  <c r="M49" i="9" s="1"/>
  <c r="I49" i="9" a="1"/>
  <c r="I49" i="9" s="1"/>
  <c r="I84" i="9"/>
  <c r="X5" i="9" s="1" a="1"/>
  <c r="X5" i="9" s="1"/>
  <c r="B2" i="9"/>
  <c r="O84" i="9"/>
  <c r="AD5" i="9" s="1"/>
  <c r="B2" i="20" s="1"/>
  <c r="O49" i="9"/>
  <c r="M84" i="9"/>
  <c r="AB5" i="9" s="1" a="1"/>
  <c r="AB5" i="9" s="1"/>
  <c r="K84" i="9"/>
  <c r="Z5" i="9" s="1" a="1"/>
  <c r="Z5" i="9" s="1"/>
  <c r="C12" i="19" a="1"/>
  <c r="C12"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C19" i="10"/>
  <c r="F44" i="18"/>
  <c r="C14" i="8"/>
  <c r="C4" i="10" s="1"/>
  <c r="F489" i="17"/>
  <c r="K4" i="17"/>
  <c r="K6" i="17" s="1"/>
  <c r="E12" i="19" l="1"/>
  <c r="E16" i="19" s="1"/>
  <c r="E20" i="19" a="1"/>
  <c r="E20" i="19" s="1"/>
  <c r="N49" i="9"/>
  <c r="P49" i="9" s="1"/>
  <c r="E2" i="9"/>
  <c r="C2" i="9"/>
  <c r="N84" i="9"/>
  <c r="P84" i="9" s="1"/>
  <c r="Y5" i="9" a="1"/>
  <c r="Y5" i="9" s="1"/>
  <c r="AC5" i="9" s="1"/>
  <c r="AE5" i="9" s="1"/>
  <c r="C2" i="20" s="1"/>
  <c r="E14" i="8"/>
  <c r="C18" i="20"/>
  <c r="AE27" i="9"/>
  <c r="C24"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<sst xmlns="http://schemas.openxmlformats.org/spreadsheetml/2006/main" count="2570" uniqueCount="572">
  <si>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</si>
  <si>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</si>
  <si>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</si>
  <si>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</si>
  <si>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</si>
  <si>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</si>
  <si>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</si>
  <si>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</si>
  <si>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</si>
  <si>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</si>
  <si>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</si>
  <si>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</si>
  <si>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</si>
  <si>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</si>
  <si>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</si>
  <si>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</si>
  <si>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</si>
  <si>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</si>
  <si>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</si>
  <si>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</si>
  <si>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</si>
  <si>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</si>
  <si>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</si>
  <si>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</si>
  <si>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</si>
  <si>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</si>
  <si>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</si>
  <si>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</si>
  <si>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</si>
  <si>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</si>
  <si>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</si>
  <si>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</si>
  <si>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</si>
  <si>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</si>
  <si>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</si>
  <si>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</si>
  <si>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</si>
  <si>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</si>
  <si>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</si>
  <si>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</si>
  <si>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</si>
  <si>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</si>
  <si>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</si>
  <si>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</si>
  <si>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</si>
  <si>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</si>
  <si>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</si>
  <si>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</si>
  <si>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</si>
  <si>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</si>
  <si>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</si>
  <si>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</si>
  <si>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</si>
  <si>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</si>
  <si>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</si>
  <si>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</si>
  <si>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</si>
  <si>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</si>
  <si>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</si>
  <si>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</si>
  <si>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</si>
  <si>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</si>
  <si>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</si>
  <si>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</si>
  <si>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</si>
  <si>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</si>
  <si>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</si>
  <si>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</si>
  <si>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</si>
  <si>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</si>
  <si>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</si>
  <si>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</si>
  <si>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</si>
  <si>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</si>
  <si>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</si>
  <si>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</si>
  <si>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</si>
  <si>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</si>
  <si>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</si>
  <si>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</si>
  <si>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</si>
  <si>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</si>
  <si>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</si>
  <si>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</si>
  <si>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</si>
  <si>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</si>
  <si>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</si>
  <si>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</si>
  <si>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</si>
  <si>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</si>
  <si>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</si>
  <si>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</si>
  <si>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</si>
  <si>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</si>
  <si>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</si>
  <si>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</si>
  <si>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</si>
  <si>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</si>
  <si>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</si>
  <si>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</si>
  <si>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</si>
  <si>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</si>
  <si>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</si>
  <si>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</si>
  <si>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</si>
  <si>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</si>
  <si>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</si>
  <si>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</si>
  <si>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</si>
  <si>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</si>
  <si>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</si>
  <si>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</si>
  <si>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</si>
  <si>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</si>
  <si>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</si>
  <si>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</si>
  <si>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</si>
  <si>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</si>
  <si>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</si>
  <si>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</si>
  <si>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</si>
  <si>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</si>
  <si>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</si>
  <si>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</si>
  <si>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</si>
  <si>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</si>
  <si>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</si>
  <si>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</si>
  <si>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</si>
  <si>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</si>
  <si>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</si>
  <si>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</si>
  <si>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</si>
  <si>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</si>
  <si>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</si>
  <si>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</si>
  <si>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</si>
  <si>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</si>
  <si>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</si>
  <si>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</si>
  <si>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</si>
  <si>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</si>
  <si>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</si>
  <si>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</si>
  <si>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</si>
  <si>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</si>
  <si>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</si>
  <si>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</si>
  <si>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</si>
  <si>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</si>
  <si>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</si>
  <si>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</si>
  <si>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</si>
  <si>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</si>
  <si>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</si>
  <si>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</si>
  <si>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</si>
  <si>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</si>
  <si>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</si>
  <si>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</si>
  <si>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</si>
  <si>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</si>
  <si>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</si>
  <si>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</si>
  <si>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</si>
  <si>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</si>
  <si>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</si>
  <si>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</si>
  <si>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</si>
  <si>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</si>
  <si>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</si>
  <si>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</si>
  <si>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</si>
  <si>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</si>
  <si>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</si>
  <si>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</si>
  <si>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</si>
  <si>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</si>
  <si>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</si>
  <si>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</si>
  <si>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</si>
  <si>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</si>
  <si>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</si>
  <si>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</si>
  <si>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</si>
  <si>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</si>
  <si>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</si>
  <si>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</si>
  <si>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</si>
  <si>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</si>
  <si>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</si>
  <si>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</si>
  <si>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</si>
  <si>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</si>
  <si>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</si>
  <si>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</si>
  <si>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</si>
  <si>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</si>
  <si>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</si>
  <si>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</si>
  <si>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</si>
  <si>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</si>
  <si>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</si>
  <si>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</si>
  <si>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</si>
  <si>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</si>
  <si>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</si>
  <si>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</si>
  <si>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</si>
  <si>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</si>
  <si>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</si>
  <si>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</si>
  <si>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</si>
  <si>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</si>
  <si>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</si>
  <si>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</si>
  <si>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</si>
  <si>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</si>
  <si>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</si>
  <si>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</si>
  <si>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</si>
  <si>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</si>
  <si>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</si>
  <si>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</si>
  <si>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</si>
  <si>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</si>
  <si>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</si>
  <si>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</si>
  <si>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</si>
  <si>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</si>
  <si>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</si>
  <si>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</si>
  <si>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</si>
  <si>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</si>
  <si>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</si>
  <si>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</si>
  <si>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</si>
  <si>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</si>
  <si>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</si>
  <si>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</si>
  <si>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</si>
  <si>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</si>
  <si>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</si>
  <si>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</si>
  <si>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</si>
  <si>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</si>
  <si>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</si>
  <si>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</si>
  <si>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</si>
  <si>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</si>
  <si>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</si>
  <si>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</si>
  <si>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</si>
  <si>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</si>
  <si>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</si>
  <si>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</si>
  <si>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</si>
  <si>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</si>
  <si>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</si>
  <si>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</si>
  <si>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</si>
  <si>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</si>
  <si>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</si>
  <si>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</si>
  <si>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</si>
  <si>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</si>
  <si>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</si>
  <si>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</si>
  <si>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</si>
  <si>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</si>
  <si>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</si>
  <si>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</si>
  <si>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</si>
  <si>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</si>
  <si>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</si>
  <si>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</si>
  <si>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</si>
  <si>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</si>
  <si>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</si>
  <si>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</si>
  <si>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</si>
  <si>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</si>
  <si>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</si>
  <si>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</si>
  <si>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</si>
  <si>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</si>
  <si>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</si>
  <si>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</si>
  <si>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</si>
  <si>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</si>
  <si>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</si>
  <si>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</si>
  <si>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</si>
  <si>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</si>
  <si>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</si>
  <si>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</si>
  <si>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</si>
  <si>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</si>
  <si>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</si>
  <si>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</si>
  <si>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</si>
  <si>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</si>
  <si>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</si>
  <si>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</si>
  <si>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</si>
  <si>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</si>
  <si>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</si>
  <si>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</si>
  <si>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</si>
  <si>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</si>
  <si>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</si>
  <si>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</si>
  <si>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</si>
  <si>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</si>
  <si>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</si>
  <si>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</si>
  <si>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</si>
  <si>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</si>
  <si>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</si>
  <si>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</si>
  <si>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</si>
  <si>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</si>
  <si>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</si>
  <si>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</si>
  <si>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</si>
  <si>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</si>
  <si>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</si>
  <si>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</si>
  <si>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</si>
  <si>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</si>
  <si>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</si>
  <si>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</si>
  <si>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</si>
  <si>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</si>
  <si>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</si>
  <si>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</si>
  <si>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</si>
  <si>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</si>
  <si>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</si>
  <si>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</si>
  <si>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</si>
  <si>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</si>
  <si>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</si>
  <si>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</si>
  <si>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</si>
  <si>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</si>
  <si>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</si>
  <si>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</si>
  <si>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</si>
  <si>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</si>
  <si>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</si>
  <si>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</si>
  <si>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</si>
  <si>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</si>
  <si>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</si>
  <si>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</si>
  <si>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</si>
  <si>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</si>
  <si>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</si>
  <si>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</si>
  <si>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</si>
  <si>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</si>
  <si>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</si>
  <si>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</si>
  <si>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</si>
  <si>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</si>
  <si>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</si>
  <si>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</si>
  <si>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</si>
  <si>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</si>
  <si>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</si>
  <si>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</si>
  <si>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</si>
  <si>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</si>
  <si>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</si>
  <si>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</si>
  <si>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</si>
  <si>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</si>
  <si>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</si>
  <si>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</si>
  <si>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</si>
  <si>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</si>
  <si>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</si>
  <si>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</si>
  <si>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</si>
  <si>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</si>
  <si>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</si>
  <si>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</si>
  <si>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</si>
  <si>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</si>
  <si>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</si>
  <si>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</si>
  <si>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</si>
  <si>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</si>
  <si>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</si>
  <si>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</si>
  <si>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</si>
  <si>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</si>
  <si>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</si>
  <si>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</si>
  <si>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</si>
  <si>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</si>
  <si>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</si>
  <si>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</si>
  <si>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</si>
  <si>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</si>
  <si>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</si>
  <si>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</si>
  <si>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</si>
  <si>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</si>
  <si>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</si>
  <si>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</si>
  <si>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</si>
  <si>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</si>
  <si>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</si>
  <si>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</si>
  <si>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</si>
  <si>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</si>
  <si>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</si>
  <si>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</si>
  <si>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</si>
  <si>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</si>
  <si>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</si>
  <si>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</si>
  <si>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</si>
  <si>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</si>
  <si>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</si>
  <si>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</si>
  <si>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</si>
  <si>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</si>
  <si>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</si>
  <si>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</si>
  <si>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</si>
  <si>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</si>
  <si>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</si>
  <si>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</si>
  <si>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</si>
  <si>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</si>
  <si>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</si>
  <si>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</si>
  <si>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</si>
  <si>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</si>
  <si>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</si>
  <si>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</si>
  <si>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</si>
  <si>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</si>
  <si>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</si>
  <si>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</si>
  <si>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</si>
  <si>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</si>
  <si>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</si>
  <si>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</si>
  <si>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</si>
  <si>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</si>
  <si>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</si>
  <si>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</si>
  <si>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</si>
  <si>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</si>
  <si>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</si>
  <si>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</si>
  <si>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</si>
  <si>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</si>
  <si>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</si>
  <si>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</si>
  <si>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</si>
  <si>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</si>
  <si>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</si>
  <si>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</si>
  <si>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</si>
  <si>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</si>
  <si>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</si>
  <si>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</si>
  <si>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</si>
  <si>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</si>
  <si>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</si>
  <si>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</si>
  <si>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</si>
  <si>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</si>
  <si>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</si>
  <si>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</si>
  <si>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</si>
  <si>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</si>
  <si>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</si>
  <si>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</si>
  <si>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</si>
  <si>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</si>
  <si>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</si>
  <si>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</si>
  <si>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</si>
  <si>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</si>
  <si>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</si>
  <si>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</si>
  <si>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</si>
  <si>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</si>
  <si>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</si>
  <si>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</si>
  <si>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</si>
  <si>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</si>
  <si>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</si>
  <si>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</si>
  <si>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</si>
  <si>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</si>
  <si>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</si>
  <si>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</si>
  <si>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</si>
  <si>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</si>
  <si>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</si>
  <si>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</si>
  <si>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</si>
  <si>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</si>
  <si>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</si>
  <si>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</si>
  <si>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</si>
  <si>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</si>
  <si>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</si>
  <si>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</si>
  <si>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</si>
  <si>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</si>
  <si>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</si>
  <si>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</si>
  <si>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</si>
  <si>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</si>
  <si>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</si>
  <si>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</si>
  <si>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</si>
  <si>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</si>
  <si>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</si>
  <si>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</si>
  <si>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</si>
  <si>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</si>
  <si>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</si>
  <si>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</si>
  <si>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</si>
  <si>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</si>
  <si>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</si>
  <si>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</si>
  <si>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</si>
  <si>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</si>
  <si>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</si>
  <si>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</si>
  <si>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</si>
  <si>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</si>
  <si>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</si>
  <si>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Kora Transport</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</si>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</sst>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4" fontId="0" fillId="0" borderId="7" xfId="0" applyNumberFormat="1" applyFont="1" applyBorder="1"/>
    <xf numFmtId="0" fontId="0" fillId="0" borderId="0" xfId="0" applyNumberFormat="1"/>
  </cellXfs>
  <cellStyles count="2">
    <cellStyle name="Comma" xfId="1" builtinId="3"/>
    <cellStyle name="Normal" xfId="0" builtinId="0"/>
  </cellStyles>
  <dxfs count="16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516204" createdVersion="8" refreshedVersion="8" minRefreshableVersion="3" recordCount="197" xr:uid="{46CBB50D-3613-4E5B-8212-DD0313DCD05A}">
  <cacheSource type="worksheet">
    <worksheetSource name="Table1"/>
  </cacheSource>
  <cacheFields count="14">
    <cacheField name="Date" numFmtId="0">
      <sharedItems containsSemiMixedTypes="0" containsNonDate="0" containsDate="1" containsString="0" minDate="2026-01-20T00:00:00" maxDate="2026-02-19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MixedTypes="1" containsNumber="1" containsInteger="1" minValue="1375" maxValue="1509"/>
    </cacheField>
    <cacheField name="Quality" numFmtId="0">
      <sharedItems containsBlank="1"/>
    </cacheField>
    <cacheField name="Shipment Number" numFmtId="164">
      <sharedItems containsBlank="1" containsMixedTypes="1" containsNumber="1" containsInteger="1" minValue="1558" maxValue="17000" count="445">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6087964" createdVersion="8" refreshedVersion="8" minRefreshableVersion="3" recordCount="487" xr:uid="{B5BDFB73-D93A-4A7A-8149-666BC190B09B}">
  <cacheSource type="worksheet">
    <worksheetSource name="Table14"/>
  </cacheSource>
  <cacheFields count="7">
    <cacheField name="Date" numFmtId="0">
      <sharedItems containsNonDate="0" containsDate="1" containsString="0" containsBlank="1" minDate="2025-12-23T00:00:00" maxDate="2026-02-19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Ibraheem" u="1"/>
        <s v="Electricity"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643518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477106.80321872717"/>
    </cacheField>
    <cacheField name="Rate" numFmtId="0">
      <sharedItems containsString="0" containsBlank="1" containsNumber="1" minValue="10" maxValue="12"/>
    </cacheField>
    <cacheField name="Total" numFmtId="164">
      <sharedItems containsSemiMixedTypes="0" containsString="0" containsNumber="1" minValue="0" maxValue="4988065.106071690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6666665"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8T00:00:00" count="75">
        <d v="2025-12-17T00:00:00"/>
        <d v="2026-01-22T00:00:00"/>
        <d v="2026-01-26T00:00:00"/>
        <d v="2026-01-29T00:00:00"/>
        <d v="2026-01-31T00:00:00"/>
        <d v="2026-02-03T00:00:00"/>
        <d v="2026-02-05T00:00:00"/>
        <d v="2026-02-07T00:00:00"/>
        <d v="2026-02-09T00:00:00"/>
        <d v="2026-02-14T00:00:00"/>
        <d v="2026-02-17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6898149"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1">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2.065417129626"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6"/>
    <s v="Silky"/>
    <x v="71"/>
    <n v="1519"/>
    <n v="1650"/>
    <n v="0.67291989830832222"/>
    <n v="1508.7783467446966"/>
    <n v="19614.118507681054"/>
    <m/>
  </r>
  <r>
    <d v="2026-02-18T00:00:00"/>
    <x v="22"/>
    <n v="1507"/>
    <s v="Silky"/>
    <x v="72"/>
    <n v="1308"/>
    <n v="1408"/>
    <n v="1.5679773785315234"/>
    <n v="1287.4908558888078"/>
    <n v="16737.381126554501"/>
    <m/>
  </r>
  <r>
    <d v="2026-02-18T00:00:00"/>
    <x v="30"/>
    <n v="1508"/>
    <m/>
    <x v="0"/>
    <m/>
    <m/>
    <e v="#DIV/0!"/>
    <m/>
    <m/>
    <m/>
  </r>
  <r>
    <d v="2026-02-18T00:00:00"/>
    <x v="30"/>
    <n v="1509"/>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7">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5"/>
    <m/>
    <n v="-30000"/>
    <s v="Kora Transport"/>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4"/>
    <m/>
    <m/>
    <m/>
    <m/>
    <m/>
  </r>
  <r>
    <d v="2026-02-18T00:00:00"/>
    <x v="14"/>
    <m/>
    <m/>
    <m/>
    <m/>
    <m/>
  </r>
  <r>
    <d v="2026-02-18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77106.80321872717"/>
    <n v="10"/>
    <n v="4988065.1060716901"/>
  </r>
  <r>
    <x v="1"/>
    <n v="92419.531821506956"/>
    <n v="10"/>
    <n v="1109034.3818580834"/>
  </r>
  <r>
    <x v="2"/>
    <n v="64937.820043891741"/>
    <n v="10"/>
    <n v="688332.11411850771"/>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27745.97659107536"/>
    <m/>
    <n v="1277459.7659107535"/>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9"/>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40">
      <pivotArea field="0" grandRow="1" outline="0" collapsedLevelsAreSubtotals="1" axis="axisRow" fieldPosition="0">
        <references count="1">
          <reference field="4294967294" count="1" selected="0">
            <x v="1"/>
          </reference>
        </references>
      </pivotArea>
    </format>
    <format dxfId="41">
      <pivotArea field="0" grandRow="1" outline="0" collapsedLevelsAreSubtotals="1" axis="axisRow" fieldPosition="0">
        <references count="1">
          <reference field="4294967294" count="1" selected="0">
            <x v="0"/>
          </reference>
        </references>
      </pivotArea>
    </format>
    <format dxfId="42">
      <pivotArea collapsedLevelsAreSubtotals="1" fieldPosition="0">
        <references count="2">
          <reference field="4294967294" count="1" selected="0">
            <x v="1"/>
          </reference>
          <reference field="0" count="0"/>
        </references>
      </pivotArea>
    </format>
    <format dxfId="4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6" firstHeaderRow="0" firstDataRow="1" firstDataCol="1" rowPageCount="1" colPageCount="1"/>
  <pivotFields count="9">
    <pivotField axis="axisRow" numFmtId="14" showAll="0">
      <items count="192">
        <item m="1" x="175"/>
        <item m="1" x="176"/>
        <item m="1" x="177"/>
        <item m="1" x="178"/>
        <item m="1" x="179"/>
        <item m="1" x="180"/>
        <item m="1" x="181"/>
        <item m="1" x="190"/>
        <item m="1" x="171"/>
        <item m="1" x="182"/>
        <item m="1" x="183"/>
        <item m="1" x="184"/>
        <item m="1" x="185"/>
        <item m="1" x="186"/>
        <item m="1" x="187"/>
        <item m="1" x="188"/>
        <item m="1" x="142"/>
        <item m="1" x="143"/>
        <item m="1" x="189"/>
        <item m="1" x="144"/>
        <item m="1" x="141"/>
        <item m="1" x="145"/>
        <item m="1" x="147"/>
        <item m="1" x="148"/>
        <item m="1" x="149"/>
        <item m="1" x="151"/>
        <item m="1" x="152"/>
        <item m="1" x="153"/>
        <item m="1" x="146"/>
        <item m="1" x="150"/>
        <item m="1" x="154"/>
        <item m="1" x="155"/>
        <item m="1" x="156"/>
        <item m="1" x="157"/>
        <item m="1" x="140"/>
        <item m="1" x="158"/>
        <item m="1" x="172"/>
        <item m="1" x="173"/>
        <item m="1" x="174"/>
        <item m="1" x="159"/>
        <item m="1" x="160"/>
        <item m="1" x="161"/>
        <item m="1" x="162"/>
        <item m="1" x="163"/>
        <item m="1" x="164"/>
        <item m="1" x="165"/>
        <item m="1" x="166"/>
        <item m="1" x="167"/>
        <item m="1" x="168"/>
        <item m="1" x="169"/>
        <item m="1" x="170"/>
        <item m="1" x="111"/>
        <item m="1" x="112"/>
        <item m="1" x="113"/>
        <item m="1" x="114"/>
        <item m="1" x="115"/>
        <item m="1" x="116"/>
        <item m="1" x="117"/>
        <item m="1" x="118"/>
        <item m="1" x="120"/>
        <item m="1" x="121"/>
        <item m="1" x="122"/>
        <item m="1" x="119"/>
        <item m="1" x="123"/>
        <item m="1" x="124"/>
        <item m="1" x="125"/>
        <item m="1" x="126"/>
        <item m="1" x="127"/>
        <item m="1" x="128"/>
        <item m="1" x="129"/>
        <item m="1" x="130"/>
        <item m="1" x="131"/>
        <item m="1" x="132"/>
        <item m="1" x="133"/>
        <item m="1" x="134"/>
        <item m="1" x="135"/>
        <item m="1" x="136"/>
        <item m="1" x="137"/>
        <item m="1" x="138"/>
        <item m="1" x="139"/>
        <item m="1" x="57"/>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58"/>
        <item m="1" x="61"/>
        <item m="1" x="59"/>
        <item m="1" x="60"/>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25"/>
        <item m="1" x="26"/>
        <item m="1" x="27"/>
        <item m="1" x="28"/>
        <item m="1" x="29"/>
        <item m="1" x="30"/>
        <item m="1" x="31"/>
        <item m="1" x="32"/>
        <item x="1"/>
        <item m="1" x="33"/>
        <item m="1" x="34"/>
        <item m="1" x="35"/>
        <item m="1" x="36"/>
        <item m="1" x="37"/>
        <item m="1" x="38"/>
        <item m="1" x="56"/>
        <item m="1" x="39"/>
        <item m="1" x="40"/>
        <item m="1" x="24"/>
        <item m="1" x="23"/>
        <item m="1" x="41"/>
        <item m="1" x="42"/>
        <item m="1" x="43"/>
        <item m="1" x="44"/>
        <item m="1" x="45"/>
        <item m="1" x="46"/>
        <item m="1" x="47"/>
        <item m="1" x="48"/>
        <item m="1" x="49"/>
        <item m="1" x="50"/>
        <item m="1" x="51"/>
        <item m="1" x="52"/>
        <item m="1" x="53"/>
        <item m="1" x="54"/>
        <item m="1" x="55"/>
        <item x="0"/>
        <item x="2"/>
        <item x="3"/>
        <item x="4"/>
        <item x="5"/>
        <item x="6"/>
        <item x="7"/>
        <item x="8"/>
        <item x="9"/>
        <item x="10"/>
        <item x="11"/>
        <item x="12"/>
        <item x="13"/>
        <item x="14"/>
        <item x="15"/>
        <item x="16"/>
        <item x="17"/>
        <item x="18"/>
        <item x="19"/>
        <item x="20"/>
        <item x="21"/>
        <item x="22"/>
        <item t="default"/>
      </items>
    </pivotField>
    <pivotField axis="axisPage" showAll="0">
      <items count="14">
        <item x="0"/>
        <item x="1"/>
        <item x="10"/>
        <item m="1" x="12"/>
        <item x="3"/>
        <item x="4"/>
        <item x="5"/>
        <item m="1" x="11"/>
        <item x="6"/>
        <item x="7"/>
        <item x="8"/>
        <item x="9"/>
        <item x="2"/>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8">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38">
      <pivotArea dataOnly="0" labelOnly="1" outline="0" fieldPosition="0">
        <references count="1">
          <reference field="1" count="1">
            <x v="1"/>
          </reference>
        </references>
      </pivotArea>
    </format>
    <format dxfId="3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2" firstHeaderRow="0" firstDataRow="1" firstDataCol="1"/>
  <pivotFields count="7">
    <pivotField numFmtId="14" showAll="0"/>
    <pivotField axis="axisRow" showAll="0">
      <items count="90">
        <item x="6"/>
        <item x="29"/>
        <item m="1" x="57"/>
        <item m="1" x="76"/>
        <item m="1" x="79"/>
        <item x="23"/>
        <item x="15"/>
        <item x="11"/>
        <item x="4"/>
        <item x="7"/>
        <item x="12"/>
        <item m="1" x="87"/>
        <item m="1" x="52"/>
        <item x="5"/>
        <item x="32"/>
        <item m="1" x="85"/>
        <item x="2"/>
        <item x="26"/>
        <item x="3"/>
        <item x="21"/>
        <item x="14"/>
        <item x="22"/>
        <item m="1" x="88"/>
        <item m="1" x="53"/>
        <item x="36"/>
        <item m="1" x="86"/>
        <item m="1" x="78"/>
        <item m="1" x="61"/>
        <item m="1" x="80"/>
        <item m="1" x="81"/>
        <item m="1" x="82"/>
        <item m="1" x="83"/>
        <item x="10"/>
        <item m="1" x="84"/>
        <item m="1" x="54"/>
        <item x="45"/>
        <item x="43"/>
        <item x="39"/>
        <item m="1" x="75"/>
        <item m="1" x="71"/>
        <item m="1" x="50"/>
        <item x="17"/>
        <item x="40"/>
        <item m="1" x="77"/>
        <item x="1"/>
        <item x="31"/>
        <item m="1" x="66"/>
        <item x="25"/>
        <item x="8"/>
        <item m="1" x="67"/>
        <item m="1" x="68"/>
        <item m="1" x="69"/>
        <item m="1" x="70"/>
        <item m="1" x="72"/>
        <item x="38"/>
        <item m="1" x="58"/>
        <item m="1" x="73"/>
        <item m="1" x="74"/>
        <item m="1" x="56"/>
        <item x="42"/>
        <item m="1" x="55"/>
        <item m="1" x="49"/>
        <item m="1" x="59"/>
        <item x="46"/>
        <item m="1" x="65"/>
        <item x="13"/>
        <item x="27"/>
        <item m="1" x="62"/>
        <item x="16"/>
        <item m="1" x="60"/>
        <item x="18"/>
        <item m="1" x="63"/>
        <item x="20"/>
        <item m="1" x="64"/>
        <item x="0"/>
        <item x="47"/>
        <item x="9"/>
        <item m="1" x="51"/>
        <item x="19"/>
        <item x="37"/>
        <item m="1" x="48"/>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9">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3"/>
    </i>
    <i>
      <x v="65"/>
    </i>
    <i>
      <x v="66"/>
    </i>
    <i>
      <x v="68"/>
    </i>
    <i>
      <x v="70"/>
    </i>
    <i>
      <x v="72"/>
    </i>
    <i>
      <x v="74"/>
    </i>
    <i>
      <x v="75"/>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2" firstHeaderRow="0" firstDataRow="1" firstDataCol="1" rowPageCount="1" colPageCount="1"/>
  <pivotFields count="9">
    <pivotField axis="axisRow" showAll="0">
      <items count="76">
        <item m="1" x="70"/>
        <item m="1" x="71"/>
        <item m="1" x="72"/>
        <item m="1" x="73"/>
        <item m="1" x="74"/>
        <item m="1" x="69"/>
        <item m="1" x="57"/>
        <item m="1" x="58"/>
        <item m="1" x="62"/>
        <item m="1" x="63"/>
        <item m="1" x="59"/>
        <item m="1" x="64"/>
        <item m="1" x="65"/>
        <item m="1" x="66"/>
        <item m="1" x="67"/>
        <item m="1" x="68"/>
        <item m="1" x="56"/>
        <item m="1" x="60"/>
        <item m="1" x="61"/>
        <item m="1" x="49"/>
        <item m="1" x="50"/>
        <item m="1" x="51"/>
        <item m="1" x="52"/>
        <item m="1" x="53"/>
        <item m="1" x="54"/>
        <item m="1" x="55"/>
        <item m="1" x="25"/>
        <item m="1" x="41"/>
        <item m="1" x="42"/>
        <item m="1" x="43"/>
        <item m="1" x="44"/>
        <item m="1" x="45"/>
        <item m="1" x="46"/>
        <item m="1" x="47"/>
        <item m="1" x="48"/>
        <item m="1" x="26"/>
        <item m="1" x="27"/>
        <item m="1" x="28"/>
        <item m="1" x="29"/>
        <item m="1" x="30"/>
        <item m="1" x="31"/>
        <item m="1" x="32"/>
        <item m="1" x="34"/>
        <item m="1" x="35"/>
        <item m="1" x="33"/>
        <item m="1" x="36"/>
        <item m="1" x="37"/>
        <item m="1" x="38"/>
        <item m="1" x="39"/>
        <item m="1" x="40"/>
        <item x="0"/>
        <item m="1" x="12"/>
        <item m="1" x="13"/>
        <item m="1" x="14"/>
        <item m="1" x="15"/>
        <item m="1" x="16"/>
        <item m="1" x="17"/>
        <item m="1" x="18"/>
        <item m="1" x="19"/>
        <item m="1" x="20"/>
        <item m="1" x="21"/>
        <item m="1" x="22"/>
        <item m="1" x="23"/>
        <item m="1" x="24"/>
        <item x="1"/>
        <item x="2"/>
        <item x="3"/>
        <item x="4"/>
        <item x="5"/>
        <item x="11"/>
        <item x="6"/>
        <item x="7"/>
        <item x="8"/>
        <item x="9"/>
        <item x="10"/>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3">
    <i>
      <x v="50"/>
    </i>
    <i>
      <x v="64"/>
    </i>
    <i>
      <x v="65"/>
    </i>
    <i>
      <x v="66"/>
    </i>
    <i>
      <x v="67"/>
    </i>
    <i>
      <x v="68"/>
    </i>
    <i>
      <x v="69"/>
    </i>
    <i>
      <x v="70"/>
    </i>
    <i>
      <x v="71"/>
    </i>
    <i>
      <x v="72"/>
    </i>
    <i>
      <x v="73"/>
    </i>
    <i>
      <x v="7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7"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46">
        <item m="1" x="428"/>
        <item m="1" x="429"/>
        <item m="1" x="427"/>
        <item m="1" x="426"/>
        <item m="1" x="430"/>
        <item m="1" x="432"/>
        <item m="1" x="431"/>
        <item m="1" x="433"/>
        <item m="1" x="434"/>
        <item m="1" x="435"/>
        <item m="1" x="436"/>
        <item m="1" x="437"/>
        <item m="1" x="438"/>
        <item m="1" x="439"/>
        <item m="1" x="364"/>
        <item m="1" x="386"/>
        <item m="1" x="440"/>
        <item m="1" x="441"/>
        <item m="1" x="442"/>
        <item m="1" x="394"/>
        <item m="1" x="393"/>
        <item m="1" x="443"/>
        <item m="1" x="444"/>
        <item m="1" x="403"/>
        <item m="1" x="395"/>
        <item m="1" x="396"/>
        <item m="1" x="397"/>
        <item m="1" x="398"/>
        <item m="1" x="399"/>
        <item m="1" x="400"/>
        <item m="1" x="401"/>
        <item m="1" x="402"/>
        <item m="1" x="404"/>
        <item m="1" x="424"/>
        <item m="1" x="405"/>
        <item m="1" x="425"/>
        <item m="1" x="406"/>
        <item m="1" x="407"/>
        <item m="1" x="408"/>
        <item m="1" x="409"/>
        <item m="1" x="410"/>
        <item m="1" x="341"/>
        <item m="1" x="411"/>
        <item m="1" x="412"/>
        <item m="1" x="413"/>
        <item m="1" x="414"/>
        <item m="1" x="415"/>
        <item m="1" x="416"/>
        <item m="1" x="417"/>
        <item m="1" x="418"/>
        <item m="1" x="419"/>
        <item m="1" x="420"/>
        <item m="1" x="421"/>
        <item m="1" x="422"/>
        <item m="1" x="423"/>
        <item x="0"/>
        <item m="1" x="340"/>
        <item m="1" x="342"/>
        <item m="1" x="343"/>
        <item m="1" x="344"/>
        <item m="1" x="345"/>
        <item m="1" x="346"/>
        <item m="1" x="347"/>
        <item m="1" x="348"/>
        <item m="1" x="349"/>
        <item m="1" x="350"/>
        <item m="1" x="351"/>
        <item m="1" x="352"/>
        <item m="1" x="353"/>
        <item m="1" x="354"/>
        <item m="1" x="78"/>
        <item m="1" x="355"/>
        <item m="1" x="356"/>
        <item m="1" x="357"/>
        <item m="1" x="358"/>
        <item m="1" x="359"/>
        <item m="1" x="360"/>
        <item m="1" x="361"/>
        <item m="1" x="362"/>
        <item m="1" x="363"/>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7"/>
        <item m="1" x="388"/>
        <item m="1" x="389"/>
        <item m="1" x="390"/>
        <item m="1" x="391"/>
        <item m="1" x="392"/>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95"/>
        <item m="1" x="309"/>
        <item m="1" x="310"/>
        <item m="1" x="311"/>
        <item m="1" x="312"/>
        <item m="1" x="313"/>
        <item m="1" x="314"/>
        <item m="1" x="315"/>
        <item m="1" x="316"/>
        <item m="1" x="317"/>
        <item m="1" x="318"/>
        <item m="1" x="319"/>
        <item m="1" x="339"/>
        <item m="1" x="320"/>
        <item m="1" x="321"/>
        <item m="1" x="322"/>
        <item m="1" x="323"/>
        <item m="1" x="324"/>
        <item m="1" x="325"/>
        <item m="1" x="326"/>
        <item m="1" x="327"/>
        <item m="1" x="328"/>
        <item m="1" x="329"/>
        <item m="1" x="330"/>
        <item m="1" x="331"/>
        <item m="1" x="332"/>
        <item m="1" x="333"/>
        <item m="1" x="334"/>
        <item m="1" x="335"/>
        <item m="1" x="336"/>
        <item m="1" x="337"/>
        <item m="1" x="338"/>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135"/>
        <item m="1" x="258"/>
        <item m="1" x="126"/>
        <item m="1" x="127"/>
        <item m="1" x="128"/>
        <item m="1" x="129"/>
        <item m="1" x="130"/>
        <item m="1" x="131"/>
        <item m="1" x="132"/>
        <item m="1" x="133"/>
        <item m="1" x="134"/>
        <item m="1" x="136"/>
        <item m="1" x="137"/>
        <item m="1" x="138"/>
        <item m="1" x="139"/>
        <item m="1" x="140"/>
        <item m="1" x="141"/>
        <item m="1" x="142"/>
        <item m="1" x="143"/>
        <item m="1" x="144"/>
        <item m="1" x="145"/>
        <item m="1" x="146"/>
        <item m="1" x="147"/>
        <item m="1" x="148"/>
        <item m="1" x="149"/>
        <item m="1" x="75"/>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79"/>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76"/>
        <item m="1" x="201"/>
        <item m="1" x="202"/>
        <item m="1" x="73"/>
        <item m="1" x="82"/>
        <item m="1" x="74"/>
        <item m="1" x="77"/>
        <item m="1" x="80"/>
        <item m="1" x="81"/>
        <item m="1" x="83"/>
        <item m="1" x="84"/>
        <item m="1" x="85"/>
        <item m="1" x="86"/>
        <item m="1" x="87"/>
        <item m="1" x="88"/>
        <item m="1" x="89"/>
        <item m="1" x="90"/>
        <item m="1" x="91"/>
        <item m="1" x="92"/>
        <item m="1" x="93"/>
        <item m="1" x="94"/>
        <item m="1" x="96"/>
        <item m="1" x="97"/>
        <item m="1" x="98"/>
        <item x="47"/>
        <item x="19"/>
        <item m="1" x="99"/>
        <item m="1" x="100"/>
        <item m="1" x="101"/>
        <item x="8"/>
        <item m="1" x="102"/>
        <item m="1" x="103"/>
        <item m="1" x="104"/>
        <item m="1" x="105"/>
        <item x="68"/>
        <item m="1" x="106"/>
        <item m="1" x="107"/>
        <item m="1" x="108"/>
        <item m="1" x="109"/>
        <item m="1" x="110"/>
        <item m="1" x="111"/>
        <item m="1" x="112"/>
        <item m="1" x="113"/>
        <item m="1" x="114"/>
        <item m="1" x="115"/>
        <item m="1" x="116"/>
        <item m="1" x="117"/>
        <item m="1" x="125"/>
        <item m="1" x="118"/>
        <item m="1" x="119"/>
        <item x="5"/>
        <item x="6"/>
        <item m="1" x="120"/>
        <item x="21"/>
        <item m="1" x="121"/>
        <item m="1" x="122"/>
        <item m="1" x="123"/>
        <item m="1" x="124"/>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4">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5">
      <pivotArea type="all" dataOnly="0" outline="0" fieldPosition="0"/>
    </format>
    <format dxfId="46">
      <pivotArea outline="0" collapsedLevelsAreSubtotals="1" fieldPosition="0"/>
    </format>
    <format dxfId="47">
      <pivotArea field="4" type="button" dataOnly="0" labelOnly="1" outline="0" axis="axisRow" fieldPosition="0"/>
    </format>
    <format dxfId="48">
      <pivotArea dataOnly="0" labelOnly="1" fieldPosition="0">
        <references count="1">
          <reference field="4" count="0"/>
        </references>
      </pivotArea>
    </format>
    <format dxfId="49">
      <pivotArea dataOnly="0" labelOnly="1" grandRow="1" outline="0" fieldPosition="0"/>
    </format>
    <format dxfId="50">
      <pivotArea dataOnly="0" labelOnly="1" outline="0" fieldPosition="0">
        <references count="1">
          <reference field="4294967294" count="2">
            <x v="0"/>
            <x v="1"/>
          </reference>
        </references>
      </pivotArea>
    </format>
    <format dxfId="51">
      <pivotArea grandRow="1" outline="0" collapsedLevelsAreSubtotals="1" fieldPosition="0"/>
    </format>
    <format dxfId="52">
      <pivotArea field="4" type="button" dataOnly="0" labelOnly="1" outline="0" axis="axisRow" fieldPosition="0"/>
    </format>
    <format dxfId="5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5">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28" s="1"/>
        <i x="23" s="1"/>
        <i x="49" s="1"/>
        <i x="50" s="1"/>
        <i x="48" s="1"/>
        <i x="35" s="1"/>
        <i x="64" s="1"/>
        <i x="39" s="1"/>
        <i x="38" s="1"/>
        <i x="46" s="1"/>
        <i x="51" s="1"/>
        <i x="58" s="1"/>
        <i x="72" s="1"/>
        <i x="71" s="1"/>
        <i x="45" s="1"/>
        <i x="44" s="1"/>
        <i x="54" s="1"/>
        <i x="62" s="1"/>
        <i x="37" s="1"/>
        <i x="57" s="1"/>
        <i x="65" s="1"/>
        <i x="43" s="1"/>
        <i x="61" s="1"/>
        <i x="56" s="1"/>
        <i x="55" s="1"/>
        <i x="60" s="1"/>
        <i x="69" s="1"/>
        <i x="66" s="1"/>
        <i x="9" s="1"/>
        <i x="10" s="1"/>
        <i x="20" s="1"/>
        <i x="52" s="1"/>
        <i x="30" s="1"/>
        <i x="399" s="1" nd="1"/>
        <i x="428" s="1" nd="1"/>
        <i x="429" s="1" nd="1"/>
        <i x="437" s="1" nd="1"/>
        <i x="427" s="1" nd="1"/>
        <i x="426" s="1" nd="1"/>
        <i x="430" s="1" nd="1"/>
        <i x="441" s="1" nd="1"/>
        <i x="433" s="1" nd="1"/>
        <i x="434" s="1" nd="1"/>
        <i x="431" s="1" nd="1"/>
        <i x="432" s="1" nd="1"/>
        <i x="442" s="1" nd="1"/>
        <i x="435" s="1" nd="1"/>
        <i x="436" s="1" nd="1"/>
        <i x="439" s="1" nd="1"/>
        <i x="440" s="1" nd="1"/>
        <i x="438" s="1" nd="1"/>
        <i x="394" s="1" nd="1"/>
        <i x="444" s="1" nd="1"/>
        <i x="393" s="1" nd="1"/>
        <i x="443" s="1" nd="1"/>
        <i x="396" s="1" nd="1"/>
        <i x="357" s="1" nd="1"/>
        <i x="395" s="1" nd="1"/>
        <i x="397" s="1" nd="1"/>
        <i x="403" s="1" nd="1"/>
        <i x="398" s="1" nd="1"/>
        <i x="400" s="1" nd="1"/>
        <i x="416" s="1" nd="1"/>
        <i x="340" s="1" nd="1"/>
        <i x="404" s="1" nd="1"/>
        <i x="345" s="1" nd="1"/>
        <i x="410" s="1" nd="1"/>
        <i x="405" s="1" nd="1"/>
        <i x="408" s="1" nd="1"/>
        <i x="413" s="1" nd="1"/>
        <i x="424" s="1" nd="1"/>
        <i x="406" s="1" nd="1"/>
        <i x="418" s="1" nd="1"/>
        <i x="421" s="1" nd="1"/>
        <i x="412" s="1" nd="1"/>
        <i x="401" s="1" nd="1"/>
        <i x="409" s="1" nd="1"/>
        <i x="402" s="1" nd="1"/>
        <i x="407" s="1" nd="1"/>
        <i x="341" s="1" nd="1"/>
        <i x="411" s="1" nd="1"/>
        <i x="417" s="1" nd="1"/>
        <i x="78" s="1" nd="1"/>
        <i x="414" s="1" nd="1"/>
        <i x="419" s="1" nd="1"/>
        <i x="415" s="1" nd="1"/>
        <i x="381" s="1" nd="1"/>
        <i x="420" s="1" nd="1"/>
        <i x="422" s="1" nd="1"/>
        <i x="343" s="1" nd="1"/>
        <i x="350" s="1" nd="1"/>
        <i x="423" s="1" nd="1"/>
        <i x="347" s="1" nd="1"/>
        <i x="348" s="1" nd="1"/>
        <i x="342" s="1" nd="1"/>
        <i x="346" s="1" nd="1"/>
        <i x="234" s="1" nd="1"/>
        <i x="344" s="1" nd="1"/>
        <i x="353" s="1" nd="1"/>
        <i x="349" s="1" nd="1"/>
        <i x="351" s="1" nd="1"/>
        <i x="354" s="1" nd="1"/>
        <i x="361" s="1" nd="1"/>
        <i x="352" s="1" nd="1"/>
        <i x="360" s="1" nd="1"/>
        <i x="365" s="1" nd="1"/>
        <i x="359" s="1" nd="1"/>
        <i x="362" s="1" nd="1"/>
        <i x="372" s="1" nd="1"/>
        <i x="358" s="1" nd="1"/>
        <i x="355" s="1" nd="1"/>
        <i x="356" s="1" nd="1"/>
        <i x="371" s="1" nd="1"/>
        <i x="230" s="1" nd="1"/>
        <i x="364" s="1" nd="1"/>
        <i x="375" s="1" nd="1"/>
        <i x="370" s="1" nd="1"/>
        <i x="363" s="1" nd="1"/>
        <i x="387" s="1" nd="1"/>
        <i x="368" s="1" nd="1"/>
        <i x="378" s="1" nd="1"/>
        <i x="376" s="1" nd="1"/>
        <i x="366" s="1" nd="1"/>
        <i x="374" s="1" nd="1"/>
        <i x="373" s="1" nd="1"/>
        <i x="369" s="1" nd="1"/>
        <i x="379" s="1" nd="1"/>
        <i x="377" s="1" nd="1"/>
        <i x="380" s="1" nd="1"/>
        <i x="367" s="1" nd="1"/>
        <i x="309" s="1" nd="1"/>
        <i x="382" s="1" nd="1"/>
        <i x="383" s="1" nd="1"/>
        <i x="268" s="1" nd="1"/>
        <i x="270" s="1" nd="1"/>
        <i x="390" s="1" nd="1"/>
        <i x="264" s="1" nd="1"/>
        <i x="310" s="1" nd="1"/>
        <i x="384" s="1" nd="1"/>
        <i x="385" s="1" nd="1"/>
        <i x="267" s="1" nd="1"/>
        <i x="392" s="1" nd="1"/>
        <i x="266" s="1" nd="1"/>
        <i x="281" s="1" nd="1"/>
        <i x="391" s="1" nd="1"/>
        <i x="386" s="1" nd="1"/>
        <i x="285" s="1" nd="1"/>
        <i x="389" s="1" nd="1"/>
        <i x="388" s="1" nd="1"/>
        <i x="306" s="1" nd="1"/>
        <i x="259" s="1" nd="1"/>
        <i x="271" s="1" nd="1"/>
        <i x="307" s="1" nd="1"/>
        <i x="305" s="1" nd="1"/>
        <i x="263" s="1" nd="1"/>
        <i x="265" s="1" nd="1"/>
        <i x="98" s="1" nd="1"/>
        <i x="269" s="1" nd="1"/>
        <i x="260" s="1" nd="1"/>
        <i x="295" s="1" nd="1"/>
        <i x="300" s="1" nd="1"/>
        <i x="261" s="1" nd="1"/>
        <i x="262" s="1" nd="1"/>
        <i x="272" s="1" nd="1"/>
        <i x="275" s="1" nd="1"/>
        <i x="282" s="1" nd="1"/>
        <i x="274" s="1" nd="1"/>
        <i x="277" s="1" nd="1"/>
        <i x="276" s="1" nd="1"/>
        <i x="318" s="1" nd="1"/>
        <i x="273" s="1" nd="1"/>
        <i x="298" s="1" nd="1"/>
        <i x="313" s="1" nd="1"/>
        <i x="278" s="1" nd="1"/>
        <i x="303" s="1" nd="1"/>
        <i x="315" s="1" nd="1"/>
        <i x="287" s="1" nd="1"/>
        <i x="327" s="1" nd="1"/>
        <i x="286" s="1" nd="1"/>
        <i x="283" s="1" nd="1"/>
        <i x="279" s="1" nd="1"/>
        <i x="280" s="1" nd="1"/>
        <i x="299" s="1" nd="1"/>
        <i x="288" s="1" nd="1"/>
        <i x="211" s="1" nd="1"/>
        <i x="289" s="1" nd="1"/>
        <i x="284" s="1" nd="1"/>
        <i x="291" s="1" nd="1"/>
        <i x="292" s="1" nd="1"/>
        <i x="320" s="1" nd="1"/>
        <i x="290" s="1" nd="1"/>
        <i x="308" s="1" nd="1"/>
        <i x="296" s="1" nd="1"/>
        <i x="293" s="1" nd="1"/>
        <i x="297" s="1" nd="1"/>
        <i x="294" s="1" nd="1"/>
        <i x="301" s="1" nd="1"/>
        <i x="93" s="1" nd="1"/>
        <i x="319" s="1" nd="1"/>
        <i x="314" s="1" nd="1"/>
        <i x="333" s="1" nd="1"/>
        <i x="302" s="1" nd="1"/>
        <i x="204" s="1" nd="1"/>
        <i x="312" s="1" nd="1"/>
        <i x="304" s="1" nd="1"/>
        <i x="328" s="1" nd="1"/>
        <i x="311" s="1" nd="1"/>
        <i x="326" s="1" nd="1"/>
        <i x="212" s="1" nd="1"/>
        <i x="317" s="1" nd="1"/>
        <i x="316" s="1" nd="1"/>
        <i x="332" s="1" nd="1"/>
        <i x="329" s="1" nd="1"/>
        <i x="223" s="1" nd="1"/>
        <i x="337" s="1" nd="1"/>
        <i x="321" s="1" nd="1"/>
        <i x="330" s="1" nd="1"/>
        <i x="335" s="1" nd="1"/>
        <i x="214" s="1" nd="1"/>
        <i x="240" s="1" nd="1"/>
        <i x="339" s="1" nd="1"/>
        <i x="336" s="1" nd="1"/>
        <i x="205" s="1" nd="1"/>
        <i x="225" s="1" nd="1"/>
        <i x="331" s="1" nd="1"/>
        <i x="207" s="1" nd="1"/>
        <i x="322" s="1" nd="1"/>
        <i x="325" s="1" nd="1"/>
        <i x="222" s="1" nd="1"/>
        <i x="334" s="1" nd="1"/>
        <i x="323" s="1" nd="1"/>
        <i x="324" s="1" nd="1"/>
        <i x="209" s="1" nd="1"/>
        <i x="227" s="1" nd="1"/>
        <i x="228" s="1" nd="1"/>
        <i x="241" s="1" nd="1"/>
        <i x="338" s="1" nd="1"/>
        <i x="203" s="1" nd="1"/>
        <i x="226" s="1" nd="1"/>
        <i x="219" s="1" nd="1"/>
        <i x="206" s="1" nd="1"/>
        <i x="210" s="1" nd="1"/>
        <i x="216" s="1" nd="1"/>
        <i x="208" s="1" nd="1"/>
        <i x="232" s="1" nd="1"/>
        <i x="236" s="1" nd="1"/>
        <i x="237" s="1" nd="1"/>
        <i x="229" s="1" nd="1"/>
        <i x="213" s="1" nd="1"/>
        <i x="77" s="1" nd="1"/>
        <i x="215" s="1" nd="1"/>
        <i x="217" s="1" nd="1"/>
        <i x="220" s="1" nd="1"/>
        <i x="233" s="1" nd="1"/>
        <i x="218" s="1" nd="1"/>
        <i x="239" s="1" nd="1"/>
        <i x="171" s="1" nd="1"/>
        <i x="150" s="1" nd="1"/>
        <i x="254" s="1" nd="1"/>
        <i x="221" s="1" nd="1"/>
        <i x="242" s="1" nd="1"/>
        <i x="238" s="1" nd="1"/>
        <i x="224" s="1" nd="1"/>
        <i x="246" s="1" nd="1"/>
        <i x="182" s="1" nd="1"/>
        <i x="145" s="1" nd="1"/>
        <i x="231" s="1" nd="1"/>
        <i x="255" s="1" nd="1"/>
        <i x="235" s="1" nd="1"/>
        <i x="258" s="1" nd="1"/>
        <i x="245" s="1" nd="1"/>
        <i x="250" s="1" nd="1"/>
        <i x="127" s="1" nd="1"/>
        <i x="247" s="1" nd="1"/>
        <i x="249" s="1" nd="1"/>
        <i x="167" s="1" nd="1"/>
        <i x="135" s="1" nd="1"/>
        <i x="244" s="1" nd="1"/>
        <i x="132" s="1" nd="1"/>
        <i x="243" s="1" nd="1"/>
        <i x="144" s="1" nd="1"/>
        <i x="128" s="1" nd="1"/>
        <i x="126" s="1" nd="1"/>
        <i x="248" s="1" nd="1"/>
        <i x="142" s="1" nd="1"/>
        <i x="136" s="1" nd="1"/>
        <i x="147" s="1" nd="1"/>
        <i x="164" s="1" nd="1"/>
        <i x="141" s="1" nd="1"/>
        <i x="152" s="1" nd="1"/>
        <i x="146" s="1" nd="1"/>
        <i x="143" s="1" nd="1"/>
        <i x="256" s="1" nd="1"/>
        <i x="200" s="1" nd="1"/>
        <i x="154" s="1" nd="1"/>
        <i x="155" s="1" nd="1"/>
        <i x="252" s="1" nd="1"/>
        <i x="251" s="1" nd="1"/>
        <i x="129" s="1" nd="1"/>
        <i x="131" s="1" nd="1"/>
        <i x="162" s="1" nd="1"/>
        <i x="138" s="1" nd="1"/>
        <i x="257" s="1" nd="1"/>
        <i x="196" s="1" nd="1"/>
        <i x="187" s="1" nd="1"/>
        <i x="175" s="1" nd="1"/>
        <i x="149" s="1" nd="1"/>
        <i x="134" s="1" nd="1"/>
        <i x="165" s="1" nd="1"/>
        <i x="184" s="1" nd="1"/>
        <i x="176" s="1" nd="1"/>
        <i x="172" s="1" nd="1"/>
        <i x="140" s="1" nd="1"/>
        <i x="160" s="1" nd="1"/>
        <i x="159" s="1" nd="1"/>
        <i x="174" s="1" nd="1"/>
        <i x="161" s="1" nd="1"/>
        <i x="253" s="1" nd="1"/>
        <i x="137" s="1" nd="1"/>
        <i x="133" s="1" nd="1"/>
        <i x="163" s="1" nd="1"/>
        <i x="130" s="1" nd="1"/>
        <i x="168" s="1" nd="1"/>
        <i x="169" s="1" nd="1"/>
        <i x="173" s="1" nd="1"/>
        <i x="76" s="1" nd="1"/>
        <i x="153" s="1" nd="1"/>
        <i x="148" s="1" nd="1"/>
        <i x="181" s="1" nd="1"/>
        <i x="180" s="1" nd="1"/>
        <i x="185" s="1" nd="1"/>
        <i x="139" s="1" nd="1"/>
        <i x="183" s="1" nd="1"/>
        <i x="170" s="1" nd="1"/>
        <i x="75" s="1" nd="1"/>
        <i x="151" s="1" nd="1"/>
        <i x="156" s="1" nd="1"/>
        <i x="157" s="1" nd="1"/>
        <i x="166" s="1" nd="1"/>
        <i x="158" s="1" nd="1"/>
        <i x="177" s="1" nd="1"/>
        <i x="94" s="1" nd="1"/>
        <i x="188" s="1" nd="1"/>
        <i x="178" s="1" nd="1"/>
        <i x="194" s="1" nd="1"/>
        <i x="191" s="1" nd="1"/>
        <i x="189" s="1" nd="1"/>
        <i x="88" s="1" nd="1"/>
        <i x="87" s="1" nd="1"/>
        <i x="201" s="1" nd="1"/>
        <i x="74" s="1" nd="1"/>
        <i x="86" s="1" nd="1"/>
        <i x="195" s="1" nd="1"/>
        <i x="202" s="1" nd="1"/>
        <i x="79" s="1" nd="1"/>
        <i x="197" s="1" nd="1"/>
        <i x="198" s="1" nd="1"/>
        <i x="179" s="1" nd="1"/>
        <i x="192" s="1" nd="1"/>
        <i x="199" s="1" nd="1"/>
        <i x="190" s="1" nd="1"/>
        <i x="110" s="1" nd="1"/>
        <i x="193" s="1" nd="1"/>
        <i x="73" s="1" nd="1"/>
        <i x="82" s="1" nd="1"/>
        <i x="81" s="1" nd="1"/>
        <i x="186" s="1" nd="1"/>
        <i x="85" s="1" nd="1"/>
        <i x="83" s="1" nd="1"/>
        <i x="90" s="1" nd="1"/>
        <i x="91" s="1" nd="1"/>
        <i x="89" s="1" nd="1"/>
        <i x="84" s="1" nd="1"/>
        <i x="80" s="1" nd="1"/>
        <i x="107" s="1" nd="1"/>
        <i x="97" s="1" nd="1"/>
        <i x="92" s="1" nd="1"/>
        <i x="111" s="1" nd="1"/>
        <i x="96" s="1" nd="1"/>
        <i x="106" s="1" nd="1"/>
        <i x="108" s="1" nd="1"/>
        <i x="95" s="1" nd="1"/>
        <i x="99" s="1" nd="1"/>
        <i x="109" s="1" nd="1"/>
        <i x="102" s="1" nd="1"/>
        <i x="100" s="1" nd="1"/>
        <i x="101" s="1" nd="1"/>
        <i x="105" s="1" nd="1"/>
        <i x="103" s="1" nd="1"/>
        <i x="104" s="1" nd="1"/>
        <i x="113" s="1" nd="1"/>
        <i x="112" s="1" nd="1"/>
        <i x="122" s="1" nd="1"/>
        <i x="121" s="1" nd="1"/>
        <i x="120" s="1" nd="1"/>
        <i x="125" s="1" nd="1"/>
        <i x="118" s="1" nd="1"/>
        <i x="124" s="1" nd="1"/>
        <i x="114" s="1" nd="1"/>
        <i x="115" s="1" nd="1"/>
        <i x="116" s="1" nd="1"/>
        <i x="117" s="1" nd="1"/>
        <i x="119" s="1" nd="1"/>
        <i x="123" s="1" nd="1"/>
        <i x="42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9">
      <calculatedColumnFormula>B49</calculatedColumnFormula>
    </tableColumn>
    <tableColumn id="2" xr3:uid="{7EDCC2ED-0339-42B3-9633-FFEA7A3DD9F3}" name="Tiyaar" dataDxfId="158">
      <calculatedColumnFormula>SUMIFS(ledger!G:G, ledger!B:B, B2, ledger!E:E, "&lt;&gt;*RD*") / 1.0936</calculatedColumnFormula>
    </tableColumn>
    <tableColumn id="3" xr3:uid="{CC1535DD-3FE7-4F55-8040-E7643388A78E}" name="Rate"/>
    <tableColumn id="4" xr3:uid="{059CB70B-ADAD-4985-84AA-0D530BAC5567}" name="Total" dataDxfId="15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6" dataDxfId="155">
  <autoFilter ref="B7:E20" xr:uid="{449E5D32-DF9C-4018-96AB-CA98E118D910}"/>
  <tableColumns count="4">
    <tableColumn id="1" xr3:uid="{F663704C-91DD-4BB9-B7EB-EEB0C5EDED6C}" name="Description" dataDxfId="154"/>
    <tableColumn id="2" xr3:uid="{6D94D495-CD0B-4FD3-9771-81D731982A97}" name="Rate" dataDxfId="153" dataCellStyle="Comma"/>
    <tableColumn id="3" xr3:uid="{2D14CEAD-3602-40E7-A488-3584EBC9141E}" name="gazana" dataDxfId="152" dataCellStyle="Comma"/>
    <tableColumn id="4" xr3:uid="{06FEE63C-6480-4079-8426-51BC26B38B34}" name="sum" dataDxfId="15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0" totalsRowDxfId="149" dataCellStyle="Comma">
      <totalsRowFormula>SUM(Table12[Amount])</totalsRowFormula>
    </tableColumn>
    <tableColumn id="3" xr3:uid="{12F975D1-A51D-47BD-82DF-F0C35A709016}" name="Description"/>
    <tableColumn id="4" xr3:uid="{96712812-B120-49C2-B905-59FC86A743E8}" name="cost per meter" totalsRowFunction="custom" dataDxfId="148" totalsRowDxfId="14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6" dataDxfId="145" headerRowCellStyle="Comma" dataCellStyle="Comma">
  <autoFilter ref="B2:C5" xr:uid="{136E8F7F-D03F-4198-8335-91A003EA9E45}"/>
  <tableColumns count="2">
    <tableColumn id="1" xr3:uid="{279FA697-9952-479A-AC05-0D4992B41374}" name="Column1" dataDxfId="144" dataCellStyle="Comma"/>
    <tableColumn id="2" xr3:uid="{8A64998B-65EF-41CD-BCB0-3DDB7B359C54}" name="Column2" dataDxfId="14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2"/>
    <tableColumn id="2" xr3:uid="{51D27FA2-8DDF-4369-BAF7-7D1FE90E16A0}" name="Column2" dataDxfId="14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40" totalsRowDxfId="13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9" totalsRowCount="1" headerRowDxfId="137" dataDxfId="136" headerRowCellStyle="Comma" dataCellStyle="Comma">
  <autoFilter ref="A1:K198" xr:uid="{11DACEC6-751B-4B1D-817F-5C5BCD38EF6D}"/>
  <tableColumns count="11">
    <tableColumn id="1" xr3:uid="{2FCE3FA8-A48C-4685-8919-AE44C6C71FD9}" name="Date" dataDxfId="37" dataCellStyle="Comma"/>
    <tableColumn id="2" xr3:uid="{5780FD5F-0890-44E6-B59C-8E37A559FE36}" name="Party Name" dataDxfId="36" dataCellStyle="Comma"/>
    <tableColumn id="3" xr3:uid="{5B3ECD85-9174-40AC-BFBD-49CAC97A83D3}" name="Bill Number" dataDxfId="35" dataCellStyle="Comma"/>
    <tableColumn id="4" xr3:uid="{11B50761-04B6-4262-AD4D-7182450037D1}" name="Quality" dataDxfId="34" dataCellStyle="Comma"/>
    <tableColumn id="5" xr3:uid="{2C556969-B713-4967-BD24-466AACCBE5F5}" name="Shipment Number" dataDxfId="33" totalsRowDxfId="32" dataCellStyle="Comma"/>
    <tableColumn id="6" xr3:uid="{F4E1FD2B-9017-4DEB-B772-BF447ECE56F7}" name="Kora/metre" dataDxfId="31" totalsRowDxfId="30" dataCellStyle="Comma"/>
    <tableColumn id="7" xr3:uid="{52ACC1DA-7A76-4A90-B809-3A1AE728E7EA}" name="Tiyaar/gaz" dataDxfId="29" totalsRowDxfId="28" dataCellStyle="Comma"/>
    <tableColumn id="8" xr3:uid="{31A0FF5E-56F0-44D1-9865-73256B964660}" name="shortage %" dataDxfId="27" totalsRowDxfId="26" dataCellStyle="Comma">
      <calculatedColumnFormula>_xlfn.XLOOKUP(Table1[[#This Row],[Shipment Number]], 'pivot '!A:A,'pivot '!G:G, "NF")</calculatedColumnFormula>
    </tableColumn>
    <tableColumn id="9" xr3:uid="{F99075E0-AC8E-094D-BB85-272AD2C6C568}" name="tiyar/meters" totalsRowFunction="custom" dataDxfId="25" totalsRowDxfId="2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23" totalsRowDxfId="22"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21" totalsRowDxfId="2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35" headerRowBorderDxfId="134" tableBorderDxfId="133">
  <autoFilter ref="A1:I122" xr:uid="{F8E8C957-ABE7-4E4F-8D4E-7D44E26B334F}"/>
  <tableColumns count="9">
    <tableColumn id="1" xr3:uid="{C2E817D6-AB98-4DDD-8890-736B27F261CD}" name="Date" dataDxfId="132" totalsRowDxfId="131"/>
    <tableColumn id="2" xr3:uid="{CFB51890-CCDC-463C-81C9-3F8BD7469CB9}" name="Party Name"/>
    <tableColumn id="3" xr3:uid="{A113D971-1C9D-4733-99C4-BD0CC4333209}" name="Vehicle Number"/>
    <tableColumn id="4" xr3:uid="{49780304-3DD1-4AE9-98EE-2BC7EB8F3B57}" name="Weight" dataDxfId="130" totalsRowDxfId="129" dataCellStyle="Comma"/>
    <tableColumn id="5" xr3:uid="{FCAF1BC6-1D8C-42AD-8BBC-F924BF2DC7FE}" name="Rate" dataDxfId="128" totalsRowDxfId="127" dataCellStyle="Comma"/>
    <tableColumn id="6" xr3:uid="{8C70A624-4134-410C-9C45-9FDEB51D51BF}" name="Rent" dataDxfId="126" totalsRowDxfId="125" dataCellStyle="Comma"/>
    <tableColumn id="7" xr3:uid="{EBCE10AE-9634-4982-9C95-37ABC8A7078C}" name="Total" totalsRowFunction="sum" dataDxfId="124" totalsRowDxfId="123" dataCellStyle="Comma">
      <calculatedColumnFormula>D2*E2</calculatedColumnFormula>
    </tableColumn>
    <tableColumn id="9" xr3:uid="{D4788559-C94A-44D9-B9AE-E72B214355AC}" name="Paid" totalsRowFunction="sum" dataDxfId="122" totalsRowDxfId="121" dataCellStyle="Comma"/>
    <tableColumn id="8" xr3:uid="{E26F5BF0-1875-4FC6-994D-49F202ED562B}" name="balance" totalsRowFunction="sum" dataDxfId="120" totalsRowDxfId="11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89" totalsRowCount="1">
  <autoFilter ref="A1:G488" xr:uid="{CB032221-B416-47A8-9A76-693DE76CFD04}"/>
  <tableColumns count="7">
    <tableColumn id="1" xr3:uid="{554B1EED-65B6-4E9A-B646-82727FAC40DE}" name="Date" dataDxfId="118" totalsRowDxfId="3"/>
    <tableColumn id="2" xr3:uid="{32259059-42CF-4947-83DE-115AA430BE2B}" name="Party"/>
    <tableColumn id="3" xr3:uid="{A1320223-D55D-483C-91C3-AB19B95CC9D8}" name="Debit" totalsRowFunction="sum" dataDxfId="117" totalsRowDxfId="2" dataCellStyle="Comma"/>
    <tableColumn id="4" xr3:uid="{E9745767-9FF0-4B1C-9052-FF335D1D7588}" name="Credit" totalsRowFunction="sum" dataDxfId="116" totalsRowDxfId="1" dataCellStyle="Comma"/>
    <tableColumn id="5" xr3:uid="{5C88A48E-2467-4E6D-B626-2442B7FD0BE4}" name="Description"/>
    <tableColumn id="6" xr3:uid="{63CA4666-144E-4BE6-8B7C-7CB992BD3041}" name="Mode" totalsRowFunction="custom" dataDxfId="11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4" tableBorderDxfId="113" totalsRowBorderDxfId="112">
  <autoFilter ref="J3:K6" xr:uid="{DCE01694-23ED-48BF-8B92-4186B9ED10A8}"/>
  <tableColumns count="2">
    <tableColumn id="1" xr3:uid="{C8484DAF-2989-4C2F-9AEC-A6917E1C57F6}" name="Type" dataDxfId="111"/>
    <tableColumn id="2" xr3:uid="{B07B7A2A-4D4E-4654-BED6-FE2F0A7BEC34}" name="Amount" dataDxfId="11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9" headerRowBorderDxfId="108" tableBorderDxfId="107" totalsRowBorderDxfId="106">
  <autoFilter ref="M3:O6" xr:uid="{D166BDD1-ACD7-45D7-8AE9-7350373F8CEB}"/>
  <tableColumns count="3">
    <tableColumn id="1" xr3:uid="{64F0205E-DEA7-4571-BA86-E4374A5FEE28}" name="Type" totalsRowLabel="Total" dataDxfId="105" totalsRowDxfId="104"/>
    <tableColumn id="2" xr3:uid="{15FA05F9-789C-4459-9BE0-5C1EC84D3365}" name="amount" totalsRowFunction="custom" dataDxfId="103" totalsRowDxfId="102">
      <totalsRowFormula>SUM(N5:N6)</totalsRowFormula>
    </tableColumn>
    <tableColumn id="3" xr3:uid="{3681D409-90C6-44D0-BDE2-4B5943A516F0}" name="Actual" totalsRowFunction="custom" totalsRowDxfId="10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68" totalsRowDxfId="167"/>
    <tableColumn id="2" xr3:uid="{5B9D0FEE-4304-4C5C-A05C-5B27CF7841D3}" name="Type"/>
    <tableColumn id="3" xr3:uid="{6A91CA0D-C802-4C6F-9F39-CA53687E8EDE}" name="Description"/>
    <tableColumn id="4" xr3:uid="{A251D40C-AB87-4BB4-85F8-444B20E32FDF}" name="Total" totalsRowFunction="custom" dataDxfId="166" totalsRowDxfId="16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164" headerRowBorderDxfId="163">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62"/>
    <tableColumn id="4" xr3:uid="{1889A312-9B41-4EC4-BD8F-05252F27084A}" name="Price" totalsRowFunction="sum"/>
    <tableColumn id="6" xr3:uid="{8B974B20-F003-4E67-8660-024FA4F324A9}" name="Party"/>
    <tableColumn id="7" xr3:uid="{0A5A5C21-FD61-47DA-9F54-66A6479FA557}" name="Paid" dataDxfId="161">
      <calculatedColumnFormula>SUMIFS(Table14[Debit], Table14[Date], Table8[[#This Row],[Date]], Table14[Party], Table8[[#This Row],[Party]])</calculatedColumnFormula>
    </tableColumn>
    <tableColumn id="8" xr3:uid="{8DCB3B43-2161-4081-82EC-CDB0F4DE4E6F}" name="Balance" totalsRowFunction="sum" dataDxfId="16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100" headerRowBorderDxfId="99">
  <autoFilter ref="A4:H22" xr:uid="{A4C80688-A8BA-4BA7-90B4-791CD99446B4}"/>
  <sortState xmlns:xlrd2="http://schemas.microsoft.com/office/spreadsheetml/2017/richdata2" ref="A5:H6">
    <sortCondition ref="A4:A6"/>
  </sortState>
  <tableColumns count="8">
    <tableColumn id="1" xr3:uid="{4A818912-918E-4111-ACFC-BC93FEF7C1AD}" name="Date" dataDxfId="98" totalsRowDxfId="97"/>
    <tableColumn id="8" xr3:uid="{477ACFD5-62AF-4F69-974B-E9B974C11D7D}" name="Party Name" dataDxfId="9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5">
      <calculatedColumnFormula>Table2[[#This Row],[Quantity]]*200*Table2[[#This Row],[Boxes]]</calculatedColumnFormula>
    </tableColumn>
    <tableColumn id="6" xr3:uid="{30432929-CBD4-4BA8-B63F-CD0F6CF6405F}" name="Paid" totalsRowFunction="sum" dataDxfId="94">
      <calculatedColumnFormula>SUMIFS(Table14[Debit], Table14[Date], Table2[[#This Row],[Date]], Table14[Party], Table2[[#This Row],[Party Name]])</calculatedColumnFormula>
    </tableColumn>
    <tableColumn id="7" xr3:uid="{BB689DF2-5D1E-436D-84C4-9745D88E8F3D}" name="Balance" totalsRowFunction="sum" dataDxfId="9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2" totalsRowDxfId="9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0" totalsRowDxfId="89"/>
    <tableColumn id="2" xr3:uid="{053BFC14-4828-417C-9F9F-95B6E232A945}" name="Amount" totalsRowFunction="custom" dataDxfId="88" totalsRowDxfId="8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6" totalsRowDxfId="8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84" totalsRowDxfId="8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82" totalsRowDxfId="8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80">
      <calculatedColumnFormula>Billing!Q5</calculatedColumnFormula>
    </tableColumn>
    <tableColumn id="2" xr3:uid="{7093A59E-B58F-487D-888A-9AA8156B5F9A}" name="Amount Paid" dataDxfId="7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78"/>
    <tableColumn id="2" xr3:uid="{F72CFEEB-BA11-4A49-BD19-88592EB6A27C}" name="Credit" dataDxfId="7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6" zoomScale="109" zoomScaleNormal="80" workbookViewId="0">
      <selection activeCell="U24" sqref="U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477106.80321872717</v>
      </c>
      <c r="D2">
        <v>10</v>
      </c>
      <c r="E2" s="14">
        <f>(SUMIFS(ledger!G:G, ledger!B:B, B2, ledger!E:E, "&lt;&gt;*RD*",ledger!D:D, "Silky") / 1.0936)*12 + (SUMIFS(ledger!G:G, ledger!B:B, B2, ledger!E:E, "&lt;&gt;*RD*",ledger!D:D, "Chamki") / 1.0936)*10</f>
        <v>4988065.1060716901</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3636336.8824</v>
      </c>
      <c r="S5" s="22" cm="1">
        <f t="array" ref="S5">_xlfn.BYROW(B49, _xlfn.LAMBDA(_xlpm.party, SUMIFS(ledger!G:G, ledger!B:B, _xlpm.party, ledger!E:E, "&lt;&gt;*RD*") / 1.0936 ))+_xlfn.IFNA(D84,0)</f>
        <v>3325106.8785662036</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546007.68105340167</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7009743.9648866132</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34812251.119239211</v>
      </c>
      <c r="AD5" s="22">
        <f>(SUMIF(Table14[Party],Q5,Table14[Credit]))+_xlfn.IFNA(O84,0)</f>
        <v>19750734</v>
      </c>
      <c r="AE5" s="33">
        <f>AC5-AD5</f>
        <v>15061517.119239211</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6067319</v>
      </c>
      <c r="AE6" s="33">
        <f t="shared" ref="AE6:AE35" si="2">AC6-AD6</f>
        <v>329454.04316020571</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20583550.658376008</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5994187</v>
      </c>
      <c r="AE21" s="33">
        <f t="shared" si="2"/>
        <v>67297.089246526361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20583550.658376008</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1300000</v>
      </c>
      <c r="AE32" s="33">
        <f t="shared" si="2"/>
        <v>789305.96196049778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v>0</v>
      </c>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521764</v>
      </c>
      <c r="D49" s="22" cm="1">
        <f t="array" ref="D49:D79">_xlfn.BYROW(_xlfn.ANCHORARRAY(B49), _xlfn.LAMBDA(_xlpm.party, SUMIFS(ledger!G:G, ledger!B:B, _xlpm.party, ledger!E:E, "&lt;&gt;*RD*") / 1.0936 ))</f>
        <v>477106.80321872717</v>
      </c>
      <c r="E49" s="63" cm="1">
        <f t="array" ref="E49:E79">(_xlfn.BYROW(_xlfn.ANCHORARRAY(B49),_xlfn.LAMBDA(_xlpm.party,SUMIFS(ledger!G:G,ledger!B:B,_xlpm.party,ledger!E:E,"&lt;&gt;*RD*",ledger!D:D,"Chamki")+SUMIFS(ledger!G:G, ledger!B:B, _xlpm.party, ledger!E:E, "&lt;&gt;*RD*", ledger!D:D, "Crinkle")))/1.0936)</f>
        <v>299517.19092904171</v>
      </c>
      <c r="F49" s="63" cm="1">
        <f t="array" ref="F49:F79">(_xlfn.BYROW(_xlfn.ANCHORARRAY(B49),_xlfn.LAMBDA(_xlpm.party,SUMIFS(ledger!G:G,ledger!B:B,_xlpm.party,ledger!E:E,"&lt;&gt;*RD*",ledger!D:D,"Silky")))/1.0936)</f>
        <v>166074.43306510607</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2158967.6298463787</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5280806.5106071681</v>
      </c>
      <c r="O49" s="22">
        <f>(SUMIF(Table14[Party],B49,Table14[Credit]))</f>
        <v>0</v>
      </c>
      <c r="P49" s="37">
        <f>N49-O49</f>
        <v>5280806.5106071681</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872000</v>
      </c>
      <c r="P50" s="37">
        <f t="shared" ref="P50:P75" si="5">N50-O50</f>
        <v>329453.91367959045</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477106.80321872717</v>
      </c>
      <c r="W58" s="18">
        <v>4988065.1060716901</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64937.820043891741</v>
      </c>
      <c r="W60" s="18">
        <v>688332.11411850771</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1078616</v>
      </c>
      <c r="P65" s="37">
        <f t="shared" si="5"/>
        <v>-241318.99926847103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127745.97659107536</v>
      </c>
      <c r="W68" s="18">
        <v>1277459.7659107535</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1260152.706656913</v>
      </c>
      <c r="W75" s="14">
        <v>13163414.411119239</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1300000</v>
      </c>
      <c r="P76" s="37">
        <f t="shared" ref="P76:P78" si="7">N76-O76</f>
        <v>789305.96196049778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B79">
        <v>0</v>
      </c>
      <c r="C79">
        <v>0</v>
      </c>
      <c r="D79">
        <v>0</v>
      </c>
      <c r="E79">
        <v>0</v>
      </c>
      <c r="F79">
        <v>0</v>
      </c>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v>0</v>
      </c>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27</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454627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415715.98390636436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415715.98390636436</v>
      </c>
      <c r="E12" s="92">
        <f ca="1">Table21[[#This Row],[gazana]]*Table21[[#This Row],[Rate]]</f>
        <v>4157159.8390636435</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4157159.8390636435</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4146179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10980.839063643478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v>0</v>
      </c>
    </row>
  </sheetData>
  <conditionalFormatting sqref="E20">
    <cfRule type="cellIs" dxfId="75" priority="1" operator="lessThan">
      <formula>20000</formula>
    </cfRule>
    <cfRule type="cellIs" dxfId="7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7790355</v>
      </c>
      <c r="D4" t="s">
        <v>189</v>
      </c>
      <c r="E4" s="43">
        <f ca="1">Table12[[#This Row],[Amount]]/Table1[[#Totals],[tiyar/meters]]</f>
        <v>4.2358168057801189</v>
      </c>
    </row>
    <row r="5" spans="1:5" x14ac:dyDescent="0.3">
      <c r="B5" t="s">
        <v>48</v>
      </c>
      <c r="C5" s="11">
        <f>SUM(Table8[Price])+(291000)</f>
        <v>1617150</v>
      </c>
      <c r="E5" s="43">
        <f ca="1">Table12[[#This Row],[Amount]]/Table1[[#Totals],[tiyar/meters]]</f>
        <v>0.87928613618600426</v>
      </c>
    </row>
    <row r="6" spans="1:5" x14ac:dyDescent="0.3">
      <c r="B6" t="s">
        <v>49</v>
      </c>
      <c r="C6" s="11">
        <f>SUM(Table2[Price])+38750</f>
        <v>777350</v>
      </c>
      <c r="D6" t="s">
        <v>188</v>
      </c>
      <c r="E6" s="43">
        <f ca="1">Table12[[#This Row],[Amount]]/Table1[[#Totals],[tiyar/meters]]</f>
        <v>0.42266523078514079</v>
      </c>
    </row>
    <row r="7" spans="1:5" x14ac:dyDescent="0.3">
      <c r="B7" t="s">
        <v>50</v>
      </c>
      <c r="C7" s="11">
        <f>SUMIFS(Table14[Debit], Table14[Party],Table12[[#This Row],[Type]])</f>
        <v>234395</v>
      </c>
      <c r="E7" s="43">
        <f ca="1">Table12[[#This Row],[Amount]]/Table1[[#Totals],[tiyar/meters]]</f>
        <v>0.12744660290716289</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1966993</v>
      </c>
      <c r="E9" s="43">
        <f ca="1">Table12[[#This Row],[Amount]]/Table1[[#Totals],[tiyar/meters]]</f>
        <v>1.0695047923043113</v>
      </c>
    </row>
    <row r="10" spans="1:5" x14ac:dyDescent="0.3">
      <c r="B10" t="s">
        <v>53</v>
      </c>
      <c r="C10" s="11">
        <f>Table5[[#Totals],[Amount]]</f>
        <v>45950</v>
      </c>
      <c r="E10" s="43">
        <f ca="1">Table12[[#This Row],[Amount]]/Table1[[#Totals],[tiyar/meters]]</f>
        <v>2.4984199336948888E-2</v>
      </c>
    </row>
    <row r="11" spans="1:5" x14ac:dyDescent="0.3">
      <c r="B11" t="s">
        <v>54</v>
      </c>
      <c r="C11" s="11">
        <f>Table13[[#Totals],[Debit]]</f>
        <v>154330</v>
      </c>
      <c r="E11" s="43">
        <f ca="1">Table12[[#This Row],[Amount]]/Table1[[#Totals],[tiyar/meters]]</f>
        <v>8.3913198774131059E-2</v>
      </c>
    </row>
    <row r="12" spans="1:5" x14ac:dyDescent="0.3">
      <c r="B12" t="s">
        <v>55</v>
      </c>
      <c r="C12" s="11">
        <f>Table15[[#Totals],[Amount]]</f>
        <v>49413</v>
      </c>
      <c r="E12" s="43">
        <f ca="1">Table12[[#This Row],[Amount]]/Table1[[#Totals],[tiyar/meters]]</f>
        <v>2.6867121693942446E-2</v>
      </c>
    </row>
    <row r="13" spans="1:5" x14ac:dyDescent="0.3">
      <c r="C13" s="11"/>
      <c r="E13" s="43">
        <f ca="1">Table12[[#This Row],[Amount]]/Table1[[#Totals],[tiyar/meters]]</f>
        <v>0</v>
      </c>
    </row>
    <row r="14" spans="1:5" x14ac:dyDescent="0.3">
      <c r="C14" s="14">
        <f>SUM(Table12[Amount])</f>
        <v>12635936</v>
      </c>
      <c r="E14" s="43">
        <f ca="1">SUM(Table12[cost per meter])</f>
        <v>6.8704840877677604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20583550.658376008</v>
      </c>
    </row>
    <row r="4" spans="1:3" x14ac:dyDescent="0.3">
      <c r="B4" s="11" t="s">
        <v>44</v>
      </c>
      <c r="C4" s="11">
        <f>Table12[[#Totals],[Amount]]</f>
        <v>12635936</v>
      </c>
    </row>
    <row r="5" spans="1:3" x14ac:dyDescent="0.3">
      <c r="A5" s="6"/>
      <c r="B5" s="15" t="s">
        <v>68</v>
      </c>
      <c r="C5" s="15">
        <f>C3-C4</f>
        <v>7947614.6583760083</v>
      </c>
    </row>
    <row r="10" spans="1:3" ht="15" thickBot="1" x14ac:dyDescent="0.35">
      <c r="B10" t="s">
        <v>66</v>
      </c>
      <c r="C10" s="14" t="s">
        <v>67</v>
      </c>
    </row>
    <row r="11" spans="1:3" x14ac:dyDescent="0.3">
      <c r="B11" s="56" t="s">
        <v>0</v>
      </c>
      <c r="C11" s="57">
        <f>C3</f>
        <v>20583550.658376008</v>
      </c>
    </row>
    <row r="12" spans="1:3" x14ac:dyDescent="0.3">
      <c r="B12" s="58" t="s">
        <v>69</v>
      </c>
      <c r="C12" s="59">
        <f>SUM(Table14[Credit])</f>
        <v>23293861.203986831</v>
      </c>
    </row>
    <row r="13" spans="1:3" ht="15" thickBot="1" x14ac:dyDescent="0.35">
      <c r="B13" s="74" t="s">
        <v>93</v>
      </c>
      <c r="C13" s="73">
        <f>(C11-C12)</f>
        <v>-2710310.5456108227</v>
      </c>
    </row>
    <row r="14" spans="1:3" ht="15" thickBot="1" x14ac:dyDescent="0.35">
      <c r="B14" s="58"/>
      <c r="C14" s="59"/>
    </row>
    <row r="15" spans="1:3" x14ac:dyDescent="0.3">
      <c r="B15" s="56" t="s">
        <v>44</v>
      </c>
      <c r="C15" s="57">
        <f>C4</f>
        <v>12635936</v>
      </c>
    </row>
    <row r="16" spans="1:3" x14ac:dyDescent="0.3">
      <c r="B16" s="58" t="s">
        <v>70</v>
      </c>
      <c r="C16" s="59">
        <f>SUM(Table14[Debit])</f>
        <v>23277982.203986831</v>
      </c>
    </row>
    <row r="17" spans="2:6" ht="15" thickBot="1" x14ac:dyDescent="0.35">
      <c r="B17" s="74" t="s">
        <v>71</v>
      </c>
      <c r="C17" s="73">
        <f>C15-C16</f>
        <v>-10642046.203986831</v>
      </c>
    </row>
    <row r="18" spans="2:6" ht="15" thickBot="1" x14ac:dyDescent="0.35">
      <c r="B18" s="58"/>
      <c r="C18" s="59"/>
    </row>
    <row r="19" spans="2:6" ht="15" thickBot="1" x14ac:dyDescent="0.35">
      <c r="B19" s="75" t="s">
        <v>72</v>
      </c>
      <c r="C19" s="76">
        <f>Table18[[#Totals],[amount]]</f>
        <v>15879</v>
      </c>
    </row>
    <row r="20" spans="2:6" ht="15" thickBot="1" x14ac:dyDescent="0.35">
      <c r="B20" s="71"/>
      <c r="C20" s="72"/>
    </row>
    <row r="21" spans="2:6" ht="15" thickBot="1" x14ac:dyDescent="0.35">
      <c r="B21" s="60" t="s">
        <v>73</v>
      </c>
      <c r="C21" s="61">
        <f>(C13-C17)+C19</f>
        <v>7947614.6583760083</v>
      </c>
      <c r="E21" s="79" t="s">
        <v>74</v>
      </c>
      <c r="F21" s="80">
        <f>C5*0.05</f>
        <v>397380.73291880044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154330</v>
      </c>
      <c r="E44">
        <f>SUBTOTAL(109,Table13[Credit])</f>
        <v>0</v>
      </c>
      <c r="F44">
        <f>Table13[[#Totals],[Debit]]-Table13[[#Totals],[Credit]]</f>
        <v>154330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170" zoomScale="107" zoomScaleNormal="107" workbookViewId="0">
      <selection activeCell="F192" sqref="F19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v>0</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5.8935568622937069</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3.5226949968149341</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11.717450451734365</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21">
        <v>46069</v>
      </c>
      <c r="B182" s="122" t="s">
        <v>21</v>
      </c>
      <c r="C182" s="118">
        <v>1494</v>
      </c>
      <c r="D182" s="118" t="s">
        <v>86</v>
      </c>
      <c r="E182" s="11">
        <v>2099</v>
      </c>
      <c r="F182" s="11">
        <v>96074</v>
      </c>
      <c r="G182" s="11">
        <v>3063</v>
      </c>
      <c r="H182" s="119">
        <f>_xlfn.XLOOKUP(Table1[[#This Row],[Shipment Number]], 'pivot '!A:A,'pivot '!G:G, "NF")</f>
        <v>29.347621413321974</v>
      </c>
      <c r="I182" s="120">
        <f>Table1[[#This Row],[Tiyaar/gaz]]/1.0936</f>
        <v>2800.8412582297001</v>
      </c>
      <c r="J182" s="120"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2" s="118"/>
    </row>
    <row r="183" spans="1:11" x14ac:dyDescent="0.3">
      <c r="A183" s="121">
        <v>46069</v>
      </c>
      <c r="B183" s="122" t="s">
        <v>21</v>
      </c>
      <c r="C183" s="118">
        <v>1494</v>
      </c>
      <c r="D183" s="118" t="s">
        <v>86</v>
      </c>
      <c r="E183" s="11">
        <v>1978</v>
      </c>
      <c r="F183" s="11"/>
      <c r="G183" s="11">
        <v>460</v>
      </c>
      <c r="H183" s="119">
        <f>_xlfn.XLOOKUP(Table1[[#This Row],[Shipment Number]], 'pivot '!A:A,'pivot '!G:G, "NF")</f>
        <v>4.6294839246745028</v>
      </c>
      <c r="I183" s="120">
        <f>Table1[[#This Row],[Tiyaar/gaz]]/1.0936</f>
        <v>420.62911485003661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3" s="118"/>
    </row>
    <row r="184" spans="1:11" x14ac:dyDescent="0.3">
      <c r="A184" s="121">
        <v>46069</v>
      </c>
      <c r="B184" s="122" t="s">
        <v>337</v>
      </c>
      <c r="C184" s="118">
        <v>1495</v>
      </c>
      <c r="D184" s="118" t="s">
        <v>85</v>
      </c>
      <c r="E184" s="11">
        <v>1979</v>
      </c>
      <c r="F184" s="11">
        <v>24922</v>
      </c>
      <c r="G184" s="11">
        <v>26640</v>
      </c>
      <c r="H184" s="119">
        <f>_xlfn.XLOOKUP(Table1[[#This Row],[Shipment Number]], 'pivot '!A:A,'pivot '!G:G, "NF")</f>
        <v>2.2553879442558582</v>
      </c>
      <c r="I184" s="120">
        <f>Table1[[#This Row],[Tiyaar/gaz]]/1.0936</f>
        <v>24359.912216532553</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4" s="118"/>
    </row>
    <row r="185" spans="1:11" x14ac:dyDescent="0.3">
      <c r="A185" s="121">
        <v>46069</v>
      </c>
      <c r="B185" s="122" t="s">
        <v>337</v>
      </c>
      <c r="C185" s="118">
        <v>1496</v>
      </c>
      <c r="D185" s="118" t="s">
        <v>85</v>
      </c>
      <c r="E185" s="11">
        <v>1976</v>
      </c>
      <c r="F185" s="11">
        <v>22604</v>
      </c>
      <c r="G185" s="11">
        <v>24110</v>
      </c>
      <c r="H185" s="119">
        <f>_xlfn.XLOOKUP(Table1[[#This Row],[Shipment Number]], 'pivot '!A:A,'pivot '!G:G, "NF")</f>
        <v>2.4665896086650321</v>
      </c>
      <c r="I185" s="120">
        <f>Table1[[#This Row],[Tiyaar/gaz]]/1.0936</f>
        <v>22046.452084857352</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5" s="118"/>
    </row>
    <row r="186" spans="1:11" x14ac:dyDescent="0.3">
      <c r="A186" s="121">
        <v>46069</v>
      </c>
      <c r="B186" s="122" t="s">
        <v>21</v>
      </c>
      <c r="C186" s="118">
        <v>1497</v>
      </c>
      <c r="D186" s="118" t="s">
        <v>85</v>
      </c>
      <c r="E186" s="11">
        <v>2045</v>
      </c>
      <c r="F186" s="11">
        <v>5552</v>
      </c>
      <c r="G186" s="11">
        <v>2101</v>
      </c>
      <c r="H186" s="119">
        <f>_xlfn.XLOOKUP(Table1[[#This Row],[Shipment Number]], 'pivot '!A:A,'pivot '!G:G, "NF")</f>
        <v>33.840247370606875</v>
      </c>
      <c r="I186" s="120">
        <f>Table1[[#This Row],[Tiyaar/gaz]]/1.0936</f>
        <v>1921.1777615215804</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6" s="118"/>
    </row>
    <row r="187" spans="1:11" x14ac:dyDescent="0.3">
      <c r="A187" s="121">
        <v>46069</v>
      </c>
      <c r="B187" s="122" t="s">
        <v>21</v>
      </c>
      <c r="C187" s="118">
        <v>1498</v>
      </c>
      <c r="D187" s="118" t="s">
        <v>85</v>
      </c>
      <c r="E187" s="11">
        <v>2096</v>
      </c>
      <c r="F187" s="11">
        <v>100801</v>
      </c>
      <c r="G187" s="11">
        <v>5331</v>
      </c>
      <c r="H187" s="119">
        <f>_xlfn.XLOOKUP(Table1[[#This Row],[Shipment Number]], 'pivot '!A:A,'pivot '!G:G, "NF")</f>
        <v>95.164010598442246</v>
      </c>
      <c r="I187" s="120">
        <f>Table1[[#This Row],[Tiyaar/gaz]]/1.0936</f>
        <v>4874.7256766642286</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7" s="118"/>
    </row>
    <row r="188" spans="1:11" x14ac:dyDescent="0.3">
      <c r="A188" s="121">
        <v>46069</v>
      </c>
      <c r="B188" s="122" t="s">
        <v>21</v>
      </c>
      <c r="C188" s="118">
        <v>1499</v>
      </c>
      <c r="D188" s="118" t="s">
        <v>85</v>
      </c>
      <c r="E188" s="11">
        <v>2079</v>
      </c>
      <c r="F188" s="11">
        <v>7968</v>
      </c>
      <c r="G188" s="11">
        <v>4913</v>
      </c>
      <c r="H188" s="119">
        <f>_xlfn.XLOOKUP(Table1[[#This Row],[Shipment Number]], 'pivot '!A:A,'pivot '!G:G, "NF")</f>
        <v>7.7211369251695885</v>
      </c>
      <c r="I188" s="120">
        <f>Table1[[#This Row],[Tiyaar/gaz]]/1.0936</f>
        <v>4492.5018288222391</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8" s="118"/>
    </row>
    <row r="189" spans="1:11" x14ac:dyDescent="0.3">
      <c r="A189" s="121">
        <v>46069</v>
      </c>
      <c r="B189" s="122" t="s">
        <v>21</v>
      </c>
      <c r="C189" s="118">
        <v>1500</v>
      </c>
      <c r="D189" s="118" t="s">
        <v>85</v>
      </c>
      <c r="E189" s="11">
        <v>2048</v>
      </c>
      <c r="F189" s="11">
        <f>58122-2159-8472</f>
        <v>47491</v>
      </c>
      <c r="G189" s="11">
        <v>4203</v>
      </c>
      <c r="H189" s="119">
        <f>_xlfn.XLOOKUP(Table1[[#This Row],[Shipment Number]], 'pivot '!A:A,'pivot '!G:G, "NF")</f>
        <v>91.907372061732957</v>
      </c>
      <c r="I189" s="120">
        <f>Table1[[#This Row],[Tiyaar/gaz]]/1.0936</f>
        <v>3843.2699341623997</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89" s="118"/>
    </row>
    <row r="190" spans="1:11" x14ac:dyDescent="0.3">
      <c r="A190" s="140">
        <v>46070</v>
      </c>
      <c r="B190" s="122" t="s">
        <v>21</v>
      </c>
      <c r="C190" s="118">
        <v>1501</v>
      </c>
      <c r="D190" s="118" t="s">
        <v>86</v>
      </c>
      <c r="E190" s="11">
        <v>2099</v>
      </c>
      <c r="F190" s="11">
        <v>96074</v>
      </c>
      <c r="G190" s="11">
        <v>37163</v>
      </c>
      <c r="H190" s="119">
        <f>_xlfn.XLOOKUP(Table1[[#This Row],[Shipment Number]], 'pivot '!A:A,'pivot '!G:G, "NF")</f>
        <v>29.347621413321974</v>
      </c>
      <c r="I190" s="120">
        <f>Table1[[#This Row],[Tiyaar/gaz]]/1.0936</f>
        <v>33982.26042428676</v>
      </c>
      <c r="J190" s="120"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0" s="118"/>
    </row>
    <row r="191" spans="1:11" x14ac:dyDescent="0.3">
      <c r="A191" s="140">
        <v>46070</v>
      </c>
      <c r="B191" s="122" t="s">
        <v>337</v>
      </c>
      <c r="C191" s="118">
        <v>1502</v>
      </c>
      <c r="D191" s="118" t="s">
        <v>86</v>
      </c>
      <c r="E191" s="11">
        <v>1977</v>
      </c>
      <c r="F191" s="11">
        <v>27995</v>
      </c>
      <c r="G191" s="11">
        <v>9124</v>
      </c>
      <c r="H191" s="119">
        <f>_xlfn.XLOOKUP(Table1[[#This Row],[Shipment Number]], 'pivot '!A:A,'pivot '!G:G, "NF")</f>
        <v>5.8935568622937069</v>
      </c>
      <c r="I191" s="120">
        <f>Table1[[#This Row],[Tiyaar/gaz]]/1.0936</f>
        <v>8343.0870519385517</v>
      </c>
      <c r="J191" s="120"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1" s="118"/>
    </row>
    <row r="192" spans="1:11" x14ac:dyDescent="0.3">
      <c r="A192" s="140">
        <v>46070</v>
      </c>
      <c r="B192" s="122" t="s">
        <v>21</v>
      </c>
      <c r="C192" s="118">
        <v>1503</v>
      </c>
      <c r="D192" s="118" t="s">
        <v>86</v>
      </c>
      <c r="E192" s="11">
        <v>2099</v>
      </c>
      <c r="F192" s="11">
        <v>96074</v>
      </c>
      <c r="G192" s="11">
        <v>17576</v>
      </c>
      <c r="H192" s="119">
        <f>_xlfn.XLOOKUP(Table1[[#This Row],[Shipment Number]], 'pivot '!A:A,'pivot '!G:G, "NF")</f>
        <v>29.347621413321974</v>
      </c>
      <c r="I192" s="120">
        <f>Table1[[#This Row],[Tiyaar/gaz]]/1.0936</f>
        <v>16071.689831748356</v>
      </c>
      <c r="J192" s="120"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2" s="118"/>
    </row>
    <row r="193" spans="1:11" x14ac:dyDescent="0.3">
      <c r="A193" s="140">
        <v>46070</v>
      </c>
      <c r="B193" s="122" t="s">
        <v>22</v>
      </c>
      <c r="C193" s="118">
        <v>1504</v>
      </c>
      <c r="D193" s="118" t="s">
        <v>86</v>
      </c>
      <c r="E193" s="11">
        <v>2094</v>
      </c>
      <c r="F193" s="11">
        <v>30340</v>
      </c>
      <c r="G193" s="11">
        <v>14297</v>
      </c>
      <c r="H193" s="119">
        <f>_xlfn.XLOOKUP(Table1[[#This Row],[Shipment Number]], 'pivot '!A:A,'pivot '!G:G, "NF")</f>
        <v>3.5226949968149341</v>
      </c>
      <c r="I193" s="120">
        <f>Table1[[#This Row],[Tiyaar/gaz]]/1.0936</f>
        <v>13073.335771762986</v>
      </c>
      <c r="J193" s="120"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3" s="118"/>
    </row>
    <row r="194" spans="1:11" x14ac:dyDescent="0.3">
      <c r="A194" s="140">
        <v>46070</v>
      </c>
      <c r="B194" s="122" t="s">
        <v>21</v>
      </c>
      <c r="C194" s="118">
        <v>1505</v>
      </c>
      <c r="D194" s="118" t="s">
        <v>86</v>
      </c>
      <c r="E194" s="11">
        <v>2099</v>
      </c>
      <c r="F194" s="11">
        <v>96074</v>
      </c>
      <c r="G194" s="11">
        <v>16430</v>
      </c>
      <c r="H194" s="119">
        <f>_xlfn.XLOOKUP(Table1[[#This Row],[Shipment Number]], 'pivot '!A:A,'pivot '!G:G, "NF")</f>
        <v>29.347621413321974</v>
      </c>
      <c r="I194" s="120">
        <f>Table1[[#This Row],[Tiyaar/gaz]]/1.0936</f>
        <v>15023.774689100221</v>
      </c>
      <c r="J194" s="120"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4" s="118"/>
    </row>
    <row r="195" spans="1:11" x14ac:dyDescent="0.3">
      <c r="A195" s="140">
        <v>46071</v>
      </c>
      <c r="B195" s="122" t="s">
        <v>192</v>
      </c>
      <c r="C195" s="118">
        <v>1506</v>
      </c>
      <c r="D195" s="118" t="s">
        <v>86</v>
      </c>
      <c r="E195" s="11">
        <v>2075</v>
      </c>
      <c r="F195" s="11">
        <v>1519</v>
      </c>
      <c r="G195" s="11">
        <v>1650</v>
      </c>
      <c r="H195" s="119">
        <f>_xlfn.XLOOKUP(Table1[[#This Row],[Shipment Number]], 'pivot '!A:A,'pivot '!G:G, "NF")</f>
        <v>0.67291989830832222</v>
      </c>
      <c r="I195" s="120">
        <f>Table1[[#This Row],[Tiyaar/gaz]]/1.0936</f>
        <v>1508.7783467446966</v>
      </c>
      <c r="J195" s="120"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5" s="118"/>
    </row>
    <row r="196" spans="1:11" x14ac:dyDescent="0.3">
      <c r="A196" s="140">
        <v>46071</v>
      </c>
      <c r="B196" s="122" t="s">
        <v>192</v>
      </c>
      <c r="C196" s="118">
        <v>1507</v>
      </c>
      <c r="D196" s="118" t="s">
        <v>86</v>
      </c>
      <c r="E196" s="11">
        <v>2074</v>
      </c>
      <c r="F196" s="11">
        <v>1308</v>
      </c>
      <c r="G196" s="11">
        <v>1408</v>
      </c>
      <c r="H196" s="119">
        <f>_xlfn.XLOOKUP(Table1[[#This Row],[Shipment Number]], 'pivot '!A:A,'pivot '!G:G, "NF")</f>
        <v>1.5679773785315234</v>
      </c>
      <c r="I196" s="120">
        <f>Table1[[#This Row],[Tiyaar/gaz]]/1.0936</f>
        <v>1287.4908558888078</v>
      </c>
      <c r="J196" s="120"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6" s="118"/>
    </row>
    <row r="197" spans="1:11" x14ac:dyDescent="0.3">
      <c r="A197" s="140">
        <v>46071</v>
      </c>
      <c r="B197" s="122"/>
      <c r="C197" s="118">
        <v>1508</v>
      </c>
      <c r="D197" s="118"/>
      <c r="E197" s="11"/>
      <c r="F197" s="11"/>
      <c r="G197" s="11"/>
      <c r="H197" s="119" t="e">
        <f>_xlfn.XLOOKUP(Table1[[#This Row],[Shipment Number]], 'pivot '!A:A,'pivot '!G:G, "NF")</f>
        <v>#DIV/0!</v>
      </c>
      <c r="I197" s="120"/>
      <c r="J197" s="120"/>
      <c r="K197" s="118"/>
    </row>
    <row r="198" spans="1:11" x14ac:dyDescent="0.3">
      <c r="A198" s="140">
        <v>46071</v>
      </c>
      <c r="B198" s="122"/>
      <c r="C198" s="118">
        <v>1509</v>
      </c>
      <c r="D198" s="118"/>
      <c r="E198" s="11"/>
      <c r="F198" s="11"/>
      <c r="G198" s="11"/>
      <c r="H198" s="119" t="e">
        <f>_xlfn.XLOOKUP(Table1[[#This Row],[Shipment Number]], 'pivot '!A:A,'pivot '!G:G, "NF")</f>
        <v>#DIV/0!</v>
      </c>
      <c r="I198" s="120"/>
      <c r="J198" s="120"/>
      <c r="K198" s="118"/>
    </row>
    <row r="199" spans="1:11" x14ac:dyDescent="0.3">
      <c r="A199"/>
      <c r="B199"/>
      <c r="C199"/>
      <c r="D199"/>
      <c r="E199" s="14"/>
      <c r="F199" s="14"/>
      <c r="G199" s="14"/>
      <c r="H199" s="43"/>
      <c r="I199" s="94" cm="1">
        <f t="array" aca="1" ref="I199" ca="1">SUMPRODUCT( SUBTOTAL(109, OFFSET(Table1[tiyar/meters], ROW(Table1[tiyar/meters])-MIN(ROW(Table1[tiyar/meters])), 0, 1)), --(Table1[Bill Number]&lt;&gt;"December Closing CF") )</f>
        <v>1839162.3994147771</v>
      </c>
      <c r="J199" s="43" cm="1">
        <f t="array" aca="1" ref="J199" ca="1">SUMPRODUCT( SUBTOTAL(109, OFFSET(Table1[billing], ROW(Table1[billing])-MIN(ROW(Table1[billing])), 0, 1)), --(Table1[Bill Number]&lt;&gt;"December Closing CF") )</f>
        <v>20583550.658376008</v>
      </c>
      <c r="K199" s="14">
        <f>SUMIFS(Table1[billing], Table1[Bill Number], "&lt;&gt;December Closing CF")</f>
        <v>20583550.658376008</v>
      </c>
    </row>
  </sheetData>
  <phoneticPr fontId="7" alignment="center"/>
  <conditionalFormatting sqref="H2:H199">
    <cfRule type="cellIs" dxfId="7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48" zoomScale="145" zoomScaleNormal="90" workbookViewId="0">
      <selection activeCell="E58" sqref="E58:E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6170355</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v>495280</v>
      </c>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v>495280</v>
      </c>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v>176300</v>
      </c>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v>455940</v>
      </c>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v>455940</v>
      </c>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v>128740</v>
      </c>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v>522330</v>
      </c>
    </row>
    <row r="51" spans="1:16" x14ac:dyDescent="0.3">
      <c r="A51" s="1">
        <v>46063</v>
      </c>
      <c r="B51" t="s">
        <v>213</v>
      </c>
      <c r="D51" s="11">
        <v>154</v>
      </c>
      <c r="E51" s="11">
        <v>580</v>
      </c>
      <c r="F51" s="11"/>
      <c r="G51" s="11">
        <f t="shared" si="2"/>
        <v>89320</v>
      </c>
      <c r="H51" s="11"/>
      <c r="I51" s="11">
        <f>(D51*E51)-Table3[[#This Row],[Paid]]</f>
        <v>89320</v>
      </c>
      <c r="L51" s="42" t="s">
        <v>103</v>
      </c>
      <c r="M51" s="14">
        <v>634</v>
      </c>
      <c r="N51" s="14">
        <v>522330</v>
      </c>
      <c r="O51" s="14"/>
      <c r="P51" s="14">
        <v>522330</v>
      </c>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v>203360</v>
      </c>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v>203360</v>
      </c>
    </row>
    <row r="54" spans="1:16" x14ac:dyDescent="0.3">
      <c r="A54" s="1">
        <v>46066</v>
      </c>
      <c r="B54" t="s">
        <v>196</v>
      </c>
      <c r="D54" s="11">
        <v>237</v>
      </c>
      <c r="E54" s="11">
        <v>820</v>
      </c>
      <c r="F54" s="11"/>
      <c r="G54" s="11">
        <f t="shared" si="2"/>
        <v>194340</v>
      </c>
      <c r="H54" s="11"/>
      <c r="I54" s="11">
        <f>(D54*E54)-Table3[[#This Row],[Paid]]</f>
        <v>194340</v>
      </c>
      <c r="L54" s="26">
        <v>46070</v>
      </c>
      <c r="M54" s="14">
        <v>237</v>
      </c>
      <c r="N54" s="14">
        <v>219225</v>
      </c>
      <c r="O54" s="14"/>
      <c r="P54" s="14">
        <v>219225</v>
      </c>
    </row>
    <row r="55" spans="1:16" x14ac:dyDescent="0.3">
      <c r="A55" s="1">
        <v>46067</v>
      </c>
      <c r="B55" t="s">
        <v>276</v>
      </c>
      <c r="D55" s="11">
        <v>324</v>
      </c>
      <c r="E55" s="11">
        <v>925</v>
      </c>
      <c r="F55" s="11">
        <v>54940</v>
      </c>
      <c r="G55" s="11">
        <f t="shared" si="2"/>
        <v>299700</v>
      </c>
      <c r="H55" s="11"/>
      <c r="I55" s="11">
        <f>(D55*E55)-Table3[[#This Row],[Paid]]</f>
        <v>299700</v>
      </c>
      <c r="L55" s="42" t="s">
        <v>103</v>
      </c>
      <c r="M55" s="14">
        <v>237</v>
      </c>
      <c r="N55" s="14">
        <v>219225</v>
      </c>
      <c r="O55" s="14"/>
      <c r="P55" s="14">
        <v>219225</v>
      </c>
    </row>
    <row r="56" spans="1:16" x14ac:dyDescent="0.3">
      <c r="A56" s="1">
        <v>46067</v>
      </c>
      <c r="B56" t="s">
        <v>196</v>
      </c>
      <c r="D56" s="11">
        <v>382</v>
      </c>
      <c r="E56" s="11">
        <v>820</v>
      </c>
      <c r="F56" s="11"/>
      <c r="G56" s="11">
        <f t="shared" si="2"/>
        <v>313240</v>
      </c>
      <c r="H56" s="11"/>
      <c r="I56" s="11">
        <f>(D56*E56)-Table3[[#This Row],[Paid]]</f>
        <v>313240</v>
      </c>
      <c r="L56" s="26" t="s">
        <v>28</v>
      </c>
      <c r="M56" s="14">
        <v>7740</v>
      </c>
      <c r="N56" s="14">
        <v>6170355</v>
      </c>
      <c r="O56" s="14">
        <v>0</v>
      </c>
      <c r="P56" s="14">
        <v>10376309</v>
      </c>
    </row>
    <row r="57" spans="1:16" x14ac:dyDescent="0.3">
      <c r="A57" s="1">
        <v>46067</v>
      </c>
      <c r="B57" t="s">
        <v>196</v>
      </c>
      <c r="D57" s="11">
        <v>316</v>
      </c>
      <c r="E57" s="11">
        <v>820</v>
      </c>
      <c r="F57" s="11"/>
      <c r="G57" s="11">
        <f t="shared" si="2"/>
        <v>259120</v>
      </c>
      <c r="H57" s="11"/>
      <c r="I57" s="11">
        <f>(D57*E57)-Table3[[#This Row],[Paid]]</f>
        <v>259120</v>
      </c>
    </row>
    <row r="58" spans="1:16" x14ac:dyDescent="0.3">
      <c r="A58" s="1">
        <v>46067</v>
      </c>
      <c r="B58" t="s">
        <v>169</v>
      </c>
      <c r="D58" s="11">
        <v>237</v>
      </c>
      <c r="E58" s="11">
        <v>580</v>
      </c>
      <c r="F58" s="11"/>
      <c r="G58" s="11">
        <f t="shared" si="2"/>
        <v>137460</v>
      </c>
      <c r="H58" s="11"/>
      <c r="I58" s="11">
        <f>(D58*E58)-Table3[[#This Row],[Paid]]</f>
        <v>137460</v>
      </c>
    </row>
    <row r="59" spans="1:16" x14ac:dyDescent="0.3">
      <c r="A59" s="1">
        <v>46068</v>
      </c>
      <c r="B59" t="s">
        <v>196</v>
      </c>
      <c r="D59" s="11">
        <v>184</v>
      </c>
      <c r="E59" s="11">
        <v>820</v>
      </c>
      <c r="F59" s="11"/>
      <c r="G59" s="11">
        <f t="shared" si="2"/>
        <v>150880</v>
      </c>
      <c r="H59" s="11"/>
      <c r="I59" s="11">
        <f>(D59*E59)-Table3[[#This Row],[Paid]]</f>
        <v>150880</v>
      </c>
    </row>
    <row r="60" spans="1:16" x14ac:dyDescent="0.3">
      <c r="A60" s="1">
        <v>46068</v>
      </c>
      <c r="B60" t="s">
        <v>218</v>
      </c>
      <c r="D60" s="11">
        <v>205</v>
      </c>
      <c r="E60" s="11">
        <v>820</v>
      </c>
      <c r="F60" s="11"/>
      <c r="G60" s="11">
        <f t="shared" si="2"/>
        <v>168100</v>
      </c>
      <c r="H60" s="11"/>
      <c r="I60" s="11">
        <f>(D60*E60)-Table3[[#This Row],[Paid]]</f>
        <v>168100</v>
      </c>
    </row>
    <row r="61" spans="1:16" x14ac:dyDescent="0.3">
      <c r="A61" s="1">
        <v>46068</v>
      </c>
      <c r="B61" t="s">
        <v>169</v>
      </c>
      <c r="D61" s="11">
        <v>245</v>
      </c>
      <c r="E61" s="11">
        <v>830</v>
      </c>
      <c r="F61" s="11"/>
      <c r="G61" s="11">
        <f t="shared" si="2"/>
        <v>203350</v>
      </c>
      <c r="H61" s="11"/>
      <c r="I61" s="11">
        <f>(D61*E61)-Table3[[#This Row],[Paid]]</f>
        <v>203350</v>
      </c>
    </row>
    <row r="62" spans="1:16" x14ac:dyDescent="0.3">
      <c r="A62" s="1">
        <v>46069</v>
      </c>
      <c r="B62" t="s">
        <v>218</v>
      </c>
      <c r="D62" s="11">
        <v>248</v>
      </c>
      <c r="E62" s="11">
        <v>820</v>
      </c>
      <c r="F62" s="11">
        <v>34000</v>
      </c>
      <c r="G62" s="11">
        <f t="shared" si="2"/>
        <v>203360</v>
      </c>
      <c r="H62" s="11"/>
      <c r="I62" s="11">
        <f>(D62*E62)-Table3[[#This Row],[Paid]]</f>
        <v>203360</v>
      </c>
    </row>
    <row r="63" spans="1:16" x14ac:dyDescent="0.3">
      <c r="A63" s="1">
        <v>46070</v>
      </c>
      <c r="B63" t="s">
        <v>276</v>
      </c>
      <c r="D63" s="11">
        <v>237</v>
      </c>
      <c r="E63" s="11">
        <v>925</v>
      </c>
      <c r="F63" s="11">
        <v>41000</v>
      </c>
      <c r="G63" s="11">
        <f t="shared" si="2"/>
        <v>219225</v>
      </c>
      <c r="H63" s="11"/>
      <c r="I63" s="11">
        <f>(D63*E63)-Table3[[#This Row],[Paid]]</f>
        <v>219225</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6170355</v>
      </c>
      <c r="H123" s="14">
        <f>SUBTOTAL(109,Table3[Paid])</f>
        <v>0</v>
      </c>
      <c r="I123" s="14">
        <f>SUBTOTAL(109,Table3[balance])</f>
        <v>10376309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9"/>
  <sheetViews>
    <sheetView topLeftCell="A458" zoomScale="104" workbookViewId="0">
      <selection activeCell="R482" sqref="R48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23277982.203986831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23293861.203986831</v>
      </c>
      <c r="M5" s="45" t="s">
        <v>108</v>
      </c>
      <c r="N5" s="46">
        <f>(SUMIFS(Table14[Credit],Table14[Mode],"Bank")-SUMIFS(Table14[Debit],Table14[Mode],"Bank")-SUMIFS(Table14[Withdrawal],Table14[Mode],"Transfer"))</f>
        <v>626795</v>
      </c>
      <c r="O5">
        <v>360000</v>
      </c>
    </row>
    <row r="6" spans="1:16" x14ac:dyDescent="0.3">
      <c r="A6" s="115">
        <v>46014</v>
      </c>
      <c r="B6" s="81" t="s">
        <v>212</v>
      </c>
      <c r="C6" s="11"/>
      <c r="D6" s="87">
        <v>562846</v>
      </c>
      <c r="E6" s="81" t="s">
        <v>275</v>
      </c>
      <c r="F6" s="88" t="s">
        <v>108</v>
      </c>
      <c r="J6" s="52" t="s">
        <v>43</v>
      </c>
      <c r="K6" s="53">
        <f>(K5-K4)</f>
        <v>15879</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15879</v>
      </c>
      <c r="O7" s="90">
        <f>SUM(O5,O6)</f>
        <v>410000</v>
      </c>
      <c r="P7" s="14">
        <f>Table18[[#Totals],[amount]]-Table18[[#Totals],[Actual]]</f>
        <v>-394121</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f>[1]Profit!$F$21</f>
        <v>136637.20398683249</v>
      </c>
      <c r="E132" t="s">
        <v>406</v>
      </c>
      <c r="F132" s="111" t="s">
        <v>108</v>
      </c>
      <c r="I132">
        <v>80000</v>
      </c>
      <c r="K132">
        <v>15000</v>
      </c>
      <c r="L132">
        <v>16300</v>
      </c>
      <c r="M132">
        <v>16300</v>
      </c>
    </row>
    <row r="133" spans="1:13" x14ac:dyDescent="0.3">
      <c r="A133" s="115">
        <v>46053</v>
      </c>
      <c r="B133" t="s">
        <v>407</v>
      </c>
      <c r="C133" s="11">
        <f>[1]Profit!$F$21</f>
        <v>136637.20398683249</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507423</v>
      </c>
    </row>
    <row r="165" spans="1:12" x14ac:dyDescent="0.3">
      <c r="A165" s="115">
        <v>46056</v>
      </c>
      <c r="B165" t="s">
        <v>222</v>
      </c>
      <c r="C165" s="11"/>
      <c r="D165" s="11">
        <v>28000</v>
      </c>
      <c r="E165" t="s">
        <v>353</v>
      </c>
      <c r="F165" s="111" t="s">
        <v>108</v>
      </c>
      <c r="J165" s="4" t="s">
        <v>347</v>
      </c>
      <c r="K165" s="14">
        <v>657000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395</v>
      </c>
      <c r="F167" s="111" t="s">
        <v>108</v>
      </c>
      <c r="J167" s="4" t="s">
        <v>94</v>
      </c>
      <c r="K167" s="14"/>
      <c r="L167" s="14">
        <v>989540</v>
      </c>
    </row>
    <row r="168" spans="1:12" x14ac:dyDescent="0.3">
      <c r="A168" s="115">
        <v>46056</v>
      </c>
      <c r="B168" t="s">
        <v>50</v>
      </c>
      <c r="C168" s="11">
        <v>150015</v>
      </c>
      <c r="D168" s="11"/>
      <c r="E168" t="s">
        <v>354</v>
      </c>
      <c r="F168" s="111" t="s">
        <v>108</v>
      </c>
      <c r="J168" s="4" t="s">
        <v>50</v>
      </c>
      <c r="K168" s="14"/>
      <c r="L168" s="14">
        <v>233895</v>
      </c>
    </row>
    <row r="169" spans="1:12" x14ac:dyDescent="0.3">
      <c r="A169" s="115">
        <v>46056</v>
      </c>
      <c r="B169" t="s">
        <v>212</v>
      </c>
      <c r="C169" s="11">
        <v>130</v>
      </c>
      <c r="D169" s="11"/>
      <c r="F169" s="111" t="s">
        <v>108</v>
      </c>
      <c r="J169" s="4" t="s">
        <v>55</v>
      </c>
      <c r="K169" s="14"/>
      <c r="L169" s="14">
        <v>273991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134530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884003.20398683252</v>
      </c>
      <c r="L176" s="14">
        <v>223940</v>
      </c>
    </row>
    <row r="177" spans="1:12" x14ac:dyDescent="0.3">
      <c r="A177" s="115">
        <v>46055</v>
      </c>
      <c r="B177" t="s">
        <v>50</v>
      </c>
      <c r="C177" s="11">
        <v>8616</v>
      </c>
      <c r="D177" s="11"/>
      <c r="E177" t="s">
        <v>359</v>
      </c>
      <c r="F177" s="111" t="s">
        <v>108</v>
      </c>
      <c r="J177" s="4" t="s">
        <v>289</v>
      </c>
      <c r="K177" s="14">
        <v>872000</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1276500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149</v>
      </c>
      <c r="K182" s="14"/>
      <c r="L182" s="14">
        <v>20380</v>
      </c>
    </row>
    <row r="183" spans="1:12" x14ac:dyDescent="0.3">
      <c r="A183" s="115">
        <v>46057</v>
      </c>
      <c r="B183" t="s">
        <v>50</v>
      </c>
      <c r="C183" s="11">
        <v>2600</v>
      </c>
      <c r="D183" s="11"/>
      <c r="E183" t="s">
        <v>363</v>
      </c>
      <c r="F183" s="111" t="s">
        <v>108</v>
      </c>
      <c r="J183" s="4" t="s">
        <v>64</v>
      </c>
      <c r="K183" s="14"/>
      <c r="L183" s="14">
        <v>155000</v>
      </c>
    </row>
    <row r="184" spans="1:12" x14ac:dyDescent="0.3">
      <c r="A184" s="115">
        <v>46057</v>
      </c>
      <c r="B184" t="s">
        <v>52</v>
      </c>
      <c r="C184" s="96"/>
      <c r="D184" s="96"/>
      <c r="E184" t="s">
        <v>364</v>
      </c>
      <c r="F184" s="111" t="s">
        <v>108</v>
      </c>
      <c r="J184" s="4" t="s">
        <v>152</v>
      </c>
      <c r="K184" s="14">
        <v>2313000</v>
      </c>
      <c r="L184" s="14"/>
    </row>
    <row r="185" spans="1:12" x14ac:dyDescent="0.3">
      <c r="A185" s="115">
        <v>46057</v>
      </c>
      <c r="B185" t="s">
        <v>169</v>
      </c>
      <c r="C185" s="11">
        <v>150000</v>
      </c>
      <c r="D185" s="11"/>
      <c r="E185" t="s">
        <v>379</v>
      </c>
      <c r="F185" s="111" t="s">
        <v>108</v>
      </c>
      <c r="J185" s="4" t="s">
        <v>169</v>
      </c>
      <c r="K185" s="14"/>
      <c r="L185" s="14">
        <v>1641354</v>
      </c>
    </row>
    <row r="186" spans="1:12" x14ac:dyDescent="0.3">
      <c r="A186" s="115">
        <v>46057</v>
      </c>
      <c r="B186" t="s">
        <v>222</v>
      </c>
      <c r="C186" s="11"/>
      <c r="D186" s="11">
        <v>125222</v>
      </c>
      <c r="E186" t="s">
        <v>365</v>
      </c>
      <c r="F186" s="111" t="s">
        <v>108</v>
      </c>
      <c r="J186" s="4" t="s">
        <v>172</v>
      </c>
      <c r="K186" s="14"/>
      <c r="L186" s="14">
        <v>97520</v>
      </c>
    </row>
    <row r="187" spans="1:12" x14ac:dyDescent="0.3">
      <c r="A187" s="115">
        <v>46057</v>
      </c>
      <c r="B187" t="s">
        <v>227</v>
      </c>
      <c r="C187" s="11">
        <v>2000</v>
      </c>
      <c r="D187" s="11"/>
      <c r="E187" t="s">
        <v>366</v>
      </c>
      <c r="F187" s="111" t="s">
        <v>108</v>
      </c>
      <c r="J187" s="4" t="s">
        <v>222</v>
      </c>
      <c r="K187" s="14">
        <v>3740518</v>
      </c>
      <c r="L187" s="14">
        <v>10933826</v>
      </c>
    </row>
    <row r="188" spans="1:12" x14ac:dyDescent="0.3">
      <c r="A188" s="115">
        <v>46057</v>
      </c>
      <c r="B188" t="s">
        <v>50</v>
      </c>
      <c r="C188" s="11">
        <v>1500</v>
      </c>
      <c r="D188" s="11"/>
      <c r="E188" t="s">
        <v>243</v>
      </c>
      <c r="F188" s="111" t="s">
        <v>108</v>
      </c>
      <c r="J188" s="4" t="s">
        <v>165</v>
      </c>
      <c r="K188" s="14"/>
      <c r="L188" s="14">
        <v>120000</v>
      </c>
    </row>
    <row r="189" spans="1:12" x14ac:dyDescent="0.3">
      <c r="A189" s="115">
        <v>46057</v>
      </c>
      <c r="B189" t="s">
        <v>54</v>
      </c>
      <c r="C189" s="11">
        <v>2650</v>
      </c>
      <c r="D189" s="11"/>
      <c r="E189" t="s">
        <v>367</v>
      </c>
      <c r="F189" s="111" t="s">
        <v>108</v>
      </c>
      <c r="J189" s="4" t="s">
        <v>175</v>
      </c>
      <c r="K189" s="14">
        <v>1078616</v>
      </c>
      <c r="L189" s="14"/>
    </row>
    <row r="190" spans="1:12" x14ac:dyDescent="0.3">
      <c r="A190" s="38">
        <v>46057</v>
      </c>
      <c r="B190" t="s">
        <v>54</v>
      </c>
      <c r="C190" s="96">
        <v>2200</v>
      </c>
      <c r="D190" s="96"/>
      <c r="E190" t="s">
        <v>368</v>
      </c>
      <c r="F190" s="111" t="s">
        <v>108</v>
      </c>
      <c r="J190" s="4" t="s">
        <v>195</v>
      </c>
      <c r="K190" s="14"/>
      <c r="L190" s="14">
        <v>408100</v>
      </c>
    </row>
    <row r="191" spans="1:12" x14ac:dyDescent="0.3">
      <c r="A191" s="115">
        <v>46057</v>
      </c>
      <c r="B191" t="s">
        <v>212</v>
      </c>
      <c r="C191" s="96">
        <v>1360</v>
      </c>
      <c r="D191" s="96"/>
      <c r="F191" s="111" t="s">
        <v>108</v>
      </c>
      <c r="J191" s="4" t="s">
        <v>387</v>
      </c>
      <c r="K191" s="14">
        <v>1508520</v>
      </c>
      <c r="L191" s="14"/>
    </row>
    <row r="192" spans="1:12" x14ac:dyDescent="0.3">
      <c r="A192" s="38">
        <v>46058</v>
      </c>
      <c r="B192" t="s">
        <v>55</v>
      </c>
      <c r="C192" s="11">
        <v>1400</v>
      </c>
      <c r="D192" s="11"/>
      <c r="E192" t="s">
        <v>369</v>
      </c>
      <c r="F192" s="111" t="s">
        <v>108</v>
      </c>
      <c r="J192" s="4" t="s">
        <v>182</v>
      </c>
      <c r="K192" s="14"/>
      <c r="L192" s="14">
        <v>35000</v>
      </c>
    </row>
    <row r="193" spans="1:12" x14ac:dyDescent="0.3">
      <c r="A193" s="115">
        <v>46058</v>
      </c>
      <c r="B193" t="s">
        <v>235</v>
      </c>
      <c r="C193" s="11"/>
      <c r="D193" s="11">
        <v>140000</v>
      </c>
      <c r="E193" t="s">
        <v>370</v>
      </c>
      <c r="F193" s="111" t="s">
        <v>108</v>
      </c>
      <c r="J193" s="4" t="s">
        <v>191</v>
      </c>
      <c r="K193" s="14"/>
      <c r="L193" s="14">
        <v>351000</v>
      </c>
    </row>
    <row r="194" spans="1:12" x14ac:dyDescent="0.3">
      <c r="A194" s="38">
        <v>46058</v>
      </c>
      <c r="B194" t="s">
        <v>52</v>
      </c>
      <c r="C194" s="11">
        <v>20000</v>
      </c>
      <c r="D194" s="11"/>
      <c r="E194" t="s">
        <v>239</v>
      </c>
      <c r="F194" s="111" t="s">
        <v>108</v>
      </c>
      <c r="J194" s="4" t="s">
        <v>250</v>
      </c>
      <c r="K194" s="14"/>
      <c r="L194" s="14">
        <v>101000</v>
      </c>
    </row>
    <row r="195" spans="1:12" x14ac:dyDescent="0.3">
      <c r="A195" s="115">
        <v>46058</v>
      </c>
      <c r="B195" t="s">
        <v>54</v>
      </c>
      <c r="C195" s="11">
        <v>7000</v>
      </c>
      <c r="D195" s="11"/>
      <c r="E195" t="s">
        <v>371</v>
      </c>
      <c r="F195" s="111" t="s">
        <v>108</v>
      </c>
      <c r="J195" s="4" t="s">
        <v>192</v>
      </c>
      <c r="K195" s="14">
        <v>625000</v>
      </c>
      <c r="L195" s="14"/>
    </row>
    <row r="196" spans="1:12" x14ac:dyDescent="0.3">
      <c r="A196" s="38">
        <v>46058</v>
      </c>
      <c r="B196" t="s">
        <v>55</v>
      </c>
      <c r="C196" s="11">
        <v>3300</v>
      </c>
      <c r="D196" s="11"/>
      <c r="E196" t="s">
        <v>372</v>
      </c>
      <c r="F196" s="111" t="s">
        <v>108</v>
      </c>
      <c r="J196" s="4" t="s">
        <v>256</v>
      </c>
      <c r="K196" s="14">
        <v>863242</v>
      </c>
      <c r="L196" s="14"/>
    </row>
    <row r="197" spans="1:12" x14ac:dyDescent="0.3">
      <c r="A197" s="115">
        <v>46058</v>
      </c>
      <c r="B197" t="s">
        <v>55</v>
      </c>
      <c r="C197" s="11">
        <v>4675</v>
      </c>
      <c r="D197" s="11"/>
      <c r="E197" t="s">
        <v>373</v>
      </c>
      <c r="F197" s="111" t="s">
        <v>108</v>
      </c>
      <c r="J197" s="4" t="s">
        <v>260</v>
      </c>
      <c r="K197" s="14"/>
      <c r="L197" s="14">
        <v>2765198</v>
      </c>
    </row>
    <row r="198" spans="1:12" x14ac:dyDescent="0.3">
      <c r="A198" s="38">
        <v>46058</v>
      </c>
      <c r="B198" t="s">
        <v>192</v>
      </c>
      <c r="C198" s="11"/>
      <c r="D198" s="11">
        <v>100000</v>
      </c>
      <c r="E198" t="s">
        <v>374</v>
      </c>
      <c r="F198" s="111" t="s">
        <v>108</v>
      </c>
      <c r="J198" s="4" t="s">
        <v>198</v>
      </c>
      <c r="K198" s="14"/>
      <c r="L198" s="14">
        <v>81360</v>
      </c>
    </row>
    <row r="199" spans="1:12" x14ac:dyDescent="0.3">
      <c r="A199" s="115">
        <v>46058</v>
      </c>
      <c r="B199" t="s">
        <v>256</v>
      </c>
      <c r="C199" s="11"/>
      <c r="D199" s="11">
        <v>100000</v>
      </c>
      <c r="F199" s="111" t="s">
        <v>108</v>
      </c>
      <c r="J199" s="4" t="s">
        <v>211</v>
      </c>
      <c r="K199" s="14">
        <v>2965362</v>
      </c>
      <c r="L199" s="14"/>
    </row>
    <row r="200" spans="1:12" x14ac:dyDescent="0.3">
      <c r="A200" s="38">
        <v>46058</v>
      </c>
      <c r="B200" t="s">
        <v>222</v>
      </c>
      <c r="C200" s="11"/>
      <c r="D200" s="11">
        <v>40000</v>
      </c>
      <c r="E200" t="s">
        <v>250</v>
      </c>
      <c r="F200" s="111" t="s">
        <v>108</v>
      </c>
      <c r="J200" s="4" t="s">
        <v>213</v>
      </c>
      <c r="K200" s="14"/>
      <c r="L200" s="14">
        <v>10000</v>
      </c>
    </row>
    <row r="201" spans="1:12" x14ac:dyDescent="0.3">
      <c r="A201" s="115">
        <v>46058</v>
      </c>
      <c r="B201" t="s">
        <v>250</v>
      </c>
      <c r="C201" s="11">
        <v>40000</v>
      </c>
      <c r="D201" s="11"/>
      <c r="E201" t="s">
        <v>375</v>
      </c>
      <c r="F201" s="111" t="s">
        <v>108</v>
      </c>
      <c r="J201" s="4" t="s">
        <v>235</v>
      </c>
      <c r="K201" s="14">
        <v>1150000</v>
      </c>
      <c r="L201" s="14"/>
    </row>
    <row r="202" spans="1:12" x14ac:dyDescent="0.3">
      <c r="A202" s="38">
        <v>46058</v>
      </c>
      <c r="B202" t="s">
        <v>227</v>
      </c>
      <c r="C202" s="11">
        <v>3000</v>
      </c>
      <c r="D202" s="11"/>
      <c r="E202" t="s">
        <v>376</v>
      </c>
      <c r="F202" s="111" t="s">
        <v>108</v>
      </c>
      <c r="J202" s="4" t="s">
        <v>262</v>
      </c>
      <c r="K202" s="14"/>
      <c r="L202" s="14">
        <v>1277466</v>
      </c>
    </row>
    <row r="203" spans="1:12" x14ac:dyDescent="0.3">
      <c r="A203" s="115">
        <v>46058</v>
      </c>
      <c r="B203" t="s">
        <v>227</v>
      </c>
      <c r="C203" s="11">
        <v>15000</v>
      </c>
      <c r="D203" s="11"/>
      <c r="E203" t="s">
        <v>303</v>
      </c>
      <c r="F203" s="111" t="s">
        <v>108</v>
      </c>
      <c r="J203" s="4" t="s">
        <v>219</v>
      </c>
      <c r="K203" s="14">
        <v>728245</v>
      </c>
      <c r="L203" s="14"/>
    </row>
    <row r="204" spans="1:12" x14ac:dyDescent="0.3">
      <c r="A204" s="38">
        <v>46058</v>
      </c>
      <c r="B204" t="s">
        <v>260</v>
      </c>
      <c r="C204" s="11">
        <v>200119</v>
      </c>
      <c r="D204" s="11"/>
      <c r="E204" t="s">
        <v>377</v>
      </c>
      <c r="F204" s="111" t="s">
        <v>108</v>
      </c>
      <c r="J204" s="4" t="s">
        <v>335</v>
      </c>
      <c r="K204" s="14">
        <v>550000</v>
      </c>
      <c r="L204" s="14"/>
    </row>
    <row r="205" spans="1:12" x14ac:dyDescent="0.3">
      <c r="A205" s="115">
        <v>46058</v>
      </c>
      <c r="B205" t="s">
        <v>224</v>
      </c>
      <c r="C205" s="11">
        <v>3310</v>
      </c>
      <c r="D205" s="11"/>
      <c r="E205" t="s">
        <v>378</v>
      </c>
      <c r="F205" s="111" t="s">
        <v>108</v>
      </c>
      <c r="J205" s="4" t="s">
        <v>337</v>
      </c>
      <c r="K205" s="14">
        <v>1300000</v>
      </c>
      <c r="L205" s="14"/>
    </row>
    <row r="206" spans="1:12" x14ac:dyDescent="0.3">
      <c r="A206" s="38">
        <v>46058</v>
      </c>
      <c r="B206" t="s">
        <v>54</v>
      </c>
      <c r="C206" s="11">
        <v>1400</v>
      </c>
      <c r="D206" s="11"/>
      <c r="E206" t="s">
        <v>367</v>
      </c>
      <c r="F206" s="111" t="s">
        <v>108</v>
      </c>
      <c r="J206" s="4" t="s">
        <v>407</v>
      </c>
      <c r="K206" s="14"/>
      <c r="L206" s="14">
        <v>136637.20398683249</v>
      </c>
    </row>
    <row r="207" spans="1:12" x14ac:dyDescent="0.3">
      <c r="A207" s="38">
        <v>46059</v>
      </c>
      <c r="B207" t="s">
        <v>212</v>
      </c>
      <c r="C207" s="11">
        <v>1850</v>
      </c>
      <c r="D207" s="11"/>
      <c r="E207" t="s">
        <v>402</v>
      </c>
      <c r="F207" s="111" t="s">
        <v>108</v>
      </c>
      <c r="J207" s="4" t="s">
        <v>434</v>
      </c>
      <c r="K207" s="14"/>
      <c r="L207" s="14">
        <v>122500</v>
      </c>
    </row>
    <row r="208" spans="1:12" x14ac:dyDescent="0.3">
      <c r="A208" s="115">
        <v>46059</v>
      </c>
      <c r="B208" t="s">
        <v>52</v>
      </c>
      <c r="C208" s="11">
        <v>20000</v>
      </c>
      <c r="D208" s="11"/>
      <c r="E208" t="s">
        <v>239</v>
      </c>
      <c r="F208" s="111" t="s">
        <v>108</v>
      </c>
      <c r="J208" s="4" t="s">
        <v>440</v>
      </c>
      <c r="K208" s="14">
        <v>636000</v>
      </c>
      <c r="L208" s="14"/>
    </row>
    <row r="209" spans="1:12" x14ac:dyDescent="0.3">
      <c r="A209" s="38">
        <v>46059</v>
      </c>
      <c r="B209" t="s">
        <v>54</v>
      </c>
      <c r="C209" s="11">
        <v>5000</v>
      </c>
      <c r="D209" s="11"/>
      <c r="E209" t="s">
        <v>396</v>
      </c>
      <c r="F209" s="111" t="s">
        <v>108</v>
      </c>
      <c r="J209" s="4" t="s">
        <v>451</v>
      </c>
      <c r="K209" s="14"/>
      <c r="L209" s="14">
        <v>28750</v>
      </c>
    </row>
    <row r="210" spans="1:12" x14ac:dyDescent="0.3">
      <c r="A210" s="115">
        <v>46059</v>
      </c>
      <c r="B210" t="s">
        <v>55</v>
      </c>
      <c r="C210" s="11">
        <v>1500</v>
      </c>
      <c r="D210" s="11"/>
      <c r="E210" t="s">
        <v>397</v>
      </c>
      <c r="F210" s="111" t="s">
        <v>108</v>
      </c>
      <c r="J210" s="4" t="s">
        <v>515</v>
      </c>
      <c r="K210" s="14">
        <v>15855</v>
      </c>
      <c r="L210" s="14"/>
    </row>
    <row r="211" spans="1:12" x14ac:dyDescent="0.3">
      <c r="A211" s="38">
        <v>46059</v>
      </c>
      <c r="B211" t="s">
        <v>262</v>
      </c>
      <c r="C211" s="11">
        <v>100000</v>
      </c>
      <c r="D211" s="11"/>
      <c r="E211" t="s">
        <v>398</v>
      </c>
      <c r="F211" s="111" t="s">
        <v>108</v>
      </c>
      <c r="J211" s="4" t="s">
        <v>529</v>
      </c>
      <c r="K211" s="14"/>
      <c r="L211" s="14">
        <v>94100</v>
      </c>
    </row>
    <row r="212" spans="1:12" x14ac:dyDescent="0.3">
      <c r="A212" s="115">
        <v>46059</v>
      </c>
      <c r="B212" t="s">
        <v>227</v>
      </c>
      <c r="C212" s="11">
        <v>20000</v>
      </c>
      <c r="D212" s="11"/>
      <c r="E212" t="s">
        <v>399</v>
      </c>
      <c r="F212" s="111" t="s">
        <v>108</v>
      </c>
      <c r="J212" s="4" t="s">
        <v>28</v>
      </c>
      <c r="K212" s="14">
        <v>23293861.203986831</v>
      </c>
      <c r="L212" s="14">
        <v>23277282.203986831</v>
      </c>
    </row>
    <row r="213" spans="1:12" x14ac:dyDescent="0.3">
      <c r="A213" s="38">
        <v>46059</v>
      </c>
      <c r="B213" t="s">
        <v>169</v>
      </c>
      <c r="C213" s="11">
        <v>150500</v>
      </c>
      <c r="D213" s="11"/>
      <c r="E213" t="s">
        <v>400</v>
      </c>
      <c r="F213" s="111" t="s">
        <v>108</v>
      </c>
    </row>
    <row r="214" spans="1:12" x14ac:dyDescent="0.3">
      <c r="A214" s="115">
        <v>46059</v>
      </c>
      <c r="B214" t="s">
        <v>227</v>
      </c>
      <c r="C214" s="11">
        <v>5000</v>
      </c>
      <c r="D214" s="11"/>
      <c r="E214" t="s">
        <v>401</v>
      </c>
      <c r="F214" s="111" t="s">
        <v>108</v>
      </c>
    </row>
    <row r="215" spans="1:12" x14ac:dyDescent="0.3">
      <c r="A215" s="38">
        <v>46059</v>
      </c>
      <c r="B215" t="s">
        <v>222</v>
      </c>
      <c r="C215" s="11"/>
      <c r="D215" s="11">
        <v>65000</v>
      </c>
      <c r="E215" t="s">
        <v>403</v>
      </c>
      <c r="F215" s="111" t="s">
        <v>108</v>
      </c>
    </row>
    <row r="216" spans="1:12" x14ac:dyDescent="0.3">
      <c r="A216" s="115">
        <v>46059</v>
      </c>
      <c r="B216" t="s">
        <v>222</v>
      </c>
      <c r="C216" s="11"/>
      <c r="D216" s="11">
        <v>150000</v>
      </c>
      <c r="E216" t="s">
        <v>404</v>
      </c>
      <c r="F216" s="111" t="s">
        <v>108</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15">
        <v>46068</v>
      </c>
      <c r="B437" t="s">
        <v>483</v>
      </c>
      <c r="C437" s="11">
        <v>1300</v>
      </c>
      <c r="D437" s="11"/>
      <c r="E437" t="s">
        <v>541</v>
      </c>
      <c r="F437" s="111" t="s">
        <v>108</v>
      </c>
      <c r="L437">
        <v>17460</v>
      </c>
      <c r="M437">
        <v>22000</v>
      </c>
      <c r="O437">
        <v>17500</v>
      </c>
    </row>
    <row r="438" spans="1:15" x14ac:dyDescent="0.3">
      <c r="A438" s="115">
        <v>46068</v>
      </c>
      <c r="B438" t="s">
        <v>54</v>
      </c>
      <c r="C438" s="11">
        <v>600</v>
      </c>
      <c r="D438" s="11"/>
      <c r="E438" t="s">
        <v>542</v>
      </c>
      <c r="F438" s="111" t="s">
        <v>108</v>
      </c>
      <c r="L438">
        <v>11640</v>
      </c>
      <c r="O438">
        <v>16500</v>
      </c>
    </row>
    <row r="439" spans="1:15" x14ac:dyDescent="0.3">
      <c r="A439" s="115">
        <v>46069</v>
      </c>
      <c r="B439" t="s">
        <v>175</v>
      </c>
      <c r="C439" s="11"/>
      <c r="D439" s="11">
        <v>-30000</v>
      </c>
      <c r="E439" t="s">
        <v>543</v>
      </c>
      <c r="F439" s="111" t="s">
        <v>108</v>
      </c>
      <c r="L439">
        <v>10800</v>
      </c>
      <c r="O439">
        <v>14300</v>
      </c>
    </row>
    <row r="440" spans="1:15" x14ac:dyDescent="0.3">
      <c r="A440" s="115">
        <v>46069</v>
      </c>
      <c r="B440" t="s">
        <v>212</v>
      </c>
      <c r="C440" s="11"/>
      <c r="D440" s="11">
        <v>30000</v>
      </c>
      <c r="E440" t="s">
        <v>544</v>
      </c>
      <c r="F440" s="111" t="s">
        <v>108</v>
      </c>
      <c r="L440">
        <v>17000</v>
      </c>
      <c r="O440">
        <v>15000</v>
      </c>
    </row>
    <row r="441" spans="1:15" x14ac:dyDescent="0.3">
      <c r="A441" s="115">
        <v>46069</v>
      </c>
      <c r="B441" t="s">
        <v>212</v>
      </c>
      <c r="C441" s="11">
        <v>680</v>
      </c>
      <c r="D441" s="11"/>
      <c r="E441" t="s">
        <v>545</v>
      </c>
      <c r="F441" s="111" t="s">
        <v>108</v>
      </c>
      <c r="O441">
        <v>22650</v>
      </c>
    </row>
    <row r="442" spans="1:15" x14ac:dyDescent="0.3">
      <c r="A442" s="115">
        <v>46069</v>
      </c>
      <c r="B442" t="s">
        <v>262</v>
      </c>
      <c r="C442" s="11">
        <v>34000</v>
      </c>
      <c r="D442" s="11"/>
      <c r="E442" t="s">
        <v>416</v>
      </c>
      <c r="F442" s="111" t="s">
        <v>108</v>
      </c>
      <c r="O442">
        <v>20000</v>
      </c>
    </row>
    <row r="443" spans="1:15" x14ac:dyDescent="0.3">
      <c r="A443" s="115">
        <v>46069</v>
      </c>
      <c r="B443" t="s">
        <v>212</v>
      </c>
      <c r="C443" s="11"/>
      <c r="D443" s="11">
        <v>34000</v>
      </c>
      <c r="E443" t="s">
        <v>546</v>
      </c>
      <c r="F443" s="111" t="s">
        <v>108</v>
      </c>
      <c r="O443">
        <v>15600</v>
      </c>
    </row>
    <row r="444" spans="1:15" x14ac:dyDescent="0.3">
      <c r="A444" s="115">
        <v>46069</v>
      </c>
      <c r="B444" t="s">
        <v>529</v>
      </c>
      <c r="C444" s="11">
        <v>52000</v>
      </c>
      <c r="D444" s="11"/>
      <c r="E444" t="s">
        <v>547</v>
      </c>
      <c r="F444" s="111" t="s">
        <v>108</v>
      </c>
      <c r="O444">
        <v>15000</v>
      </c>
    </row>
    <row r="445" spans="1:15" x14ac:dyDescent="0.3">
      <c r="A445" s="115">
        <v>46069</v>
      </c>
      <c r="B445" t="s">
        <v>212</v>
      </c>
      <c r="C445" s="96"/>
      <c r="D445" s="96">
        <v>52000</v>
      </c>
      <c r="E445" t="s">
        <v>548</v>
      </c>
      <c r="F445" s="111" t="s">
        <v>108</v>
      </c>
      <c r="O445">
        <v>400</v>
      </c>
    </row>
    <row r="446" spans="1:15" x14ac:dyDescent="0.3">
      <c r="A446" s="115">
        <v>46069</v>
      </c>
      <c r="B446" t="s">
        <v>55</v>
      </c>
      <c r="C446" s="11">
        <v>3580</v>
      </c>
      <c r="D446" s="11"/>
      <c r="E446" t="s">
        <v>549</v>
      </c>
      <c r="F446" s="111" t="s">
        <v>108</v>
      </c>
      <c r="O446">
        <v>20000</v>
      </c>
    </row>
    <row r="447" spans="1:15" x14ac:dyDescent="0.3">
      <c r="A447" s="115">
        <v>46069</v>
      </c>
      <c r="B447" t="s">
        <v>212</v>
      </c>
      <c r="C447" s="11"/>
      <c r="D447" s="11">
        <v>3580</v>
      </c>
      <c r="E447" t="s">
        <v>550</v>
      </c>
      <c r="F447" s="111" t="s">
        <v>108</v>
      </c>
      <c r="O447">
        <v>30000</v>
      </c>
    </row>
    <row r="448" spans="1:15" x14ac:dyDescent="0.3">
      <c r="A448" s="115">
        <v>46069</v>
      </c>
      <c r="B448" t="s">
        <v>212</v>
      </c>
      <c r="C448" s="11"/>
      <c r="D448" s="11">
        <v>10000</v>
      </c>
      <c r="E448" t="s">
        <v>109</v>
      </c>
      <c r="F448" s="111" t="s">
        <v>108</v>
      </c>
      <c r="O448">
        <v>8350</v>
      </c>
    </row>
    <row r="449" spans="1:16" x14ac:dyDescent="0.3">
      <c r="A449" s="115">
        <v>46069</v>
      </c>
      <c r="B449" t="s">
        <v>260</v>
      </c>
      <c r="C449" s="11">
        <v>1000</v>
      </c>
      <c r="D449" s="11"/>
      <c r="E449" t="s">
        <v>449</v>
      </c>
      <c r="F449" s="111" t="s">
        <v>108</v>
      </c>
      <c r="O449">
        <v>9850</v>
      </c>
      <c r="P449">
        <v>17000</v>
      </c>
    </row>
    <row r="450" spans="1:16" x14ac:dyDescent="0.3">
      <c r="A450" s="115">
        <v>46069</v>
      </c>
      <c r="B450" t="s">
        <v>169</v>
      </c>
      <c r="C450" s="11">
        <v>2000</v>
      </c>
      <c r="D450" s="11"/>
      <c r="E450" t="s">
        <v>449</v>
      </c>
      <c r="F450" s="111" t="s">
        <v>108</v>
      </c>
      <c r="O450">
        <v>80000</v>
      </c>
    </row>
    <row r="451" spans="1:16" x14ac:dyDescent="0.3">
      <c r="A451" s="115">
        <v>46069</v>
      </c>
      <c r="B451" t="s">
        <v>262</v>
      </c>
      <c r="C451" s="11">
        <v>2000</v>
      </c>
      <c r="D451" s="11"/>
      <c r="E451" t="s">
        <v>449</v>
      </c>
      <c r="F451" s="111" t="s">
        <v>108</v>
      </c>
      <c r="O451">
        <v>20000</v>
      </c>
    </row>
    <row r="452" spans="1:16" x14ac:dyDescent="0.3">
      <c r="A452" s="115">
        <v>46069</v>
      </c>
      <c r="B452" t="s">
        <v>54</v>
      </c>
      <c r="C452" s="96">
        <v>200</v>
      </c>
      <c r="D452" s="96"/>
      <c r="E452" t="s">
        <v>273</v>
      </c>
      <c r="F452" s="111" t="s">
        <v>108</v>
      </c>
      <c r="O452">
        <v>20800</v>
      </c>
    </row>
    <row r="453" spans="1:16" x14ac:dyDescent="0.3">
      <c r="A453" s="115">
        <v>46069</v>
      </c>
      <c r="B453" t="s">
        <v>529</v>
      </c>
      <c r="C453" s="11">
        <v>3600</v>
      </c>
      <c r="D453" s="11"/>
      <c r="E453" t="s">
        <v>502</v>
      </c>
      <c r="F453" s="111" t="s">
        <v>108</v>
      </c>
      <c r="O453">
        <v>46600</v>
      </c>
    </row>
    <row r="454" spans="1:16" x14ac:dyDescent="0.3">
      <c r="A454" s="115">
        <v>46069</v>
      </c>
      <c r="B454" t="s">
        <v>55</v>
      </c>
      <c r="C454" s="11">
        <v>1400</v>
      </c>
      <c r="D454" s="11"/>
      <c r="E454" t="s">
        <v>551</v>
      </c>
      <c r="F454" s="111" t="s">
        <v>108</v>
      </c>
      <c r="L454" s="19">
        <v>48600</v>
      </c>
      <c r="N454" s="19">
        <v>27400</v>
      </c>
      <c r="O454">
        <v>29600</v>
      </c>
    </row>
    <row r="455" spans="1:16" x14ac:dyDescent="0.3">
      <c r="A455" s="115">
        <v>46069</v>
      </c>
      <c r="B455" t="s">
        <v>250</v>
      </c>
      <c r="C455" s="11">
        <v>1000</v>
      </c>
      <c r="D455" s="11"/>
      <c r="E455" t="s">
        <v>552</v>
      </c>
      <c r="F455" s="111" t="s">
        <v>108</v>
      </c>
      <c r="L455">
        <v>49200</v>
      </c>
      <c r="N455">
        <v>3400</v>
      </c>
      <c r="O455">
        <v>22800</v>
      </c>
    </row>
    <row r="456" spans="1:16" x14ac:dyDescent="0.3">
      <c r="A456" s="115">
        <v>46069</v>
      </c>
      <c r="B456" t="s">
        <v>300</v>
      </c>
      <c r="C456" s="11"/>
      <c r="D456" s="11">
        <v>150000</v>
      </c>
      <c r="E456" t="s">
        <v>553</v>
      </c>
      <c r="F456" s="111" t="s">
        <v>108</v>
      </c>
      <c r="L456">
        <v>52000</v>
      </c>
      <c r="N456" s="19">
        <v>6200</v>
      </c>
      <c r="O456">
        <v>3200</v>
      </c>
    </row>
    <row r="457" spans="1:16" x14ac:dyDescent="0.3">
      <c r="A457" s="115">
        <v>46069</v>
      </c>
      <c r="B457" t="s">
        <v>260</v>
      </c>
      <c r="C457" s="11">
        <v>250000</v>
      </c>
      <c r="D457" s="11"/>
      <c r="E457" t="s">
        <v>554</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337</v>
      </c>
      <c r="C459" s="11"/>
      <c r="D459" s="11">
        <v>150000</v>
      </c>
      <c r="E459" t="s">
        <v>109</v>
      </c>
      <c r="F459" s="111" t="s">
        <v>108</v>
      </c>
      <c r="L459">
        <v>37600</v>
      </c>
      <c r="N459" s="19">
        <v>19500</v>
      </c>
      <c r="O459">
        <v>17000</v>
      </c>
    </row>
    <row r="460" spans="1:16" x14ac:dyDescent="0.3">
      <c r="A460" s="115">
        <v>46069</v>
      </c>
      <c r="B460" t="s">
        <v>169</v>
      </c>
      <c r="C460" s="11">
        <v>200046</v>
      </c>
      <c r="D460" s="11"/>
      <c r="E460" t="s">
        <v>555</v>
      </c>
      <c r="F460" s="111" t="s">
        <v>108</v>
      </c>
      <c r="L460">
        <v>23000</v>
      </c>
      <c r="N460" s="19">
        <v>20300</v>
      </c>
    </row>
    <row r="461" spans="1:16" x14ac:dyDescent="0.3">
      <c r="A461" s="115">
        <v>46069</v>
      </c>
      <c r="B461" t="s">
        <v>455</v>
      </c>
      <c r="C461" s="11"/>
      <c r="D461" s="11">
        <v>276500</v>
      </c>
      <c r="E461" t="s">
        <v>109</v>
      </c>
      <c r="F461" s="111" t="s">
        <v>108</v>
      </c>
      <c r="L461">
        <v>6200</v>
      </c>
      <c r="N461" s="19">
        <v>21000</v>
      </c>
    </row>
    <row r="462" spans="1:16" x14ac:dyDescent="0.3">
      <c r="A462" s="115">
        <v>46069</v>
      </c>
      <c r="B462" t="s">
        <v>440</v>
      </c>
      <c r="C462" s="11"/>
      <c r="D462" s="11">
        <v>136000</v>
      </c>
      <c r="E462" t="s">
        <v>109</v>
      </c>
      <c r="F462" s="111" t="s">
        <v>108</v>
      </c>
      <c r="L462">
        <v>3400</v>
      </c>
      <c r="N462" s="19">
        <v>40000</v>
      </c>
    </row>
    <row r="463" spans="1:16" x14ac:dyDescent="0.3">
      <c r="A463" s="115">
        <v>46069</v>
      </c>
      <c r="B463" t="s">
        <v>222</v>
      </c>
      <c r="C463" s="11"/>
      <c r="D463" s="11"/>
      <c r="E463" t="s">
        <v>556</v>
      </c>
      <c r="F463" s="111" t="s">
        <v>108</v>
      </c>
      <c r="L463">
        <v>19800</v>
      </c>
      <c r="N463" s="19">
        <v>3000</v>
      </c>
    </row>
    <row r="464" spans="1:16" x14ac:dyDescent="0.3">
      <c r="A464" s="115">
        <v>46070</v>
      </c>
      <c r="B464" t="s">
        <v>227</v>
      </c>
      <c r="C464" s="11">
        <v>50000</v>
      </c>
      <c r="D464" s="11"/>
      <c r="E464" t="s">
        <v>505</v>
      </c>
      <c r="F464" s="111" t="s">
        <v>108</v>
      </c>
      <c r="L464">
        <v>3400</v>
      </c>
      <c r="N464" s="19">
        <v>20600</v>
      </c>
    </row>
    <row r="465" spans="1:14" x14ac:dyDescent="0.3">
      <c r="A465" s="115">
        <v>46070</v>
      </c>
      <c r="B465" t="s">
        <v>262</v>
      </c>
      <c r="C465" s="11">
        <v>136000</v>
      </c>
      <c r="D465" s="11"/>
      <c r="E465" t="s">
        <v>557</v>
      </c>
      <c r="F465" s="111" t="s">
        <v>108</v>
      </c>
      <c r="L465">
        <v>31150</v>
      </c>
      <c r="N465" s="19">
        <v>12750</v>
      </c>
    </row>
    <row r="466" spans="1:14" x14ac:dyDescent="0.3">
      <c r="A466" s="115">
        <v>46070</v>
      </c>
      <c r="B466" t="s">
        <v>54</v>
      </c>
      <c r="C466" s="11">
        <v>2000</v>
      </c>
      <c r="D466" s="11"/>
      <c r="E466" t="s">
        <v>558</v>
      </c>
      <c r="F466" s="111" t="s">
        <v>108</v>
      </c>
      <c r="L466">
        <v>12750</v>
      </c>
      <c r="N466" s="19">
        <v>14400</v>
      </c>
    </row>
    <row r="467" spans="1:14" x14ac:dyDescent="0.3">
      <c r="A467" s="115">
        <v>46070</v>
      </c>
      <c r="B467" t="s">
        <v>94</v>
      </c>
      <c r="C467" s="11">
        <v>41000</v>
      </c>
      <c r="D467" s="11"/>
      <c r="E467" t="s">
        <v>416</v>
      </c>
      <c r="F467" s="111" t="s">
        <v>108</v>
      </c>
      <c r="L467">
        <v>27400</v>
      </c>
      <c r="N467" s="19">
        <v>9000</v>
      </c>
    </row>
    <row r="468" spans="1:14" x14ac:dyDescent="0.3">
      <c r="A468" s="115">
        <v>46070</v>
      </c>
      <c r="B468" t="s">
        <v>227</v>
      </c>
      <c r="C468" s="11">
        <v>10000</v>
      </c>
      <c r="D468" s="11"/>
      <c r="E468" t="s">
        <v>559</v>
      </c>
      <c r="F468" s="111" t="s">
        <v>108</v>
      </c>
      <c r="L468">
        <v>15700</v>
      </c>
      <c r="N468" s="19">
        <v>17400</v>
      </c>
    </row>
    <row r="469" spans="1:14" x14ac:dyDescent="0.3">
      <c r="A469" s="115">
        <v>46070</v>
      </c>
      <c r="B469" t="s">
        <v>149</v>
      </c>
      <c r="C469" s="11">
        <v>20380</v>
      </c>
      <c r="D469" s="11"/>
      <c r="E469" t="s">
        <v>216</v>
      </c>
      <c r="F469" s="111" t="s">
        <v>108</v>
      </c>
      <c r="L469">
        <v>12550</v>
      </c>
      <c r="N469" s="19">
        <v>19782</v>
      </c>
    </row>
    <row r="470" spans="1:14" x14ac:dyDescent="0.3">
      <c r="A470" s="115">
        <v>46070</v>
      </c>
      <c r="B470" t="s">
        <v>195</v>
      </c>
      <c r="C470" s="11">
        <v>21750</v>
      </c>
      <c r="D470" s="11"/>
      <c r="E470" t="s">
        <v>524</v>
      </c>
      <c r="F470" s="111" t="s">
        <v>108</v>
      </c>
      <c r="L470">
        <v>14800</v>
      </c>
      <c r="N470" s="19">
        <v>23000</v>
      </c>
    </row>
    <row r="471" spans="1:14" x14ac:dyDescent="0.3">
      <c r="A471" s="115">
        <v>46070</v>
      </c>
      <c r="B471" t="s">
        <v>337</v>
      </c>
      <c r="C471" s="11"/>
      <c r="D471" s="11">
        <v>150000</v>
      </c>
      <c r="E471" t="s">
        <v>561</v>
      </c>
      <c r="F471" s="111" t="s">
        <v>108</v>
      </c>
      <c r="L471">
        <v>14350</v>
      </c>
      <c r="N471" s="19">
        <v>15700</v>
      </c>
    </row>
    <row r="472" spans="1:14" x14ac:dyDescent="0.3">
      <c r="A472" s="115">
        <v>46070</v>
      </c>
      <c r="B472" t="s">
        <v>260</v>
      </c>
      <c r="C472" s="11">
        <v>200775</v>
      </c>
      <c r="D472" s="11"/>
      <c r="E472" t="s">
        <v>560</v>
      </c>
      <c r="F472" s="111" t="s">
        <v>108</v>
      </c>
      <c r="L472">
        <v>40000</v>
      </c>
      <c r="N472" s="19">
        <v>14800</v>
      </c>
    </row>
    <row r="473" spans="1:14" x14ac:dyDescent="0.3">
      <c r="A473" s="115">
        <v>46070</v>
      </c>
      <c r="B473" t="s">
        <v>529</v>
      </c>
      <c r="C473" s="11">
        <v>5000</v>
      </c>
      <c r="D473" s="11"/>
      <c r="E473" t="s">
        <v>502</v>
      </c>
      <c r="F473" s="111" t="s">
        <v>108</v>
      </c>
      <c r="L473">
        <v>17400</v>
      </c>
      <c r="N473" s="19">
        <v>12550</v>
      </c>
    </row>
    <row r="474" spans="1:14" x14ac:dyDescent="0.3">
      <c r="A474" s="115">
        <v>46070</v>
      </c>
      <c r="B474" t="s">
        <v>54</v>
      </c>
      <c r="C474" s="11">
        <v>200</v>
      </c>
      <c r="D474" s="11"/>
      <c r="E474" t="s">
        <v>249</v>
      </c>
      <c r="F474" s="111" t="s">
        <v>108</v>
      </c>
      <c r="L474">
        <v>19500</v>
      </c>
      <c r="N474" s="19">
        <v>31150</v>
      </c>
    </row>
    <row r="475" spans="1:14" x14ac:dyDescent="0.3">
      <c r="A475" s="115">
        <v>46070</v>
      </c>
      <c r="B475" t="s">
        <v>55</v>
      </c>
      <c r="C475" s="11">
        <v>2870</v>
      </c>
      <c r="D475" s="11"/>
      <c r="E475" t="s">
        <v>562</v>
      </c>
      <c r="F475" s="111" t="s">
        <v>108</v>
      </c>
      <c r="L475">
        <v>3000</v>
      </c>
      <c r="N475" s="19">
        <v>27500</v>
      </c>
    </row>
    <row r="476" spans="1:14" x14ac:dyDescent="0.3">
      <c r="A476" s="115">
        <v>46071</v>
      </c>
      <c r="B476" t="s">
        <v>54</v>
      </c>
      <c r="C476" s="11">
        <v>3000</v>
      </c>
      <c r="D476" s="11"/>
      <c r="E476" t="s">
        <v>563</v>
      </c>
      <c r="F476" s="111" t="s">
        <v>108</v>
      </c>
      <c r="L476">
        <v>1000</v>
      </c>
      <c r="N476" s="19">
        <v>20000</v>
      </c>
    </row>
    <row r="477" spans="1:14" x14ac:dyDescent="0.3">
      <c r="A477" s="115">
        <v>46071</v>
      </c>
      <c r="B477" t="s">
        <v>54</v>
      </c>
      <c r="C477" s="11">
        <v>2800</v>
      </c>
      <c r="D477" s="11"/>
      <c r="E477" t="s">
        <v>564</v>
      </c>
      <c r="F477" s="111" t="s">
        <v>108</v>
      </c>
      <c r="L477">
        <v>9000</v>
      </c>
      <c r="N477" s="19">
        <v>52000</v>
      </c>
    </row>
    <row r="478" spans="1:14" x14ac:dyDescent="0.3">
      <c r="A478" s="115">
        <v>46071</v>
      </c>
      <c r="B478" t="s">
        <v>529</v>
      </c>
      <c r="C478" s="11">
        <v>4500</v>
      </c>
      <c r="D478" s="11"/>
      <c r="E478" t="s">
        <v>502</v>
      </c>
      <c r="F478" s="111" t="s">
        <v>108</v>
      </c>
      <c r="L478">
        <v>21000</v>
      </c>
      <c r="N478" s="19">
        <v>49200</v>
      </c>
    </row>
    <row r="479" spans="1:14" x14ac:dyDescent="0.3">
      <c r="A479" s="141">
        <v>46071</v>
      </c>
      <c r="B479" t="s">
        <v>222</v>
      </c>
      <c r="C479" s="11"/>
      <c r="D479" s="11">
        <v>25000</v>
      </c>
      <c r="E479" t="s">
        <v>565</v>
      </c>
      <c r="F479" s="111" t="s">
        <v>108</v>
      </c>
      <c r="L479">
        <v>20300</v>
      </c>
      <c r="N479" s="19">
        <v>37600</v>
      </c>
    </row>
    <row r="480" spans="1:14" x14ac:dyDescent="0.3">
      <c r="A480" s="115">
        <v>46071</v>
      </c>
      <c r="B480" t="s">
        <v>55</v>
      </c>
      <c r="C480" s="11">
        <v>25000</v>
      </c>
      <c r="D480" s="11"/>
      <c r="E480" t="s">
        <v>565</v>
      </c>
      <c r="F480" s="111" t="s">
        <v>108</v>
      </c>
      <c r="L480">
        <v>27500</v>
      </c>
      <c r="N480" s="19">
        <v>48600</v>
      </c>
    </row>
    <row r="481" spans="1:14" x14ac:dyDescent="0.3">
      <c r="A481" s="115">
        <v>46071</v>
      </c>
      <c r="B481" t="s">
        <v>222</v>
      </c>
      <c r="C481" s="11"/>
      <c r="D481" s="11">
        <v>408000</v>
      </c>
      <c r="E481" t="s">
        <v>566</v>
      </c>
      <c r="F481" s="111" t="s">
        <v>108</v>
      </c>
      <c r="L481">
        <v>20000</v>
      </c>
      <c r="N481" s="19">
        <v>42800</v>
      </c>
    </row>
    <row r="482" spans="1:14" x14ac:dyDescent="0.3">
      <c r="A482" s="115">
        <v>46071</v>
      </c>
      <c r="B482" t="s">
        <v>191</v>
      </c>
      <c r="C482" s="96">
        <v>351000</v>
      </c>
      <c r="D482" s="96"/>
      <c r="E482" t="s">
        <v>567</v>
      </c>
      <c r="F482" s="111" t="s">
        <v>108</v>
      </c>
      <c r="L482">
        <v>20600</v>
      </c>
    </row>
    <row r="483" spans="1:14" x14ac:dyDescent="0.3">
      <c r="A483" s="115">
        <v>46071</v>
      </c>
      <c r="B483" t="s">
        <v>213</v>
      </c>
      <c r="C483" s="11">
        <v>10000</v>
      </c>
      <c r="D483" s="11"/>
      <c r="E483" t="s">
        <v>568</v>
      </c>
      <c r="F483" s="111" t="s">
        <v>108</v>
      </c>
      <c r="L483">
        <v>3400</v>
      </c>
    </row>
    <row r="484" spans="1:14" x14ac:dyDescent="0.3">
      <c r="A484" s="115">
        <v>46071</v>
      </c>
      <c r="B484" t="s">
        <v>227</v>
      </c>
      <c r="C484" s="11">
        <v>2000</v>
      </c>
      <c r="D484" s="11"/>
      <c r="E484" t="s">
        <v>569</v>
      </c>
      <c r="F484" s="111" t="s">
        <v>108</v>
      </c>
    </row>
    <row r="485" spans="1:14" x14ac:dyDescent="0.3">
      <c r="A485" s="115">
        <v>46071</v>
      </c>
      <c r="B485" t="s">
        <v>262</v>
      </c>
      <c r="C485" s="11">
        <v>100130</v>
      </c>
      <c r="D485" s="11"/>
      <c r="E485" t="s">
        <v>570</v>
      </c>
      <c r="F485" s="111" t="s">
        <v>108</v>
      </c>
    </row>
    <row r="486" spans="1:14" x14ac:dyDescent="0.3">
      <c r="A486" s="115">
        <v>46071</v>
      </c>
      <c r="B486" t="s">
        <v>483</v>
      </c>
      <c r="C486" s="11">
        <v>500</v>
      </c>
      <c r="D486" s="11"/>
      <c r="E486" t="s">
        <v>571</v>
      </c>
      <c r="F486" s="111" t="s">
        <v>108</v>
      </c>
    </row>
    <row r="487" spans="1:14" x14ac:dyDescent="0.3">
      <c r="A487" s="115">
        <v>46071</v>
      </c>
      <c r="B487" t="s">
        <v>54</v>
      </c>
      <c r="C487" s="11">
        <v>200</v>
      </c>
      <c r="D487" s="11"/>
      <c r="E487" t="s">
        <v>249</v>
      </c>
      <c r="F487" s="111" t="s">
        <v>108</v>
      </c>
    </row>
    <row r="488" spans="1:14" x14ac:dyDescent="0.3">
      <c r="A488" s="115">
        <v>46071</v>
      </c>
      <c r="C488" s="11"/>
      <c r="D488" s="11"/>
      <c r="F488" s="111"/>
    </row>
    <row r="489" spans="1:14" x14ac:dyDescent="0.3">
      <c r="A489" s="38"/>
      <c r="C489" s="14">
        <f>SUBTOTAL(109,Table14[Debit])</f>
        <v>23277982.203986831</v>
      </c>
      <c r="D489" s="14">
        <f>SUBTOTAL(109,Table14[Credit])</f>
        <v>23293861.203986831</v>
      </c>
      <c r="F489" s="54">
        <f>(Table14[[#Totals],[Credit]]-Table14[[#Totals],[Debit]])</f>
        <v>15879</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E19" sqref="E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L10" s="142"/>
      <c r="M10" s="142">
        <v>0</v>
      </c>
    </row>
    <row r="11" spans="1:14" x14ac:dyDescent="0.3">
      <c r="A11" s="1">
        <v>46058</v>
      </c>
      <c r="F11" t="s">
        <v>422</v>
      </c>
      <c r="G11">
        <f>SUMIFS(Table14[Debit], Table14[Date], Table8[[#This Row],[Date]], Table14[Party], Table8[[#This Row],[Party]])</f>
        <v>0</v>
      </c>
      <c r="H11">
        <f>Table8[[#This Row],[Price]]-Table8[[#This Row],[Paid]]</f>
        <v>0</v>
      </c>
      <c r="K11" s="26">
        <v>46044</v>
      </c>
      <c r="L11" s="142">
        <v>255000</v>
      </c>
      <c r="M11" s="142">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s="142">
        <v>159250</v>
      </c>
      <c r="M12" s="142">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s="142">
        <v>423000</v>
      </c>
      <c r="M13" s="142">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s="142">
        <v>115000</v>
      </c>
      <c r="M14" s="142">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L15" s="142"/>
      <c r="M15" s="142">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L16" s="142"/>
      <c r="M16" s="142">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L17" s="142"/>
      <c r="M17" s="142">
        <v>0</v>
      </c>
    </row>
    <row r="18" spans="1:13" x14ac:dyDescent="0.3">
      <c r="A18" s="134">
        <v>46070</v>
      </c>
      <c r="B18" t="s">
        <v>539</v>
      </c>
      <c r="E18">
        <v>21750</v>
      </c>
      <c r="F18" t="s">
        <v>176</v>
      </c>
      <c r="G18">
        <f>SUMIFS(Table14[Debit], Table14[Date], Table8[[#This Row],[Date]], Table14[Party], Table8[[#This Row],[Party]])</f>
        <v>21750</v>
      </c>
      <c r="H18">
        <f>Table8[[#This Row],[Price]]-Table8[[#This Row],[Paid]]</f>
        <v>0</v>
      </c>
      <c r="K18" s="26">
        <v>46060</v>
      </c>
      <c r="L18" s="142">
        <v>15000</v>
      </c>
      <c r="M18" s="142">
        <v>0</v>
      </c>
    </row>
    <row r="19" spans="1:13" x14ac:dyDescent="0.3">
      <c r="G19">
        <f>SUMIFS(Table14[Debit], Table14[Date], Table8[[#This Row],[Date]], Table14[Party], Table8[[#This Row],[Party]])</f>
        <v>0</v>
      </c>
      <c r="H19">
        <f>Table8[[#This Row],[Price]]-Table8[[#This Row],[Paid]]</f>
        <v>0</v>
      </c>
      <c r="K19" s="26">
        <v>46062</v>
      </c>
      <c r="L19" s="142">
        <v>122500</v>
      </c>
      <c r="M19" s="142">
        <v>0</v>
      </c>
    </row>
    <row r="20" spans="1:13" x14ac:dyDescent="0.3">
      <c r="E20">
        <f>SUBTOTAL(109,Table8[Price])</f>
        <v>1326150</v>
      </c>
      <c r="H20">
        <f>SUBTOTAL(109,Table8[Balance])</f>
        <v>764250</v>
      </c>
      <c r="K20" s="26">
        <v>46067</v>
      </c>
      <c r="L20" s="142">
        <v>214650</v>
      </c>
      <c r="M20" s="142">
        <v>0</v>
      </c>
    </row>
    <row r="21" spans="1:13" x14ac:dyDescent="0.3">
      <c r="K21" s="26">
        <v>46070</v>
      </c>
      <c r="L21" s="142">
        <v>21750</v>
      </c>
      <c r="M21" s="142">
        <v>0</v>
      </c>
    </row>
    <row r="22" spans="1:13" x14ac:dyDescent="0.3">
      <c r="K22" s="4" t="s">
        <v>28</v>
      </c>
      <c r="L22" s="142">
        <v>1326150</v>
      </c>
      <c r="M22" s="142">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91" sqref="F19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2">
        <v>0</v>
      </c>
      <c r="L5" s="142">
        <v>0</v>
      </c>
      <c r="M5" s="142">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2">
        <v>0</v>
      </c>
      <c r="L6" s="142">
        <v>50000</v>
      </c>
      <c r="M6" s="142">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2">
        <v>98400</v>
      </c>
      <c r="L7" s="142">
        <v>98400</v>
      </c>
      <c r="M7" s="142">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2">
        <v>240000</v>
      </c>
      <c r="L8" s="142">
        <v>120000</v>
      </c>
      <c r="M8" s="142">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2">
        <v>351000</v>
      </c>
      <c r="L9" s="142">
        <v>0</v>
      </c>
      <c r="M9" s="142">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2">
        <v>49200</v>
      </c>
      <c r="L10" s="142">
        <v>49200</v>
      </c>
      <c r="M10" s="142">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2"/>
      <c r="L11" s="142">
        <v>0</v>
      </c>
      <c r="M11" s="142">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2">
        <v>738600</v>
      </c>
      <c r="L12" s="142">
        <v>317600</v>
      </c>
      <c r="M12" s="14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2480292</v>
      </c>
      <c r="C2" s="32">
        <f>GETPIVOTDATA("Sum of Tiyaar/gaz",$A$3)</f>
        <v>2011308</v>
      </c>
      <c r="D2" s="31">
        <f>((B2*48)+((C2/1.0936)*10))/C2</f>
        <v>68.336445732900074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4368</v>
      </c>
      <c r="D19" s="28">
        <f t="shared" si="1"/>
        <v>162.72652877480968</v>
      </c>
      <c r="E19" s="11">
        <f t="shared" si="2"/>
        <v>15284.153599999998</v>
      </c>
      <c r="F19" s="11">
        <f t="shared" si="0"/>
        <v>4368</v>
      </c>
      <c r="G19" s="78">
        <f t="shared" ref="G19:G38" si="6">100- (F19/E19 *100)</f>
        <v>71.421381161728178</v>
      </c>
      <c r="H19" s="28">
        <f t="shared" si="3"/>
        <v>3994.1477688368695</v>
      </c>
      <c r="I19" s="28">
        <f t="shared" si="5"/>
        <v>162.72652877480968</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12593</v>
      </c>
      <c r="D43" s="28">
        <f t="shared" si="13"/>
        <v>211.252584153561</v>
      </c>
      <c r="E43" s="11">
        <f t="shared" si="14"/>
        <v>57987.046399999992</v>
      </c>
      <c r="F43" s="11">
        <f t="shared" si="15"/>
        <v>12593</v>
      </c>
      <c r="G43" s="78">
        <f t="shared" si="16"/>
        <v>78.28308082268525</v>
      </c>
      <c r="H43" s="28">
        <f t="shared" si="17"/>
        <v>11515.179224579371</v>
      </c>
      <c r="I43" s="28">
        <f t="shared" si="18"/>
        <v>211.252584153561</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23989</v>
      </c>
      <c r="D47" s="28">
        <f t="shared" si="19"/>
        <v>119.29859866581742</v>
      </c>
      <c r="E47" s="11">
        <f t="shared" si="20"/>
        <v>60204.867199999993</v>
      </c>
      <c r="F47" s="11">
        <f t="shared" si="21"/>
        <v>23989</v>
      </c>
      <c r="G47" s="78">
        <f t="shared" si="22"/>
        <v>60.154384328581322</v>
      </c>
      <c r="H47" s="28">
        <f t="shared" si="23"/>
        <v>21935.808339429408</v>
      </c>
      <c r="I47" s="28">
        <f t="shared" si="24"/>
        <v>119.29859866581742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4507</v>
      </c>
      <c r="D57" s="28">
        <f t="shared" si="19"/>
        <v>276.16341449836062</v>
      </c>
      <c r="E57" s="11">
        <f t="shared" si="20"/>
        <v>27418.739199999996</v>
      </c>
      <c r="F57" s="11">
        <f t="shared" si="21"/>
        <v>4507</v>
      </c>
      <c r="G57" s="78">
        <f t="shared" si="22"/>
        <v>83.562336812335985</v>
      </c>
      <c r="H57" s="28">
        <f t="shared" si="23"/>
        <v>4121.25091441112</v>
      </c>
      <c r="I57" s="28">
        <f t="shared" si="24"/>
        <v>276.16341449836062</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24149</v>
      </c>
      <c r="D70" s="28">
        <f t="shared" si="25"/>
        <v>58.861449384449749</v>
      </c>
      <c r="E70" s="11">
        <f t="shared" si="26"/>
        <v>27354.216799999998</v>
      </c>
      <c r="F70" s="11">
        <f t="shared" si="27"/>
        <v>24149</v>
      </c>
      <c r="G70" s="78">
        <f t="shared" si="28"/>
        <v>11.717450451734365</v>
      </c>
      <c r="H70" s="28">
        <f t="shared" si="29"/>
        <v>22082.114118507681</v>
      </c>
      <c r="I70" s="28">
        <f t="shared" si="30"/>
        <v>58.861449384449749</v>
      </c>
    </row>
    <row r="71" spans="1:9" x14ac:dyDescent="0.3">
      <c r="A71" s="16">
        <v>2099</v>
      </c>
      <c r="B71" s="14">
        <v>96074</v>
      </c>
      <c r="C71" s="14">
        <v>74232</v>
      </c>
      <c r="D71" s="28">
        <f t="shared" si="25"/>
        <v>71.267615880397273</v>
      </c>
      <c r="E71" s="11">
        <f t="shared" si="26"/>
        <v>105066.52639999999</v>
      </c>
      <c r="F71" s="11">
        <f t="shared" si="27"/>
        <v>74232</v>
      </c>
      <c r="G71" s="78">
        <f t="shared" si="28"/>
        <v>29.347621413321974</v>
      </c>
      <c r="H71" s="28">
        <f t="shared" si="29"/>
        <v>67878.566203365044</v>
      </c>
      <c r="I71" s="28">
        <f t="shared" si="30"/>
        <v>71.267615880397273</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t="s">
        <v>28</v>
      </c>
      <c r="B77" s="30">
        <v>100801</v>
      </c>
      <c r="C77" s="30">
        <v>2011308</v>
      </c>
      <c r="D77" s="28">
        <f t="shared" si="31"/>
        <v>11.549733802156492</v>
      </c>
      <c r="E77" s="11">
        <f t="shared" si="32"/>
        <v>110235.9736</v>
      </c>
      <c r="F77" s="11">
        <f t="shared" si="33"/>
        <v>2011308</v>
      </c>
      <c r="G77" s="78">
        <f t="shared" si="34"/>
        <v>-1724.5477717629556</v>
      </c>
      <c r="H77" s="28">
        <f t="shared" si="35"/>
        <v>1839162.3994147771</v>
      </c>
      <c r="I77" s="28">
        <f t="shared" si="36"/>
        <v>11.549733802156492</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70" workbookViewId="0">
      <selection activeCell="Q22" sqref="Q22"/>
    </sheetView>
  </sheetViews>
  <sheetFormatPr defaultRowHeight="14.4" x14ac:dyDescent="0.3"/>
  <cols>
    <col min="1" max="1" width="19.33203125" customWidth="1"/>
    <col min="2" max="2" width="20.33203125" customWidth="1"/>
    <col min="3" max="3" width="18.88671875" customWidth="1"/>
  </cols>
  <sheetData>
    <row r="1" spans="1:3" x14ac:dyDescent="0.3">
      <c r="A1" t="s">
        <v>2</v>
      </c>
      <c r="B1" t="s">
        <v>17</v>
      </c>
      <c r="C1" s="100" t="s">
        <v>18</v>
      </c>
    </row>
    <row r="2" spans="1:3" ht="21" x14ac:dyDescent="0.4">
      <c r="A2" s="102" t="str">
        <f>Billing!Q5</f>
        <v>BSC</v>
      </c>
      <c r="B2" s="105">
        <f>Billing!AD5</f>
        <v>19750734</v>
      </c>
      <c r="C2" s="103">
        <f>Billing!AE5</f>
        <v>15061517.119239211</v>
      </c>
    </row>
    <row r="3" spans="1:3" ht="21" x14ac:dyDescent="0.4">
      <c r="A3" s="102" t="str">
        <f>Billing!Q6</f>
        <v>Ejaz Sahab</v>
      </c>
      <c r="B3" s="105">
        <f>Billing!AD6</f>
        <v>6067319</v>
      </c>
      <c r="C3" s="103">
        <f>Billing!AE6</f>
        <v>329454.04316020571</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5994187</v>
      </c>
      <c r="C18" s="104">
        <f>Billing!AE21</f>
        <v>67297.089246526361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1300000</v>
      </c>
      <c r="C29" s="103">
        <f>Billing!AE32</f>
        <v>789305.96196049778</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72" priority="1" operator="lessThan">
      <formula>10</formula>
    </cfRule>
  </conditionalFormatting>
  <conditionalFormatting sqref="C2:C41">
    <cfRule type="cellIs" dxfId="7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2026-02-18T20:44:04Z</dcterms:modified>
  <cp:category/>
  <cp:contentStatus/>
</cp:coreProperties>
</file>