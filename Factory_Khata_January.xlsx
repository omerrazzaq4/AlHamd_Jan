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34" documentId="8_{EB9B3F02-843B-43AB-9D1E-44A7B86FB663}" xr6:coauthVersionLast="47" xr6:coauthVersionMax="47" xr10:uidLastSave="{23DC5949-A3FD-4250-B07F-0764A738BF34}"/>
  <bookViews>
    <workbookView xWindow="11424" yWindow="0" windowWidth="11712" windowHeight="12336" tabRatio="597"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4" i="9" l="1"/>
  <c r="AD35" i="9" s="1"/>
  <c r="B6" i="21"/>
  <c r="B26" i="21"/>
  <c r="B25" i="21"/>
  <c r="B7" i="21"/>
  <c r="D2" i="17"/>
  <c r="D148" i="17" s="1"/>
  <c r="K5" i="17" s="1"/>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G10" i="7"/>
  <c r="G11" i="7"/>
  <c r="G12" i="7"/>
  <c r="G13" i="7"/>
  <c r="G14" i="7"/>
  <c r="H14" i="7" s="1"/>
  <c r="G15" i="7"/>
  <c r="H15" i="7" s="1"/>
  <c r="H9" i="7"/>
  <c r="H10" i="7"/>
  <c r="H11" i="7"/>
  <c r="H12" i="7"/>
  <c r="H13" i="7"/>
  <c r="I105" i="1"/>
  <c r="J105" i="1" a="1"/>
  <c r="J105" i="1" s="1"/>
  <c r="I106" i="1"/>
  <c r="J106" i="1" a="1"/>
  <c r="J106" i="1" s="1"/>
  <c r="I107" i="1"/>
  <c r="J107" i="1" s="1" a="1"/>
  <c r="J107" i="1" s="1"/>
  <c r="I108" i="1"/>
  <c r="J108" i="1" a="1"/>
  <c r="J108" i="1"/>
  <c r="I109" i="1"/>
  <c r="J109" i="1" a="1"/>
  <c r="J109" i="1" s="1"/>
  <c r="I110" i="1"/>
  <c r="J110" i="1" a="1"/>
  <c r="J110" i="1" s="1"/>
  <c r="I111" i="1"/>
  <c r="J111" i="1" s="1" a="1"/>
  <c r="J111" i="1" s="1"/>
  <c r="I112" i="1"/>
  <c r="J112" i="1" a="1"/>
  <c r="J112" i="1" s="1"/>
  <c r="I113" i="1"/>
  <c r="J113" i="1" a="1"/>
  <c r="J113" i="1" s="1"/>
  <c r="I114" i="1"/>
  <c r="J114" i="1" a="1"/>
  <c r="J114" i="1" s="1"/>
  <c r="I115" i="1"/>
  <c r="J115" i="1" s="1" a="1"/>
  <c r="J115" i="1" s="1"/>
  <c r="I116" i="1"/>
  <c r="J116" i="1" a="1"/>
  <c r="J116" i="1" s="1"/>
  <c r="I117" i="1"/>
  <c r="J117" i="1" a="1"/>
  <c r="J117" i="1" s="1"/>
  <c r="J57" i="1"/>
  <c r="I101" i="1"/>
  <c r="J101" i="1" a="1"/>
  <c r="J101" i="1" s="1"/>
  <c r="I102" i="1"/>
  <c r="J102" i="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a="1"/>
  <c r="J95" i="1" s="1"/>
  <c r="I96" i="1"/>
  <c r="J96" i="1" s="1" a="1"/>
  <c r="J96" i="1" s="1"/>
  <c r="I97" i="1"/>
  <c r="J97" i="1" s="1" a="1"/>
  <c r="J97" i="1" s="1"/>
  <c r="I98" i="1"/>
  <c r="J98" i="1" s="1" a="1"/>
  <c r="J98" i="1" s="1"/>
  <c r="I99" i="1"/>
  <c r="J99" i="1" a="1"/>
  <c r="J99" i="1" s="1"/>
  <c r="I100" i="1"/>
  <c r="J100" i="1" s="1" a="1"/>
  <c r="J100" i="1" s="1"/>
  <c r="F13" i="15"/>
  <c r="G27" i="6"/>
  <c r="G26" i="6"/>
  <c r="G25" i="6"/>
  <c r="I24" i="6"/>
  <c r="G24" i="6"/>
  <c r="G23" i="6"/>
  <c r="I22" i="6"/>
  <c r="G22" i="6"/>
  <c r="I21" i="6"/>
  <c r="G21" i="6"/>
  <c r="I20" i="6"/>
  <c r="G20" i="6"/>
  <c r="G19" i="6"/>
  <c r="D3" i="17"/>
  <c r="N6" i="17" s="1"/>
  <c r="B21" i="21"/>
  <c r="B11" i="21"/>
  <c r="G78" i="9" a="1"/>
  <c r="G78" i="9" s="1"/>
  <c r="H78" i="9" a="1"/>
  <c r="H78" i="9" s="1"/>
  <c r="I78" i="9" a="1"/>
  <c r="I78" i="9" s="1"/>
  <c r="J78" i="9" a="1"/>
  <c r="J78" i="9" s="1"/>
  <c r="K78" i="9" a="1"/>
  <c r="K78" i="9" s="1"/>
  <c r="L78" i="9" a="1"/>
  <c r="L78" i="9" s="1"/>
  <c r="M78" i="9" a="1"/>
  <c r="M78" i="9" s="1"/>
  <c r="O78" i="9"/>
  <c r="G79" i="9" a="1"/>
  <c r="G79" i="9" s="1"/>
  <c r="H79" i="9" a="1"/>
  <c r="H79" i="9" s="1"/>
  <c r="I79" i="9" a="1"/>
  <c r="I79" i="9" s="1"/>
  <c r="J79" i="9" a="1"/>
  <c r="J79" i="9" s="1"/>
  <c r="K79" i="9" a="1"/>
  <c r="K79" i="9" s="1"/>
  <c r="L79" i="9" a="1"/>
  <c r="L79" i="9" s="1"/>
  <c r="M79" i="9" a="1"/>
  <c r="M79" i="9" s="1"/>
  <c r="I23" i="6"/>
  <c r="I19" i="6"/>
  <c r="I25" i="6"/>
  <c r="I26" i="6"/>
  <c r="I27" i="6"/>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3" i="9"/>
  <c r="R34" i="9" a="1"/>
  <c r="R34" i="9" s="1"/>
  <c r="D113" i="9"/>
  <c r="S34" i="9" a="1"/>
  <c r="S34" i="9" s="1"/>
  <c r="E113" i="9"/>
  <c r="T34" i="9" s="1" a="1"/>
  <c r="T34" i="9" s="1"/>
  <c r="F113" i="9"/>
  <c r="U34" i="9" a="1"/>
  <c r="U34" i="9" s="1"/>
  <c r="G113" i="9"/>
  <c r="N113" i="9" s="1"/>
  <c r="H113" i="9"/>
  <c r="W34" i="9" a="1"/>
  <c r="W34" i="9" s="1"/>
  <c r="I113" i="9"/>
  <c r="X34" i="9" a="1"/>
  <c r="X34" i="9" s="1"/>
  <c r="J113" i="9"/>
  <c r="Y34" i="9" s="1" a="1"/>
  <c r="Y34" i="9" s="1"/>
  <c r="K113" i="9"/>
  <c r="Z34" i="9" a="1"/>
  <c r="Z34" i="9" s="1"/>
  <c r="L113" i="9"/>
  <c r="AA34" i="9" s="1" a="1"/>
  <c r="AA34" i="9" s="1"/>
  <c r="M113" i="9"/>
  <c r="AB34" i="9" a="1"/>
  <c r="AB34" i="9" s="1"/>
  <c r="C114" i="9"/>
  <c r="R35" i="9" a="1"/>
  <c r="R35" i="9" s="1"/>
  <c r="D114" i="9"/>
  <c r="S35" i="9" s="1" a="1"/>
  <c r="S35" i="9" s="1"/>
  <c r="E114" i="9"/>
  <c r="T35" i="9" a="1"/>
  <c r="T35" i="9" s="1"/>
  <c r="F114" i="9"/>
  <c r="G114" i="9"/>
  <c r="V35" i="9" a="1"/>
  <c r="V35" i="9" s="1"/>
  <c r="H114" i="9"/>
  <c r="W35" i="9" s="1" a="1"/>
  <c r="W35" i="9" s="1"/>
  <c r="I114" i="9"/>
  <c r="X35" i="9" s="1" a="1"/>
  <c r="X35" i="9" s="1"/>
  <c r="J114" i="9"/>
  <c r="Y35" i="9" a="1"/>
  <c r="Y35" i="9" s="1"/>
  <c r="K114" i="9"/>
  <c r="Z35" i="9" a="1"/>
  <c r="Z35" i="9" s="1"/>
  <c r="L114" i="9"/>
  <c r="AA35" i="9" s="1" a="1"/>
  <c r="AA35" i="9" s="1"/>
  <c r="M114" i="9"/>
  <c r="AB35" i="9" a="1"/>
  <c r="AB35" i="9" s="1"/>
  <c r="C115" i="9"/>
  <c r="D115" i="9"/>
  <c r="E115" i="9"/>
  <c r="F115" i="9"/>
  <c r="G115" i="9"/>
  <c r="H115" i="9"/>
  <c r="W36" i="9" s="1" a="1"/>
  <c r="W36" i="9" s="1"/>
  <c r="I115" i="9"/>
  <c r="N115" i="9" s="1"/>
  <c r="J115" i="9"/>
  <c r="Y36" i="9" a="1"/>
  <c r="Y36" i="9" s="1"/>
  <c r="K115" i="9"/>
  <c r="Z36" i="9" s="1" a="1"/>
  <c r="Z36" i="9" s="1"/>
  <c r="L115" i="9"/>
  <c r="AA36" i="9" a="1"/>
  <c r="AA36" i="9" s="1"/>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a="1"/>
  <c r="J74" i="1" s="1"/>
  <c r="I75" i="1"/>
  <c r="J75" i="1" s="1" a="1"/>
  <c r="J75" i="1" s="1"/>
  <c r="I76" i="1"/>
  <c r="J76" i="1" a="1"/>
  <c r="J76" i="1" s="1"/>
  <c r="I77" i="1"/>
  <c r="J77" i="1" s="1" a="1"/>
  <c r="J77" i="1" s="1"/>
  <c r="I78" i="1"/>
  <c r="J78" i="1" a="1"/>
  <c r="J78" i="1" s="1"/>
  <c r="I79" i="1"/>
  <c r="J79" i="1" a="1"/>
  <c r="J79" i="1" s="1"/>
  <c r="I80" i="1"/>
  <c r="J80" i="1" s="1" a="1"/>
  <c r="J80" i="1" s="1"/>
  <c r="I81" i="1"/>
  <c r="J81" i="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V36" i="9" a="1"/>
  <c r="V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6" i="7"/>
  <c r="I36" i="12"/>
  <c r="J35" i="14"/>
  <c r="J36" i="14"/>
  <c r="D35" i="14"/>
  <c r="D36" i="14"/>
  <c r="D35" i="18"/>
  <c r="D36" i="18"/>
  <c r="D37" i="18"/>
  <c r="E35" i="18"/>
  <c r="E36" i="18"/>
  <c r="E37" i="18"/>
  <c r="J25"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H45" i="2"/>
  <c r="I45" i="2"/>
  <c r="D45" i="2"/>
  <c r="E46" i="2"/>
  <c r="F46" i="2"/>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G18" i="2" s="1"/>
  <c r="E35" i="2"/>
  <c r="F35" i="2"/>
  <c r="H35" i="2" s="1"/>
  <c r="I35" i="2" s="1"/>
  <c r="D35" i="2" s="1"/>
  <c r="E36" i="2"/>
  <c r="F36" i="2"/>
  <c r="H36" i="2" s="1"/>
  <c r="I36" i="2" s="1"/>
  <c r="D36" i="2" s="1"/>
  <c r="F22" i="2"/>
  <c r="H22" i="2" s="1"/>
  <c r="I22" i="2" s="1"/>
  <c r="D22" i="2" s="1"/>
  <c r="E22" i="2"/>
  <c r="F7" i="2"/>
  <c r="H7" i="2" s="1"/>
  <c r="I7" i="2" s="1"/>
  <c r="D7" i="2" s="1"/>
  <c r="E7" i="2"/>
  <c r="E37" i="2"/>
  <c r="F37" i="2"/>
  <c r="G37" i="2" s="1"/>
  <c r="H37" i="2"/>
  <c r="I37" i="2"/>
  <c r="D37" i="2" s="1"/>
  <c r="E39" i="2"/>
  <c r="F39" i="2"/>
  <c r="H39" i="2"/>
  <c r="I39" i="2"/>
  <c r="D39" i="2"/>
  <c r="E40" i="2"/>
  <c r="F40" i="2"/>
  <c r="E41" i="2"/>
  <c r="F41" i="2"/>
  <c r="H41" i="2"/>
  <c r="I41" i="2"/>
  <c r="D41" i="2"/>
  <c r="E42" i="2"/>
  <c r="F42" i="2"/>
  <c r="H42" i="2"/>
  <c r="I42" i="2"/>
  <c r="D42" i="2"/>
  <c r="E43" i="2"/>
  <c r="F43" i="2"/>
  <c r="H43" i="2"/>
  <c r="I43" i="2"/>
  <c r="D43" i="2"/>
  <c r="E44" i="2"/>
  <c r="G44" i="2"/>
  <c r="F44" i="2"/>
  <c r="H44" i="2"/>
  <c r="I44" i="2"/>
  <c r="D44" i="2"/>
  <c r="F19" i="2"/>
  <c r="H19" i="2" s="1"/>
  <c r="I19" i="2" s="1"/>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s="1"/>
  <c r="D15" i="2" s="1"/>
  <c r="E15" i="2"/>
  <c r="F16" i="2"/>
  <c r="E16" i="2"/>
  <c r="F26" i="2"/>
  <c r="H26" i="2"/>
  <c r="I26" i="2" s="1"/>
  <c r="D26" i="2" s="1"/>
  <c r="E26" i="2"/>
  <c r="F29" i="2"/>
  <c r="H29" i="2" s="1"/>
  <c r="I29" i="2" s="1"/>
  <c r="D29" i="2" s="1"/>
  <c r="E29" i="2"/>
  <c r="F30" i="2"/>
  <c r="H30" i="2" s="1"/>
  <c r="I30" i="2" s="1"/>
  <c r="D30" i="2" s="1"/>
  <c r="F31" i="2"/>
  <c r="H31" i="2"/>
  <c r="I31" i="2" s="1"/>
  <c r="D31" i="2" s="1"/>
  <c r="E31" i="2"/>
  <c r="F32" i="2"/>
  <c r="H32" i="2"/>
  <c r="I32" i="2" s="1"/>
  <c r="D32" i="2" s="1"/>
  <c r="F14" i="2"/>
  <c r="H14" i="2"/>
  <c r="I14" i="2" s="1"/>
  <c r="D14" i="2" s="1"/>
  <c r="E14" i="2"/>
  <c r="E30" i="2"/>
  <c r="E32" i="2"/>
  <c r="N4" i="17"/>
  <c r="F12" i="2"/>
  <c r="H12" i="2" s="1"/>
  <c r="I12" i="2" s="1"/>
  <c r="D12" i="2" s="1"/>
  <c r="E12" i="2"/>
  <c r="F11" i="2"/>
  <c r="G11" i="2" s="1"/>
  <c r="H64" i="1" s="1"/>
  <c r="E11" i="2"/>
  <c r="E17" i="2"/>
  <c r="F17" i="2"/>
  <c r="H17" i="2" s="1"/>
  <c r="I17" i="2" s="1"/>
  <c r="D17" i="2" s="1"/>
  <c r="F9" i="2"/>
  <c r="H9" i="2"/>
  <c r="I9" i="2" s="1"/>
  <c r="D9" i="2" s="1"/>
  <c r="E9" i="2"/>
  <c r="E8" i="2"/>
  <c r="F8" i="2"/>
  <c r="H8" i="2" s="1"/>
  <c r="I8" i="2" s="1"/>
  <c r="D8" i="2" s="1"/>
  <c r="E10" i="2"/>
  <c r="E4" i="2"/>
  <c r="C8" i="8"/>
  <c r="F10" i="2"/>
  <c r="G10" i="2" s="1"/>
  <c r="H66" i="1" s="1"/>
  <c r="H10" i="2"/>
  <c r="I10" i="2"/>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G40" i="2"/>
  <c r="H11" i="2"/>
  <c r="I11" i="2" s="1"/>
  <c r="H58" i="2"/>
  <c r="I58" i="2"/>
  <c r="D58" i="2"/>
  <c r="H56" i="2"/>
  <c r="I56" i="2"/>
  <c r="D56" i="2"/>
  <c r="G51" i="2"/>
  <c r="G55" i="2"/>
  <c r="H40" i="2"/>
  <c r="I40" i="2"/>
  <c r="D40" i="2"/>
  <c r="G39" i="2"/>
  <c r="G46" i="2"/>
  <c r="G38" i="2"/>
  <c r="H48" i="2"/>
  <c r="I48" i="2"/>
  <c r="D48" i="2"/>
  <c r="H54" i="2"/>
  <c r="I54" i="2"/>
  <c r="D54" i="2"/>
  <c r="H46" i="2"/>
  <c r="I46" i="2"/>
  <c r="D46" i="2"/>
  <c r="G52" i="2"/>
  <c r="G16" i="2"/>
  <c r="H78" i="1" s="1"/>
  <c r="J30" i="15"/>
  <c r="C6" i="8"/>
  <c r="F16" i="15"/>
  <c r="H16" i="2"/>
  <c r="I16" i="2" s="1"/>
  <c r="D16" i="2" s="1"/>
  <c r="G73" i="2"/>
  <c r="G79" i="2"/>
  <c r="G7" i="2"/>
  <c r="H67" i="1" s="1"/>
  <c r="H47" i="1"/>
  <c r="G41" i="2"/>
  <c r="G74" i="2"/>
  <c r="G72" i="2"/>
  <c r="G48" i="2"/>
  <c r="G24" i="2"/>
  <c r="H87" i="1" s="1"/>
  <c r="G59" i="2"/>
  <c r="G42" i="2"/>
  <c r="H68" i="2"/>
  <c r="I68" i="2"/>
  <c r="D68" i="2"/>
  <c r="G63" i="2"/>
  <c r="G49" i="2"/>
  <c r="G54" i="2"/>
  <c r="G62" i="2"/>
  <c r="H47" i="2"/>
  <c r="I47" i="2"/>
  <c r="D47" i="2"/>
  <c r="G78" i="2"/>
  <c r="G30" i="2"/>
  <c r="H104" i="1" s="1"/>
  <c r="G45" i="2"/>
  <c r="G50" i="2"/>
  <c r="G43" i="2"/>
  <c r="C148" i="17"/>
  <c r="K4" i="17" s="1"/>
  <c r="G69" i="2"/>
  <c r="C16" i="10"/>
  <c r="C9" i="8"/>
  <c r="H122" i="6"/>
  <c r="C2" i="2"/>
  <c r="B12" i="21" l="1"/>
  <c r="B13" i="21"/>
  <c r="B2" i="21"/>
  <c r="B8" i="21"/>
  <c r="I122" i="6"/>
  <c r="B23" i="21"/>
  <c r="B19" i="21"/>
  <c r="B20" i="21"/>
  <c r="O113" i="9"/>
  <c r="AD34" i="9" s="1"/>
  <c r="B15" i="21"/>
  <c r="O115" i="9"/>
  <c r="AD36" i="9" s="1"/>
  <c r="B5" i="21"/>
  <c r="C12" i="10"/>
  <c r="B17" i="21"/>
  <c r="B9" i="21"/>
  <c r="B24" i="21"/>
  <c r="B3" i="21"/>
  <c r="B14" i="21"/>
  <c r="B16" i="21"/>
  <c r="B27" i="21"/>
  <c r="X36" i="9" a="1"/>
  <c r="X36" i="9" s="1"/>
  <c r="N5" i="17"/>
  <c r="N7" i="17" s="1"/>
  <c r="C19" i="10" s="1"/>
  <c r="N114" i="9"/>
  <c r="P114" i="9" s="1"/>
  <c r="V34" i="9" a="1"/>
  <c r="V34" i="9" s="1"/>
  <c r="K6" i="6"/>
  <c r="C4" i="8" s="1"/>
  <c r="G122" i="6"/>
  <c r="G26" i="2"/>
  <c r="H93" i="1" s="1"/>
  <c r="G33" i="2"/>
  <c r="H108" i="1" s="1"/>
  <c r="G36" i="2"/>
  <c r="G8" i="2"/>
  <c r="H68" i="1" s="1"/>
  <c r="G13" i="2"/>
  <c r="H63" i="1" s="1"/>
  <c r="J76" i="9" a="1"/>
  <c r="J76" i="9" s="1"/>
  <c r="J77" i="9" a="1"/>
  <c r="J77" i="9" s="1"/>
  <c r="G77" i="9" a="1"/>
  <c r="G77" i="9" s="1"/>
  <c r="I112" i="9"/>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X33" i="9" a="1"/>
  <c r="X33"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13" i="1"/>
  <c r="H15" i="1"/>
  <c r="H53" i="1"/>
  <c r="H14" i="1"/>
  <c r="H26" i="1"/>
  <c r="G25" i="2"/>
  <c r="H98" i="1" s="1"/>
  <c r="H117" i="1"/>
  <c r="H23" i="1"/>
  <c r="H32" i="1"/>
  <c r="H35" i="1"/>
  <c r="G15" i="2"/>
  <c r="H69" i="1" s="1"/>
  <c r="H74" i="1"/>
  <c r="G19" i="2"/>
  <c r="H80" i="1" s="1"/>
  <c r="G20" i="2"/>
  <c r="G6" i="2"/>
  <c r="H71" i="1" s="1"/>
  <c r="H85" i="1"/>
  <c r="H84" i="1"/>
  <c r="H76" i="1"/>
  <c r="H70" i="1"/>
  <c r="H96" i="1"/>
  <c r="G27" i="2"/>
  <c r="G21" i="2"/>
  <c r="H95" i="1"/>
  <c r="G23" i="2"/>
  <c r="H86" i="1" s="1"/>
  <c r="G12" i="2"/>
  <c r="H88" i="1"/>
  <c r="G35" i="2"/>
  <c r="H112" i="1" s="1"/>
  <c r="G5" i="2"/>
  <c r="G28" i="2"/>
  <c r="H116" i="1" s="1"/>
  <c r="K98" i="9"/>
  <c r="Z19" i="9" s="1" a="1"/>
  <c r="Z19" i="9" s="1"/>
  <c r="F111" i="9"/>
  <c r="U32" i="9" s="1" a="1"/>
  <c r="U32" i="9" s="1"/>
  <c r="O107" i="9"/>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N78" i="9"/>
  <c r="P78" i="9" s="1"/>
  <c r="AC36" i="9"/>
  <c r="A25" i="20"/>
  <c r="A28" i="20"/>
  <c r="Q5" i="9"/>
  <c r="A2" i="20" s="1"/>
  <c r="A11" i="20"/>
  <c r="A5" i="20"/>
  <c r="A20" i="20"/>
  <c r="A7" i="20"/>
  <c r="AD28" i="9"/>
  <c r="B25" i="20" s="1"/>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18" i="1" a="1"/>
  <c r="J118"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R30" i="9" a="1"/>
  <c r="R30" i="9" s="1"/>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18" i="1"/>
  <c r="H59" i="9" a="1"/>
  <c r="H59" i="9" s="1"/>
  <c r="L66" i="9" a="1"/>
  <c r="L66" i="9" s="1"/>
  <c r="K66" i="9" a="1"/>
  <c r="K66" i="9" s="1"/>
  <c r="L90" i="9"/>
  <c r="AC34" i="9"/>
  <c r="G53" i="9" a="1"/>
  <c r="G53" i="9" s="1"/>
  <c r="G61" i="9" a="1"/>
  <c r="G61" i="9" s="1"/>
  <c r="M74" i="9" a="1"/>
  <c r="M74" i="9" s="1"/>
  <c r="L61" i="9" a="1"/>
  <c r="L61" i="9" s="1"/>
  <c r="K53" i="9" a="1"/>
  <c r="K53" i="9" s="1"/>
  <c r="I118" i="1" a="1"/>
  <c r="I118"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K6" i="17"/>
  <c r="G16" i="15"/>
  <c r="J43" i="14"/>
  <c r="C12" i="8" s="1"/>
  <c r="D42" i="14"/>
  <c r="C10" i="8" s="1"/>
  <c r="I37" i="12"/>
  <c r="C43" i="12"/>
  <c r="E44" i="18"/>
  <c r="D44" i="18"/>
  <c r="C11" i="8" s="1"/>
  <c r="H16" i="15"/>
  <c r="H16" i="7"/>
  <c r="F148" i="17"/>
  <c r="D2" i="2"/>
  <c r="P115" i="9" l="1"/>
  <c r="P113" i="9"/>
  <c r="AE34" i="9"/>
  <c r="H92" i="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<sst xmlns="http://schemas.openxmlformats.org/spreadsheetml/2006/main" count="1239" uniqueCount="338">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</sst>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783228</xdr:colOff>
      <xdr:row>7</xdr:row>
      <xdr:rowOff>43181</xdr:rowOff>
    </xdr:from>
    <xdr:to>
      <xdr:col>13</xdr:col>
      <xdr:colOff>678316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481517</xdr:colOff>
      <xdr:row>12</xdr:row>
      <xdr:rowOff>138748</xdr:rowOff>
    </xdr:from>
    <xdr:to>
      <xdr:col>14</xdr:col>
      <xdr:colOff>814060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2894607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89236111" createdVersion="8" refreshedVersion="8" minRefreshableVersion="3" recordCount="146" xr:uid="{B5BDFB73-D93A-4A7A-8149-666BC190B09B}">
  <cacheSource type="worksheet">
    <worksheetSource name="Table14"/>
  </cacheSource>
  <cacheFields count="7">
    <cacheField name="Date" numFmtId="14">
      <sharedItems containsNonDate="0" containsDate="1" containsString="0" containsBlank="1" minDate="2025-12-23T00:00:00" maxDate="2026-02-02T00:00:00"/>
    </cacheField>
    <cacheField name="Party" numFmtId="0">
      <sharedItems containsBlank="1" count="80">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hafiz qureshi" u="1"/>
        <s v="Rafaqat" u="1"/>
        <s v="Azam" u="1"/>
        <s v="Electricity" u="1"/>
        <s v="Arshad" u="1"/>
        <s v="Rana babar" u="1"/>
        <s v="Badshah Fabrics" u="1"/>
        <s v="Faysal Akraam" u="1"/>
        <s v="Usman shafiq dyes" u="1"/>
        <s v="shehzad kamoki" u="1"/>
        <s v="sufi nawaz sahab" u="1"/>
        <s v="temp" u="1"/>
        <s v="Raaz Fabrics" u="1"/>
        <s v="Amjad sohail" u="1"/>
        <s v="Dyes" u="1"/>
        <s v="Gauhar Kashif" u="1"/>
        <s v="abid ghafoor" u="1"/>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894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04629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09744.87929773229"/>
    </cacheField>
    <cacheField name="Rate" numFmtId="0">
      <sharedItems containsString="0" containsBlank="1" containsNumber="1" minValue="10" maxValue="12"/>
    </cacheField>
    <cacheField name="Total" numFmtId="164">
      <sharedItems containsSemiMixedTypes="0" containsString="0" containsNumber="1" minValue="0" maxValue="2229310.53401609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27778" createdVersion="8" refreshedVersion="8" minRefreshableVersion="3" recordCount="7" xr:uid="{AC867DCC-CE64-4D1A-827D-F1F3EE10EE4E}">
  <cacheSource type="worksheet">
    <worksheetSource name="Table8"/>
  </cacheSource>
  <cacheFields count="9">
    <cacheField name="Date" numFmtId="14">
      <sharedItems containsSemiMixedTypes="0" containsNonDate="0" containsDate="1" containsString="0" minDate="2025-05-16T00:00:00" maxDate="2026-01-30T00:00:00" count="67">
        <d v="2025-12-17T00:00:00"/>
        <d v="2026-01-22T00:00:00"/>
        <d v="2026-01-26T00:00:00"/>
        <d v="2026-01-29T00:00:00"/>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9">
        <s v="Unicolour"/>
        <s v="madina dyes"/>
        <s v="General Dyes"/>
        <s v="Shafi Dyes"/>
        <m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509258"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4">
        <d v="2026-01-20T00:00:00"/>
        <m/>
        <d v="2026-01-22T00:00:00"/>
        <d v="2026-01-26T00:00:00"/>
        <d v="2026-01-27T00:00:00"/>
        <d v="2026-01-28T00:00:00"/>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2T00:00:00" u="1"/>
        <d v="2026-01-03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4" maxValue="237"/>
    </cacheField>
    <cacheField name="Rate" numFmtId="164">
      <sharedItems containsString="0" containsBlank="1" containsNumber="1" containsInteger="1" minValue="580" maxValue="820"/>
    </cacheField>
    <cacheField name="Rent" numFmtId="164">
      <sharedItems containsNonDate="0" containsString="0" containsBlank="1"/>
    </cacheField>
    <cacheField name="Total" numFmtId="164">
      <sharedItems containsString="0" containsBlank="1" containsNumber="1" containsInteger="1" minValue="0" maxValue="19434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216694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740742" createdVersion="8" refreshedVersion="8" minRefreshableVersion="3" recordCount="11" xr:uid="{376A650C-1F79-4049-BC45-E34989F046B2}">
  <cacheSource type="worksheet">
    <worksheetSource name="Table2"/>
  </cacheSource>
  <cacheFields count="8">
    <cacheField name="Date" numFmtId="14">
      <sharedItems containsNonDate="0" containsDate="1" containsString="0" containsBlank="1" minDate="2026-01-20T00:00:00" maxDate="2026-01-30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12290972219" createdVersion="8" refreshedVersion="8" minRefreshableVersion="3" recordCount="116" xr:uid="{46CBB50D-3613-4E5B-8212-DD0313DCD05A}">
  <cacheSource type="worksheet">
    <worksheetSource name="Table1"/>
  </cacheSource>
  <cacheFields count="14">
    <cacheField name="Date" numFmtId="14">
      <sharedItems containsSemiMixedTypes="0" containsNonDate="0" containsDate="1" containsString="0" minDate="2026-01-20T00:00:00" maxDate="2026-02-01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u="1"/>
        <s v="Reject" u="1"/>
        <s v="YING" u="1"/>
        <s v="Meow" u="1"/>
        <s v="Umer Sb" u="1"/>
        <s v="-" u="1"/>
        <s v="Sajjad" u="1"/>
        <s v="Haji Ejaz" u="1"/>
      </sharedItems>
    </cacheField>
    <cacheField name="Bill Number" numFmtId="0">
      <sharedItems containsMixedTypes="1" containsNumber="1" containsInteger="1" minValue="1375" maxValue="1429"/>
    </cacheField>
    <cacheField name="Quality" numFmtId="0">
      <sharedItems/>
    </cacheField>
    <cacheField name="Shipment Number" numFmtId="164">
      <sharedItems containsBlank="1" containsMixedTypes="1" containsNumber="1" containsInteger="1" minValue="1558" maxValue="17000" count="408">
        <m/>
        <n v="2024"/>
        <n v="2023"/>
        <n v="2025"/>
        <n v="2039"/>
        <n v="2037"/>
        <n v="2026"/>
        <n v="2041"/>
        <n v="2006"/>
        <s v="2017-b"/>
        <n v="2035"/>
        <n v="2040"/>
        <n v="2020"/>
        <n v="2034"/>
        <n v="2046"/>
        <n v="2033"/>
        <n v="2032"/>
        <n v="2021"/>
        <n v="2052"/>
        <n v="1989"/>
        <s v="2035-b"/>
        <n v="2012"/>
        <n v="2015"/>
        <n v="2061"/>
        <n v="1978"/>
        <n v="2043"/>
        <n v="2044"/>
        <n v="2050"/>
        <n v="2059"/>
        <n v="2051"/>
        <s v="2053+2038"/>
        <n v="2042"/>
        <n v="2036"/>
        <n v="2057"/>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980" maxValue="49876"/>
    </cacheField>
    <cacheField name="shortage %" numFmtId="165">
      <sharedItems containsMixedTypes="1" containsNumber="1" minValue="7.8380644024960588E-2" maxValue="96.298236546371342"/>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d v="2026-01-20T00:00:00"/>
    <x v="0"/>
    <m/>
    <n v="2894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1T00:00:00"/>
    <x v="14"/>
    <m/>
    <m/>
    <m/>
    <m/>
    <m/>
  </r>
  <r>
    <d v="2026-02-01T00:00:00"/>
    <x v="14"/>
    <m/>
    <m/>
    <m/>
    <m/>
    <m/>
  </r>
  <r>
    <d v="2026-02-01T00:00:00"/>
    <x v="14"/>
    <m/>
    <m/>
    <m/>
    <m/>
    <m/>
  </r>
  <r>
    <d v="2026-02-01T00:00:00"/>
    <x v="14"/>
    <m/>
    <m/>
    <m/>
    <m/>
    <m/>
  </r>
  <r>
    <d v="2026-02-01T00:00:00"/>
    <x v="14"/>
    <m/>
    <m/>
    <m/>
    <m/>
    <m/>
  </r>
  <r>
    <d v="2026-02-01T00:00:00"/>
    <x v="14"/>
    <m/>
    <m/>
    <m/>
    <m/>
    <m/>
  </r>
  <r>
    <d v="2026-02-01T00:00:00"/>
    <x v="1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9744.87929773229"/>
    <n v="10"/>
    <n v="2229310.5340160937"/>
  </r>
  <r>
    <x v="1"/>
    <n v="19617.776152158011"/>
    <n v="10"/>
    <n v="235413.31382589613"/>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19516.276517922459"/>
    <m/>
    <n v="195162.7651792246"/>
  </r>
  <r>
    <x v="11"/>
    <n v="0"/>
    <m/>
    <n v="0"/>
  </r>
  <r>
    <x v="12"/>
    <n v="70997.62253108999"/>
    <m/>
    <n v="709976.2253108999"/>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2166945"/>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2"/>
    <n v="580"/>
    <m/>
    <n v="76560"/>
    <m/>
    <n v="76560"/>
  </r>
  <r>
    <x v="4"/>
    <x v="4"/>
    <x v="1"/>
    <n v="133"/>
    <n v="775"/>
    <m/>
    <n v="103075"/>
    <m/>
    <n v="103075"/>
  </r>
  <r>
    <x v="5"/>
    <x v="4"/>
    <x v="1"/>
    <n v="24"/>
    <n v="775"/>
    <m/>
    <n v="18600"/>
    <m/>
    <n v="18600"/>
  </r>
  <r>
    <x v="5"/>
    <x v="4"/>
    <x v="1"/>
    <n v="48"/>
    <n v="580"/>
    <m/>
    <n v="27840"/>
    <m/>
    <n v="27840"/>
  </r>
  <r>
    <x v="5"/>
    <x v="4"/>
    <x v="1"/>
    <n v="85"/>
    <n v="580"/>
    <m/>
    <n v="49300"/>
    <m/>
    <n v="49300"/>
  </r>
  <r>
    <x v="5"/>
    <x v="4"/>
    <x v="1"/>
    <n v="47"/>
    <n v="775"/>
    <m/>
    <n v="36425"/>
    <m/>
    <n v="36425"/>
  </r>
  <r>
    <x v="4"/>
    <x v="7"/>
    <x v="1"/>
    <n v="237"/>
    <n v="820"/>
    <m/>
    <n v="194340"/>
    <m/>
    <n v="19434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96.298236546371342"/>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68.208320000777903"/>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68.208320000777903"/>
    <n v="15502.926115581568"/>
    <n v="155029.26115581568"/>
    <m/>
  </r>
  <r>
    <d v="2026-01-29T00:00:00"/>
    <x v="0"/>
    <n v="1413"/>
    <s v="Chamki"/>
    <x v="23"/>
    <n v="9163"/>
    <n v="1930"/>
    <n v="33.437496831545005"/>
    <n v="1764.8134601316754"/>
    <n v="17648.134601316753"/>
    <m/>
  </r>
  <r>
    <d v="2026-01-29T00:00:00"/>
    <x v="0"/>
    <n v="1414"/>
    <s v="Silky"/>
    <x v="24"/>
    <n v="15801"/>
    <n v="2237"/>
    <n v="73.784682171042206"/>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m/>
    <m/>
    <m/>
  </r>
  <r>
    <d v="2026-01-30T00:00:00"/>
    <x v="18"/>
    <n v="1418"/>
    <s v="Silky"/>
    <x v="28"/>
    <n v="2825"/>
    <n v="3025"/>
    <n v="2.0851810372173247"/>
    <m/>
    <m/>
    <m/>
  </r>
  <r>
    <d v="2026-01-30T00:00:00"/>
    <x v="0"/>
    <n v="1419"/>
    <s v="Silky"/>
    <x v="24"/>
    <n v="15801"/>
    <n v="2293"/>
    <n v="73.784682171042206"/>
    <m/>
    <m/>
    <m/>
  </r>
  <r>
    <d v="2026-01-30T00:00:00"/>
    <x v="26"/>
    <n v="1420"/>
    <s v="Silky"/>
    <x v="29"/>
    <n v="24771"/>
    <n v="26201"/>
    <n v="3.2801028009101714"/>
    <m/>
    <m/>
    <m/>
  </r>
  <r>
    <d v="2026-01-31T00:00:00"/>
    <x v="26"/>
    <n v="1421"/>
    <s v="Silky"/>
    <x v="27"/>
    <n v="22555"/>
    <n v="10748"/>
    <n v="2.9844465378217819"/>
    <m/>
    <m/>
    <m/>
  </r>
  <r>
    <d v="2026-01-31T00:00:00"/>
    <x v="1"/>
    <n v="1422"/>
    <s v="Silky"/>
    <x v="30"/>
    <n v="20829"/>
    <n v="12106"/>
    <n v="5.8150840071150185"/>
    <m/>
    <m/>
    <m/>
  </r>
  <r>
    <d v="2026-01-31T00:00:00"/>
    <x v="1"/>
    <n v="1423"/>
    <s v="Silky"/>
    <x v="30"/>
    <n v="20829"/>
    <n v="9348"/>
    <n v="5.8150840071150185"/>
    <m/>
    <m/>
    <m/>
  </r>
  <r>
    <d v="2026-01-31T00:00:00"/>
    <x v="18"/>
    <n v="1424"/>
    <s v="Chamki"/>
    <x v="31"/>
    <n v="38203"/>
    <n v="40953"/>
    <n v="1.9766024495370402"/>
    <m/>
    <m/>
    <m/>
  </r>
  <r>
    <d v="2026-01-31T00:00:00"/>
    <x v="2"/>
    <n v="1425"/>
    <s v="Chamki"/>
    <x v="32"/>
    <n v="19708"/>
    <n v="21060"/>
    <s v="NF"/>
    <m/>
    <m/>
    <m/>
  </r>
  <r>
    <d v="2026-01-31T00:00:00"/>
    <x v="27"/>
    <n v="1426"/>
    <s v="Chamki"/>
    <x v="33"/>
    <n v="51107"/>
    <n v="11051"/>
    <s v="NF"/>
    <m/>
    <m/>
    <m/>
  </r>
  <r>
    <d v="2026-01-31T00:00:00"/>
    <x v="0"/>
    <n v="1427"/>
    <s v="Silky"/>
    <x v="8"/>
    <n v="24208"/>
    <n v="8143"/>
    <n v="96.298236546371342"/>
    <m/>
    <m/>
    <m/>
  </r>
  <r>
    <d v="2026-01-31T00:00:00"/>
    <x v="0"/>
    <n v="1428"/>
    <s v="Silky"/>
    <x v="24"/>
    <n v="15801"/>
    <n v="4235"/>
    <n v="73.784682171042206"/>
    <m/>
    <m/>
    <m/>
  </r>
  <r>
    <d v="2026-01-31T00:00:00"/>
    <x v="27"/>
    <n v="1429"/>
    <s v="Chamki"/>
    <x v="33"/>
    <n v="51107"/>
    <n v="5210"/>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1" firstHeaderRow="0" firstDataRow="1" firstDataCol="1" rowPageCount="1" colPageCount="1"/>
  <pivotFields count="9">
    <pivotField axis="axisRow" numFmtId="14" showAll="0">
      <items count="175">
        <item m="1" x="158"/>
        <item m="1" x="159"/>
        <item m="1" x="160"/>
        <item m="1" x="161"/>
        <item m="1" x="162"/>
        <item m="1" x="163"/>
        <item m="1" x="164"/>
        <item m="1" x="173"/>
        <item m="1" x="154"/>
        <item m="1" x="165"/>
        <item m="1" x="166"/>
        <item m="1" x="167"/>
        <item m="1" x="168"/>
        <item m="1" x="169"/>
        <item m="1" x="170"/>
        <item m="1" x="171"/>
        <item m="1" x="125"/>
        <item m="1" x="126"/>
        <item m="1" x="172"/>
        <item m="1" x="127"/>
        <item m="1" x="124"/>
        <item m="1" x="128"/>
        <item m="1" x="130"/>
        <item m="1" x="131"/>
        <item m="1" x="132"/>
        <item m="1" x="134"/>
        <item m="1" x="135"/>
        <item m="1" x="136"/>
        <item m="1" x="129"/>
        <item m="1" x="133"/>
        <item m="1" x="137"/>
        <item m="1" x="138"/>
        <item m="1" x="139"/>
        <item m="1" x="140"/>
        <item m="1" x="123"/>
        <item m="1" x="141"/>
        <item m="1" x="155"/>
        <item m="1" x="156"/>
        <item m="1" x="157"/>
        <item m="1" x="142"/>
        <item m="1" x="143"/>
        <item m="1" x="144"/>
        <item m="1" x="145"/>
        <item m="1" x="146"/>
        <item m="1" x="147"/>
        <item m="1" x="148"/>
        <item m="1" x="149"/>
        <item m="1" x="150"/>
        <item m="1" x="151"/>
        <item m="1" x="152"/>
        <item m="1" x="153"/>
        <item m="1" x="94"/>
        <item m="1" x="95"/>
        <item m="1" x="96"/>
        <item m="1" x="97"/>
        <item m="1" x="98"/>
        <item m="1" x="99"/>
        <item m="1" x="100"/>
        <item m="1" x="101"/>
        <item m="1" x="103"/>
        <item m="1" x="104"/>
        <item m="1" x="105"/>
        <item m="1" x="102"/>
        <item m="1" x="106"/>
        <item m="1" x="107"/>
        <item m="1" x="108"/>
        <item m="1" x="109"/>
        <item m="1" x="110"/>
        <item m="1" x="111"/>
        <item m="1" x="112"/>
        <item m="1" x="113"/>
        <item m="1" x="114"/>
        <item m="1" x="115"/>
        <item m="1" x="116"/>
        <item m="1" x="117"/>
        <item m="1" x="118"/>
        <item m="1" x="119"/>
        <item m="1" x="120"/>
        <item m="1" x="121"/>
        <item m="1" x="122"/>
        <item m="1" x="40"/>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41"/>
        <item m="1" x="44"/>
        <item m="1" x="42"/>
        <item m="1" x="43"/>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
        <item m="1" x="7"/>
        <item m="1" x="8"/>
        <item m="1" x="9"/>
        <item m="1" x="10"/>
        <item m="1" x="11"/>
        <item m="1" x="12"/>
        <item m="1" x="13"/>
        <item x="1"/>
        <item m="1" x="14"/>
        <item m="1" x="15"/>
        <item m="1" x="16"/>
        <item m="1" x="17"/>
        <item m="1" x="18"/>
        <item m="1" x="19"/>
        <item m="1" x="39"/>
        <item m="1" x="20"/>
        <item m="1" x="21"/>
        <item m="1" x="22"/>
        <item m="1" x="23"/>
        <item m="1" x="24"/>
        <item m="1" x="25"/>
        <item m="1" x="26"/>
        <item m="1" x="27"/>
        <item m="1" x="28"/>
        <item m="1" x="29"/>
        <item m="1" x="30"/>
        <item m="1" x="31"/>
        <item m="1" x="32"/>
        <item m="1" x="33"/>
        <item m="1" x="34"/>
        <item m="1" x="35"/>
        <item m="1" x="36"/>
        <item m="1" x="37"/>
        <item m="1" x="38"/>
        <item x="0"/>
        <item x="2"/>
        <item x="3"/>
        <item x="4"/>
        <item x="5"/>
        <item t="default"/>
      </items>
    </pivotField>
    <pivotField axis="axisPage" showAll="0">
      <items count="14">
        <item x="0"/>
        <item x="1"/>
        <item x="10"/>
        <item m="1" x="12"/>
        <item x="3"/>
        <item x="4"/>
        <item x="5"/>
        <item m="1" x="11"/>
        <item x="6"/>
        <item x="7"/>
        <item x="8"/>
        <item x="9"/>
        <item x="2"/>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3">
    <i>
      <x v="142"/>
    </i>
    <i r="1">
      <x v="54"/>
    </i>
    <i>
      <x v="169"/>
    </i>
    <i r="1">
      <x v="20"/>
    </i>
    <i>
      <x v="170"/>
    </i>
    <i r="1">
      <x v="54"/>
    </i>
    <i>
      <x v="171"/>
    </i>
    <i r="1">
      <x v="54"/>
    </i>
    <i>
      <x v="172"/>
    </i>
    <i r="1">
      <x v="54"/>
    </i>
    <i>
      <x v="17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8" firstHeaderRow="0" firstDataRow="1" firstDataCol="1"/>
  <pivotFields count="7">
    <pivotField numFmtId="14" showAll="0"/>
    <pivotField axis="axisRow" showAll="0">
      <items count="81">
        <item x="6"/>
        <item m="1" x="28"/>
        <item m="1" x="43"/>
        <item m="1" x="66"/>
        <item m="1" x="70"/>
        <item x="23"/>
        <item x="15"/>
        <item x="11"/>
        <item x="4"/>
        <item x="7"/>
        <item x="12"/>
        <item m="1" x="78"/>
        <item m="1" x="33"/>
        <item x="5"/>
        <item m="1" x="31"/>
        <item m="1" x="76"/>
        <item x="2"/>
        <item m="1" x="35"/>
        <item x="3"/>
        <item x="21"/>
        <item x="14"/>
        <item x="22"/>
        <item m="1" x="79"/>
        <item m="1" x="34"/>
        <item m="1" x="24"/>
        <item m="1" x="77"/>
        <item m="1" x="69"/>
        <item m="1" x="50"/>
        <item m="1" x="71"/>
        <item m="1" x="72"/>
        <item m="1" x="73"/>
        <item m="1" x="74"/>
        <item x="10"/>
        <item m="1" x="75"/>
        <item m="1" x="36"/>
        <item m="1" x="25"/>
        <item m="1" x="38"/>
        <item m="1" x="26"/>
        <item m="1" x="65"/>
        <item m="1" x="61"/>
        <item m="1" x="30"/>
        <item x="17"/>
        <item m="1" x="49"/>
        <item m="1" x="67"/>
        <item x="1"/>
        <item m="1" x="68"/>
        <item m="1" x="56"/>
        <item m="1" x="47"/>
        <item x="8"/>
        <item m="1" x="57"/>
        <item m="1" x="58"/>
        <item m="1" x="59"/>
        <item m="1" x="60"/>
        <item m="1" x="62"/>
        <item m="1" x="37"/>
        <item m="1" x="44"/>
        <item m="1" x="63"/>
        <item m="1" x="64"/>
        <item m="1" x="42"/>
        <item m="1" x="46"/>
        <item m="1" x="41"/>
        <item m="1" x="27"/>
        <item m="1" x="45"/>
        <item m="1" x="40"/>
        <item m="1" x="55"/>
        <item x="13"/>
        <item m="1" x="51"/>
        <item m="1" x="52"/>
        <item x="16"/>
        <item m="1" x="48"/>
        <item x="18"/>
        <item m="1" x="53"/>
        <item x="20"/>
        <item m="1" x="54"/>
        <item x="0"/>
        <item m="1" x="29"/>
        <item x="9"/>
        <item m="1" x="32"/>
        <item x="19"/>
        <item m="1" x="39"/>
        <item t="default"/>
      </items>
    </pivotField>
    <pivotField dataField="1" showAll="0"/>
    <pivotField dataField="1" showAll="0"/>
    <pivotField showAll="0"/>
    <pivotField showAll="0"/>
    <pivotField showAll="0"/>
  </pivotFields>
  <rowFields count="1">
    <field x="1"/>
  </rowFields>
  <rowItems count="25">
    <i>
      <x/>
    </i>
    <i>
      <x v="5"/>
    </i>
    <i>
      <x v="6"/>
    </i>
    <i>
      <x v="7"/>
    </i>
    <i>
      <x v="8"/>
    </i>
    <i>
      <x v="9"/>
    </i>
    <i>
      <x v="10"/>
    </i>
    <i>
      <x v="13"/>
    </i>
    <i>
      <x v="16"/>
    </i>
    <i>
      <x v="18"/>
    </i>
    <i>
      <x v="19"/>
    </i>
    <i>
      <x v="20"/>
    </i>
    <i>
      <x v="21"/>
    </i>
    <i>
      <x v="32"/>
    </i>
    <i>
      <x v="41"/>
    </i>
    <i>
      <x v="44"/>
    </i>
    <i>
      <x v="48"/>
    </i>
    <i>
      <x v="65"/>
    </i>
    <i>
      <x v="68"/>
    </i>
    <i>
      <x v="70"/>
    </i>
    <i>
      <x v="72"/>
    </i>
    <i>
      <x v="74"/>
    </i>
    <i>
      <x v="76"/>
    </i>
    <i>
      <x v="78"/>
    </i>
    <i t="grand">
      <x/>
    </i>
  </rowItems>
  <colFields count="1">
    <field x="-2"/>
  </colFields>
  <colItems count="2">
    <i>
      <x/>
    </i>
    <i i="1">
      <x v="1"/>
    </i>
  </colItems>
  <dataFields count="2">
    <dataField name="Sum of Credit" fld="3" baseField="0" baseItem="0"/>
    <dataField name="Sum of Debit" fld="2" baseField="0" baseItem="0"/>
  </dataFields>
  <formats count="1">
    <format dxfId="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68">
        <item m="1" x="62"/>
        <item m="1" x="63"/>
        <item m="1" x="64"/>
        <item m="1" x="65"/>
        <item m="1" x="66"/>
        <item m="1" x="61"/>
        <item m="1" x="49"/>
        <item m="1" x="50"/>
        <item m="1" x="54"/>
        <item m="1" x="55"/>
        <item m="1" x="51"/>
        <item m="1" x="56"/>
        <item m="1" x="57"/>
        <item m="1" x="58"/>
        <item m="1" x="59"/>
        <item m="1" x="60"/>
        <item m="1" x="48"/>
        <item m="1" x="52"/>
        <item m="1" x="53"/>
        <item m="1" x="41"/>
        <item m="1" x="42"/>
        <item m="1" x="43"/>
        <item m="1" x="44"/>
        <item m="1" x="45"/>
        <item m="1" x="46"/>
        <item m="1" x="47"/>
        <item m="1" x="17"/>
        <item m="1" x="33"/>
        <item m="1" x="34"/>
        <item m="1" x="35"/>
        <item m="1" x="36"/>
        <item m="1" x="37"/>
        <item m="1" x="38"/>
        <item m="1" x="39"/>
        <item m="1" x="40"/>
        <item m="1" x="18"/>
        <item m="1" x="19"/>
        <item m="1" x="20"/>
        <item m="1" x="21"/>
        <item m="1" x="22"/>
        <item m="1" x="23"/>
        <item m="1" x="24"/>
        <item m="1" x="26"/>
        <item m="1" x="27"/>
        <item m="1" x="25"/>
        <item m="1" x="28"/>
        <item m="1" x="29"/>
        <item m="1" x="30"/>
        <item m="1" x="31"/>
        <item m="1" x="32"/>
        <item x="0"/>
        <item m="1" x="4"/>
        <item m="1" x="5"/>
        <item m="1" x="6"/>
        <item m="1" x="7"/>
        <item m="1" x="8"/>
        <item m="1" x="9"/>
        <item m="1" x="10"/>
        <item m="1" x="11"/>
        <item m="1" x="12"/>
        <item m="1" x="13"/>
        <item m="1" x="14"/>
        <item m="1" x="15"/>
        <item m="1" x="16"/>
        <item x="1"/>
        <item x="2"/>
        <item x="3"/>
        <item t="default"/>
      </items>
    </pivotField>
    <pivotField showAll="0"/>
    <pivotField showAll="0"/>
    <pivotField showAll="0"/>
    <pivotField dataField="1" showAll="0"/>
    <pivotField axis="axisPage" showAll="0">
      <items count="10">
        <item x="0"/>
        <item m="1" x="4"/>
        <item m="1" x="8"/>
        <item m="1" x="7"/>
        <item x="1"/>
        <item x="2"/>
        <item x="3"/>
        <item m="1" x="5"/>
        <item m="1" x="6"/>
        <item t="default"/>
      </items>
    </pivotField>
    <pivotField showAll="0"/>
    <pivotField dataField="1" showAll="0"/>
    <pivotField showAll="0"/>
  </pivotFields>
  <rowFields count="1">
    <field x="0"/>
  </rowFields>
  <rowItems count="5">
    <i>
      <x v="50"/>
    </i>
    <i>
      <x v="64"/>
    </i>
    <i>
      <x v="65"/>
    </i>
    <i>
      <x v="6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8"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m="1"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09">
        <item m="1" x="391"/>
        <item m="1" x="392"/>
        <item m="1" x="390"/>
        <item m="1" x="389"/>
        <item m="1" x="393"/>
        <item m="1" x="395"/>
        <item m="1" x="394"/>
        <item m="1" x="396"/>
        <item m="1" x="397"/>
        <item m="1" x="398"/>
        <item m="1" x="399"/>
        <item m="1" x="400"/>
        <item m="1" x="401"/>
        <item m="1" x="402"/>
        <item m="1" x="327"/>
        <item m="1" x="349"/>
        <item m="1" x="403"/>
        <item m="1" x="404"/>
        <item m="1" x="405"/>
        <item m="1" x="357"/>
        <item m="1" x="356"/>
        <item m="1" x="406"/>
        <item m="1" x="407"/>
        <item m="1" x="366"/>
        <item m="1" x="358"/>
        <item m="1" x="359"/>
        <item m="1" x="360"/>
        <item m="1" x="361"/>
        <item m="1" x="362"/>
        <item m="1" x="363"/>
        <item m="1" x="364"/>
        <item m="1" x="365"/>
        <item m="1" x="367"/>
        <item m="1" x="387"/>
        <item m="1" x="368"/>
        <item m="1" x="388"/>
        <item m="1" x="369"/>
        <item m="1" x="370"/>
        <item m="1" x="371"/>
        <item m="1" x="372"/>
        <item m="1" x="373"/>
        <item m="1" x="304"/>
        <item m="1" x="374"/>
        <item m="1" x="375"/>
        <item m="1" x="376"/>
        <item m="1" x="377"/>
        <item m="1" x="378"/>
        <item m="1" x="379"/>
        <item m="1" x="380"/>
        <item m="1" x="381"/>
        <item m="1" x="382"/>
        <item m="1" x="383"/>
        <item m="1" x="384"/>
        <item m="1" x="385"/>
        <item m="1" x="386"/>
        <item x="0"/>
        <item m="1" x="303"/>
        <item m="1" x="305"/>
        <item m="1" x="306"/>
        <item m="1" x="307"/>
        <item m="1" x="308"/>
        <item m="1" x="309"/>
        <item m="1" x="310"/>
        <item m="1" x="311"/>
        <item m="1" x="312"/>
        <item m="1" x="313"/>
        <item m="1" x="314"/>
        <item m="1" x="315"/>
        <item m="1" x="316"/>
        <item m="1" x="317"/>
        <item m="1" x="39"/>
        <item m="1" x="318"/>
        <item m="1" x="319"/>
        <item m="1" x="320"/>
        <item m="1" x="321"/>
        <item m="1" x="322"/>
        <item m="1" x="323"/>
        <item m="1" x="324"/>
        <item m="1" x="325"/>
        <item m="1" x="326"/>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50"/>
        <item m="1" x="351"/>
        <item m="1" x="352"/>
        <item m="1" x="353"/>
        <item m="1" x="354"/>
        <item m="1" x="355"/>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56"/>
        <item m="1" x="272"/>
        <item m="1" x="273"/>
        <item m="1" x="274"/>
        <item m="1" x="275"/>
        <item m="1" x="276"/>
        <item m="1" x="277"/>
        <item m="1" x="278"/>
        <item m="1" x="279"/>
        <item m="1" x="280"/>
        <item m="1" x="281"/>
        <item m="1" x="282"/>
        <item m="1" x="302"/>
        <item m="1" x="283"/>
        <item m="1" x="284"/>
        <item m="1" x="285"/>
        <item m="1" x="286"/>
        <item m="1" x="287"/>
        <item m="1" x="288"/>
        <item m="1" x="289"/>
        <item m="1" x="290"/>
        <item m="1" x="291"/>
        <item m="1" x="292"/>
        <item m="1" x="293"/>
        <item m="1" x="294"/>
        <item m="1" x="295"/>
        <item m="1" x="296"/>
        <item m="1" x="297"/>
        <item m="1" x="298"/>
        <item m="1" x="299"/>
        <item m="1" x="300"/>
        <item m="1" x="301"/>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98"/>
        <item m="1" x="221"/>
        <item m="1" x="89"/>
        <item m="1" x="90"/>
        <item m="1" x="91"/>
        <item m="1" x="92"/>
        <item m="1" x="93"/>
        <item m="1" x="94"/>
        <item m="1" x="95"/>
        <item m="1" x="96"/>
        <item m="1" x="97"/>
        <item m="1" x="99"/>
        <item m="1" x="100"/>
        <item m="1" x="101"/>
        <item m="1" x="102"/>
        <item m="1" x="103"/>
        <item m="1" x="104"/>
        <item m="1" x="105"/>
        <item m="1" x="106"/>
        <item m="1" x="107"/>
        <item m="1" x="108"/>
        <item m="1" x="109"/>
        <item m="1" x="110"/>
        <item m="1" x="111"/>
        <item m="1" x="112"/>
        <item m="1" x="36"/>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40"/>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37"/>
        <item m="1" x="164"/>
        <item m="1" x="165"/>
        <item m="1" x="34"/>
        <item m="1" x="43"/>
        <item m="1" x="35"/>
        <item m="1" x="38"/>
        <item m="1" x="41"/>
        <item m="1" x="42"/>
        <item m="1" x="44"/>
        <item m="1" x="45"/>
        <item m="1" x="46"/>
        <item m="1" x="47"/>
        <item m="1" x="48"/>
        <item m="1" x="49"/>
        <item m="1" x="50"/>
        <item m="1" x="51"/>
        <item m="1" x="52"/>
        <item m="1" x="53"/>
        <item m="1" x="54"/>
        <item m="1" x="55"/>
        <item m="1" x="57"/>
        <item m="1" x="58"/>
        <item m="1" x="59"/>
        <item m="1" x="60"/>
        <item x="19"/>
        <item m="1" x="61"/>
        <item m="1" x="62"/>
        <item m="1" x="63"/>
        <item x="8"/>
        <item m="1" x="64"/>
        <item m="1" x="65"/>
        <item m="1" x="66"/>
        <item m="1" x="67"/>
        <item m="1" x="68"/>
        <item m="1" x="69"/>
        <item m="1" x="70"/>
        <item m="1" x="71"/>
        <item m="1" x="72"/>
        <item m="1" x="73"/>
        <item m="1" x="74"/>
        <item m="1" x="75"/>
        <item m="1" x="76"/>
        <item m="1" x="77"/>
        <item m="1" x="78"/>
        <item m="1" x="79"/>
        <item m="1" x="80"/>
        <item m="1" x="88"/>
        <item m="1" x="81"/>
        <item m="1" x="82"/>
        <item x="5"/>
        <item x="6"/>
        <item m="1" x="83"/>
        <item x="21"/>
        <item m="1" x="84"/>
        <item m="1" x="85"/>
        <item m="1" x="86"/>
        <item m="1" x="87"/>
        <item x="4"/>
        <item x="2"/>
        <item x="9"/>
        <item x="1"/>
        <item x="3"/>
        <item x="7"/>
        <item x="10"/>
        <item x="11"/>
        <item x="12"/>
        <item x="13"/>
        <item x="14"/>
        <item x="15"/>
        <item x="16"/>
        <item x="17"/>
        <item x="18"/>
        <item x="20"/>
        <item x="22"/>
        <item x="23"/>
        <item x="24"/>
        <item x="25"/>
        <item x="26"/>
        <item x="27"/>
        <item x="28"/>
        <item x="29"/>
        <item x="30"/>
        <item x="31"/>
        <item x="32"/>
        <item x="3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5">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5">
      <pivotArea type="all" dataOnly="0" outline="0" fieldPosition="0"/>
    </format>
    <format dxfId="34">
      <pivotArea outline="0" collapsedLevelsAreSubtotals="1" fieldPosition="0"/>
    </format>
    <format dxfId="33">
      <pivotArea field="4" type="button" dataOnly="0" labelOnly="1" outline="0" axis="axisRow" fieldPosition="0"/>
    </format>
    <format dxfId="32">
      <pivotArea dataOnly="0" labelOnly="1" fieldPosition="0">
        <references count="1">
          <reference field="4" count="0"/>
        </references>
      </pivotArea>
    </format>
    <format dxfId="31">
      <pivotArea dataOnly="0" labelOnly="1" grandRow="1" outline="0" fieldPosition="0"/>
    </format>
    <format dxfId="30">
      <pivotArea dataOnly="0" labelOnly="1" outline="0" fieldPosition="0">
        <references count="1">
          <reference field="4294967294" count="2">
            <x v="0"/>
            <x v="1"/>
          </reference>
        </references>
      </pivotArea>
    </format>
    <format dxfId="29">
      <pivotArea grandRow="1" outline="0" collapsedLevelsAreSubtotals="1" fieldPosition="0"/>
    </format>
    <format dxfId="28">
      <pivotArea field="4" type="button" dataOnly="0" labelOnly="1" outline="0" axis="axisRow" fieldPosition="0"/>
    </format>
    <format dxfId="2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08">
        <i x="24" s="1"/>
        <i x="19" s="1"/>
        <i x="8" s="1"/>
        <i x="21" s="1"/>
        <i x="22" s="1"/>
        <i x="12" s="1"/>
        <i x="17" s="1"/>
        <i x="2" s="1"/>
        <i x="1" s="1"/>
        <i x="3" s="1"/>
        <i x="6" s="1"/>
        <i x="16" s="1"/>
        <i x="15" s="1"/>
        <i x="13" s="1"/>
        <i x="10" s="1"/>
        <i x="32" s="1"/>
        <i x="5" s="1"/>
        <i x="4" s="1"/>
        <i x="11" s="1"/>
        <i x="7" s="1"/>
        <i x="31" s="1"/>
        <i x="25" s="1"/>
        <i x="26" s="1"/>
        <i x="14" s="1"/>
        <i x="27" s="1"/>
        <i x="29" s="1"/>
        <i x="18" s="1"/>
        <i x="33" s="1"/>
        <i x="28" s="1"/>
        <i x="23" s="1"/>
        <i x="9" s="1"/>
        <i x="20" s="1"/>
        <i x="30" s="1"/>
        <i x="362" s="1" nd="1"/>
        <i x="391" s="1" nd="1"/>
        <i x="392" s="1" nd="1"/>
        <i x="400" s="1" nd="1"/>
        <i x="390" s="1" nd="1"/>
        <i x="389" s="1" nd="1"/>
        <i x="393" s="1" nd="1"/>
        <i x="404" s="1" nd="1"/>
        <i x="396" s="1" nd="1"/>
        <i x="397" s="1" nd="1"/>
        <i x="394" s="1" nd="1"/>
        <i x="395" s="1" nd="1"/>
        <i x="405" s="1" nd="1"/>
        <i x="398" s="1" nd="1"/>
        <i x="399" s="1" nd="1"/>
        <i x="402" s="1" nd="1"/>
        <i x="403" s="1" nd="1"/>
        <i x="401" s="1" nd="1"/>
        <i x="357" s="1" nd="1"/>
        <i x="407" s="1" nd="1"/>
        <i x="356" s="1" nd="1"/>
        <i x="406" s="1" nd="1"/>
        <i x="359" s="1" nd="1"/>
        <i x="320" s="1" nd="1"/>
        <i x="358" s="1" nd="1"/>
        <i x="360" s="1" nd="1"/>
        <i x="366" s="1" nd="1"/>
        <i x="361" s="1" nd="1"/>
        <i x="363" s="1" nd="1"/>
        <i x="379" s="1" nd="1"/>
        <i x="303" s="1" nd="1"/>
        <i x="367" s="1" nd="1"/>
        <i x="308" s="1" nd="1"/>
        <i x="373" s="1" nd="1"/>
        <i x="368" s="1" nd="1"/>
        <i x="371" s="1" nd="1"/>
        <i x="376" s="1" nd="1"/>
        <i x="387" s="1" nd="1"/>
        <i x="369" s="1" nd="1"/>
        <i x="381" s="1" nd="1"/>
        <i x="384" s="1" nd="1"/>
        <i x="375" s="1" nd="1"/>
        <i x="364" s="1" nd="1"/>
        <i x="372" s="1" nd="1"/>
        <i x="365" s="1" nd="1"/>
        <i x="370" s="1" nd="1"/>
        <i x="304" s="1" nd="1"/>
        <i x="374" s="1" nd="1"/>
        <i x="380" s="1" nd="1"/>
        <i x="39" s="1" nd="1"/>
        <i x="377" s="1" nd="1"/>
        <i x="382" s="1" nd="1"/>
        <i x="378" s="1" nd="1"/>
        <i x="344" s="1" nd="1"/>
        <i x="383" s="1" nd="1"/>
        <i x="385" s="1" nd="1"/>
        <i x="306" s="1" nd="1"/>
        <i x="313" s="1" nd="1"/>
        <i x="386" s="1" nd="1"/>
        <i x="310" s="1" nd="1"/>
        <i x="311" s="1" nd="1"/>
        <i x="305" s="1" nd="1"/>
        <i x="309" s="1" nd="1"/>
        <i x="197" s="1" nd="1"/>
        <i x="307" s="1" nd="1"/>
        <i x="316" s="1" nd="1"/>
        <i x="312" s="1" nd="1"/>
        <i x="314" s="1" nd="1"/>
        <i x="317" s="1" nd="1"/>
        <i x="324" s="1" nd="1"/>
        <i x="315" s="1" nd="1"/>
        <i x="323" s="1" nd="1"/>
        <i x="328" s="1" nd="1"/>
        <i x="322" s="1" nd="1"/>
        <i x="325" s="1" nd="1"/>
        <i x="335" s="1" nd="1"/>
        <i x="321" s="1" nd="1"/>
        <i x="318" s="1" nd="1"/>
        <i x="319" s="1" nd="1"/>
        <i x="334" s="1" nd="1"/>
        <i x="193" s="1" nd="1"/>
        <i x="327" s="1" nd="1"/>
        <i x="338" s="1" nd="1"/>
        <i x="333" s="1" nd="1"/>
        <i x="326" s="1" nd="1"/>
        <i x="350" s="1" nd="1"/>
        <i x="331" s="1" nd="1"/>
        <i x="341" s="1" nd="1"/>
        <i x="339" s="1" nd="1"/>
        <i x="329" s="1" nd="1"/>
        <i x="337" s="1" nd="1"/>
        <i x="336" s="1" nd="1"/>
        <i x="332" s="1" nd="1"/>
        <i x="342" s="1" nd="1"/>
        <i x="340" s="1" nd="1"/>
        <i x="343" s="1" nd="1"/>
        <i x="330" s="1" nd="1"/>
        <i x="272" s="1" nd="1"/>
        <i x="345" s="1" nd="1"/>
        <i x="346" s="1" nd="1"/>
        <i x="231" s="1" nd="1"/>
        <i x="233" s="1" nd="1"/>
        <i x="353" s="1" nd="1"/>
        <i x="227" s="1" nd="1"/>
        <i x="273" s="1" nd="1"/>
        <i x="347" s="1" nd="1"/>
        <i x="348" s="1" nd="1"/>
        <i x="230" s="1" nd="1"/>
        <i x="355" s="1" nd="1"/>
        <i x="229" s="1" nd="1"/>
        <i x="244" s="1" nd="1"/>
        <i x="354" s="1" nd="1"/>
        <i x="349" s="1" nd="1"/>
        <i x="248" s="1" nd="1"/>
        <i x="352" s="1" nd="1"/>
        <i x="351" s="1" nd="1"/>
        <i x="269" s="1" nd="1"/>
        <i x="222" s="1" nd="1"/>
        <i x="234" s="1" nd="1"/>
        <i x="270" s="1" nd="1"/>
        <i x="268" s="1" nd="1"/>
        <i x="226" s="1" nd="1"/>
        <i x="228" s="1" nd="1"/>
        <i x="59" s="1" nd="1"/>
        <i x="232" s="1" nd="1"/>
        <i x="223" s="1" nd="1"/>
        <i x="258" s="1" nd="1"/>
        <i x="263" s="1" nd="1"/>
        <i x="224" s="1" nd="1"/>
        <i x="225" s="1" nd="1"/>
        <i x="235" s="1" nd="1"/>
        <i x="238" s="1" nd="1"/>
        <i x="245" s="1" nd="1"/>
        <i x="237" s="1" nd="1"/>
        <i x="240" s="1" nd="1"/>
        <i x="239" s="1" nd="1"/>
        <i x="281" s="1" nd="1"/>
        <i x="236" s="1" nd="1"/>
        <i x="261" s="1" nd="1"/>
        <i x="276" s="1" nd="1"/>
        <i x="241" s="1" nd="1"/>
        <i x="266" s="1" nd="1"/>
        <i x="278" s="1" nd="1"/>
        <i x="250" s="1" nd="1"/>
        <i x="290" s="1" nd="1"/>
        <i x="249" s="1" nd="1"/>
        <i x="246" s="1" nd="1"/>
        <i x="242" s="1" nd="1"/>
        <i x="243" s="1" nd="1"/>
        <i x="262" s="1" nd="1"/>
        <i x="251" s="1" nd="1"/>
        <i x="174" s="1" nd="1"/>
        <i x="252" s="1" nd="1"/>
        <i x="247" s="1" nd="1"/>
        <i x="254" s="1" nd="1"/>
        <i x="255" s="1" nd="1"/>
        <i x="283" s="1" nd="1"/>
        <i x="253" s="1" nd="1"/>
        <i x="271" s="1" nd="1"/>
        <i x="259" s="1" nd="1"/>
        <i x="256" s="1" nd="1"/>
        <i x="260" s="1" nd="1"/>
        <i x="257" s="1" nd="1"/>
        <i x="264" s="1" nd="1"/>
        <i x="54" s="1" nd="1"/>
        <i x="282" s="1" nd="1"/>
        <i x="277" s="1" nd="1"/>
        <i x="296" s="1" nd="1"/>
        <i x="265" s="1" nd="1"/>
        <i x="167" s="1" nd="1"/>
        <i x="275" s="1" nd="1"/>
        <i x="267" s="1" nd="1"/>
        <i x="291" s="1" nd="1"/>
        <i x="274" s="1" nd="1"/>
        <i x="289" s="1" nd="1"/>
        <i x="175" s="1" nd="1"/>
        <i x="280" s="1" nd="1"/>
        <i x="279" s="1" nd="1"/>
        <i x="295" s="1" nd="1"/>
        <i x="292" s="1" nd="1"/>
        <i x="186" s="1" nd="1"/>
        <i x="300" s="1" nd="1"/>
        <i x="284" s="1" nd="1"/>
        <i x="293" s="1" nd="1"/>
        <i x="298" s="1" nd="1"/>
        <i x="177" s="1" nd="1"/>
        <i x="203" s="1" nd="1"/>
        <i x="302" s="1" nd="1"/>
        <i x="299" s="1" nd="1"/>
        <i x="168" s="1" nd="1"/>
        <i x="188" s="1" nd="1"/>
        <i x="294" s="1" nd="1"/>
        <i x="170" s="1" nd="1"/>
        <i x="285" s="1" nd="1"/>
        <i x="288" s="1" nd="1"/>
        <i x="185" s="1" nd="1"/>
        <i x="297" s="1" nd="1"/>
        <i x="286" s="1" nd="1"/>
        <i x="287" s="1" nd="1"/>
        <i x="172" s="1" nd="1"/>
        <i x="190" s="1" nd="1"/>
        <i x="191" s="1" nd="1"/>
        <i x="204" s="1" nd="1"/>
        <i x="301" s="1" nd="1"/>
        <i x="166" s="1" nd="1"/>
        <i x="189" s="1" nd="1"/>
        <i x="182" s="1" nd="1"/>
        <i x="169" s="1" nd="1"/>
        <i x="173" s="1" nd="1"/>
        <i x="179" s="1" nd="1"/>
        <i x="171" s="1" nd="1"/>
        <i x="195" s="1" nd="1"/>
        <i x="199" s="1" nd="1"/>
        <i x="200" s="1" nd="1"/>
        <i x="192" s="1" nd="1"/>
        <i x="176" s="1" nd="1"/>
        <i x="38" s="1" nd="1"/>
        <i x="178" s="1" nd="1"/>
        <i x="180" s="1" nd="1"/>
        <i x="183" s="1" nd="1"/>
        <i x="196" s="1" nd="1"/>
        <i x="181" s="1" nd="1"/>
        <i x="202" s="1" nd="1"/>
        <i x="134" s="1" nd="1"/>
        <i x="113" s="1" nd="1"/>
        <i x="217" s="1" nd="1"/>
        <i x="184" s="1" nd="1"/>
        <i x="205" s="1" nd="1"/>
        <i x="201" s="1" nd="1"/>
        <i x="187" s="1" nd="1"/>
        <i x="209" s="1" nd="1"/>
        <i x="145" s="1" nd="1"/>
        <i x="108" s="1" nd="1"/>
        <i x="194" s="1" nd="1"/>
        <i x="218" s="1" nd="1"/>
        <i x="198" s="1" nd="1"/>
        <i x="221" s="1" nd="1"/>
        <i x="208" s="1" nd="1"/>
        <i x="213" s="1" nd="1"/>
        <i x="90" s="1" nd="1"/>
        <i x="210" s="1" nd="1"/>
        <i x="212" s="1" nd="1"/>
        <i x="130" s="1" nd="1"/>
        <i x="98" s="1" nd="1"/>
        <i x="207" s="1" nd="1"/>
        <i x="95" s="1" nd="1"/>
        <i x="206" s="1" nd="1"/>
        <i x="107" s="1" nd="1"/>
        <i x="91" s="1" nd="1"/>
        <i x="89" s="1" nd="1"/>
        <i x="211" s="1" nd="1"/>
        <i x="105" s="1" nd="1"/>
        <i x="99" s="1" nd="1"/>
        <i x="110" s="1" nd="1"/>
        <i x="127" s="1" nd="1"/>
        <i x="104" s="1" nd="1"/>
        <i x="115" s="1" nd="1"/>
        <i x="109" s="1" nd="1"/>
        <i x="106" s="1" nd="1"/>
        <i x="219" s="1" nd="1"/>
        <i x="163" s="1" nd="1"/>
        <i x="117" s="1" nd="1"/>
        <i x="118" s="1" nd="1"/>
        <i x="215" s="1" nd="1"/>
        <i x="214" s="1" nd="1"/>
        <i x="92" s="1" nd="1"/>
        <i x="94" s="1" nd="1"/>
        <i x="125" s="1" nd="1"/>
        <i x="101" s="1" nd="1"/>
        <i x="220" s="1" nd="1"/>
        <i x="159" s="1" nd="1"/>
        <i x="150" s="1" nd="1"/>
        <i x="138" s="1" nd="1"/>
        <i x="112" s="1" nd="1"/>
        <i x="97" s="1" nd="1"/>
        <i x="128" s="1" nd="1"/>
        <i x="147" s="1" nd="1"/>
        <i x="139" s="1" nd="1"/>
        <i x="135" s="1" nd="1"/>
        <i x="103" s="1" nd="1"/>
        <i x="123" s="1" nd="1"/>
        <i x="122" s="1" nd="1"/>
        <i x="137" s="1" nd="1"/>
        <i x="124" s="1" nd="1"/>
        <i x="216" s="1" nd="1"/>
        <i x="100" s="1" nd="1"/>
        <i x="96" s="1" nd="1"/>
        <i x="126" s="1" nd="1"/>
        <i x="93" s="1" nd="1"/>
        <i x="131" s="1" nd="1"/>
        <i x="132" s="1" nd="1"/>
        <i x="136" s="1" nd="1"/>
        <i x="37" s="1" nd="1"/>
        <i x="116" s="1" nd="1"/>
        <i x="111" s="1" nd="1"/>
        <i x="144" s="1" nd="1"/>
        <i x="143" s="1" nd="1"/>
        <i x="148" s="1" nd="1"/>
        <i x="102" s="1" nd="1"/>
        <i x="146" s="1" nd="1"/>
        <i x="133" s="1" nd="1"/>
        <i x="36" s="1" nd="1"/>
        <i x="114" s="1" nd="1"/>
        <i x="119" s="1" nd="1"/>
        <i x="120" s="1" nd="1"/>
        <i x="129" s="1" nd="1"/>
        <i x="121" s="1" nd="1"/>
        <i x="140" s="1" nd="1"/>
        <i x="55" s="1" nd="1"/>
        <i x="151" s="1" nd="1"/>
        <i x="141" s="1" nd="1"/>
        <i x="157" s="1" nd="1"/>
        <i x="154" s="1" nd="1"/>
        <i x="152" s="1" nd="1"/>
        <i x="49" s="1" nd="1"/>
        <i x="48" s="1" nd="1"/>
        <i x="164" s="1" nd="1"/>
        <i x="35" s="1" nd="1"/>
        <i x="47" s="1" nd="1"/>
        <i x="158" s="1" nd="1"/>
        <i x="165" s="1" nd="1"/>
        <i x="40" s="1" nd="1"/>
        <i x="160" s="1" nd="1"/>
        <i x="161" s="1" nd="1"/>
        <i x="142" s="1" nd="1"/>
        <i x="155" s="1" nd="1"/>
        <i x="162" s="1" nd="1"/>
        <i x="153" s="1" nd="1"/>
        <i x="73" s="1" nd="1"/>
        <i x="156" s="1" nd="1"/>
        <i x="34" s="1" nd="1"/>
        <i x="43" s="1" nd="1"/>
        <i x="42" s="1" nd="1"/>
        <i x="149" s="1" nd="1"/>
        <i x="68" s="1" nd="1"/>
        <i x="46" s="1" nd="1"/>
        <i x="44" s="1" nd="1"/>
        <i x="51" s="1" nd="1"/>
        <i x="52" s="1" nd="1"/>
        <i x="50" s="1" nd="1"/>
        <i x="45" s="1" nd="1"/>
        <i x="41" s="1" nd="1"/>
        <i x="60" s="1" nd="1"/>
        <i x="70" s="1" nd="1"/>
        <i x="58" s="1" nd="1"/>
        <i x="53" s="1" nd="1"/>
        <i x="74" s="1" nd="1"/>
        <i x="57" s="1" nd="1"/>
        <i x="69" s="1" nd="1"/>
        <i x="71" s="1" nd="1"/>
        <i x="56" s="1" nd="1"/>
        <i x="61" s="1" nd="1"/>
        <i x="72" s="1" nd="1"/>
        <i x="64" s="1" nd="1"/>
        <i x="62" s="1" nd="1"/>
        <i x="63" s="1" nd="1"/>
        <i x="67" s="1" nd="1"/>
        <i x="65" s="1" nd="1"/>
        <i x="66" s="1" nd="1"/>
        <i x="76" s="1" nd="1"/>
        <i x="75" s="1" nd="1"/>
        <i x="85" s="1" nd="1"/>
        <i x="84" s="1" nd="1"/>
        <i x="83" s="1" nd="1"/>
        <i x="88" s="1" nd="1"/>
        <i x="81" s="1" nd="1"/>
        <i x="87" s="1" nd="1"/>
        <i x="77" s="1" nd="1"/>
        <i x="78" s="1" nd="1"/>
        <i x="79" s="1" nd="1"/>
        <i x="80" s="1" nd="1"/>
        <i x="82" s="1" nd="1"/>
        <i x="86" s="1" nd="1"/>
        <i x="38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8" totalsRowCount="1" headerRowDxfId="108" dataDxfId="107" headerRowCellStyle="Comma" dataCellStyle="Comma">
  <autoFilter ref="A1:K117"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90" totalsRowDxfId="89"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13" totalsRowDxfId="6"/>
    <tableColumn id="2" xr3:uid="{CFB51890-CCDC-463C-81C9-3F8BD7469CB9}" name="Party Name"/>
    <tableColumn id="3" xr3:uid="{A113D971-1C9D-4733-99C4-BD0CC4333209}" name="Vehicle Number"/>
    <tableColumn id="4" xr3:uid="{49780304-3DD1-4AE9-98EE-2BC7EB8F3B57}" name="Weight" dataDxfId="12" totalsRowDxfId="5" dataCellStyle="Comma"/>
    <tableColumn id="5" xr3:uid="{FCAF1BC6-1D8C-42AD-8BBC-F924BF2DC7FE}" name="Rate" dataDxfId="11" totalsRowDxfId="4" dataCellStyle="Comma"/>
    <tableColumn id="6" xr3:uid="{8C70A624-4134-410C-9C45-9FDEB51D51BF}" name="Rent" dataDxfId="10" totalsRowDxfId="3" dataCellStyle="Comma"/>
    <tableColumn id="7" xr3:uid="{EBCE10AE-9634-4982-9C95-37ABC8A7078C}" name="Total" totalsRowFunction="sum" dataDxfId="9" totalsRowDxfId="2" dataCellStyle="Comma">
      <calculatedColumnFormula>D2*E2</calculatedColumnFormula>
    </tableColumn>
    <tableColumn id="9" xr3:uid="{D4788559-C94A-44D9-B9AE-E72B214355AC}" name="Paid" totalsRowFunction="sum" dataDxfId="8" totalsRowDxfId="1" dataCellStyle="Comma"/>
    <tableColumn id="8" xr3:uid="{E26F5BF0-1875-4FC6-994D-49F202ED562B}" name="balance" totalsRowFunction="sum" dataDxfId="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8" totalsRowCount="1">
  <autoFilter ref="A1:G147" xr:uid="{CB032221-B416-47A8-9A76-693DE76CFD04}"/>
  <tableColumns count="7">
    <tableColumn id="1" xr3:uid="{554B1EED-65B6-4E9A-B646-82727FAC40DE}" name="Date" dataDxfId="82" totalsRowDxfId="81"/>
    <tableColumn id="2" xr3:uid="{32259059-42CF-4947-83DE-115AA430BE2B}" name="Party"/>
    <tableColumn id="3" xr3:uid="{A1320223-D55D-483C-91C3-AB19B95CC9D8}" name="Debit" totalsRowFunction="sum" dataDxfId="80" totalsRowDxfId="79" dataCellStyle="Comma"/>
    <tableColumn id="4" xr3:uid="{E9745767-9FF0-4B1C-9052-FF335D1D7588}" name="Credit" totalsRowFunction="sum" dataDxfId="78" totalsRowDxfId="77" dataCellStyle="Comma"/>
    <tableColumn id="5" xr3:uid="{5C88A48E-2467-4E6D-B626-2442B7FD0BE4}" name="Description"/>
    <tableColumn id="6" xr3:uid="{63CA4666-144E-4BE6-8B7C-7CB992BD3041}" name="Mode" totalsRowFunction="custom" dataDxfId="76" totalsRowDxfId="7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4" tableBorderDxfId="73" totalsRowBorderDxfId="72">
  <autoFilter ref="J3:K6" xr:uid="{DCE01694-23ED-48BF-8B92-4186B9ED10A8}"/>
  <tableColumns count="2">
    <tableColumn id="1" xr3:uid="{C8484DAF-2989-4C2F-9AEC-A6917E1C57F6}" name="Type" dataDxfId="71"/>
    <tableColumn id="2" xr3:uid="{B07B7A2A-4D4E-4654-BED6-FE2F0A7BEC34}" name="Amount" dataDxfId="7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9" headerRowBorderDxfId="68" tableBorderDxfId="67" totalsRowBorderDxfId="66">
  <autoFilter ref="M3:O6" xr:uid="{D166BDD1-ACD7-45D7-8AE9-7350373F8CEB}"/>
  <tableColumns count="3">
    <tableColumn id="1" xr3:uid="{64F0205E-DEA7-4571-BA86-E4374A5FEE28}" name="Type" totalsRowLabel="Total" dataDxfId="65" totalsRowDxfId="64"/>
    <tableColumn id="2" xr3:uid="{15FA05F9-789C-4459-9BE0-5C1EC84D3365}" name="amount" totalsRowFunction="custom" dataDxfId="63" totalsRowDxfId="62">
      <totalsRowFormula>SUM(N5:N6)</totalsRowFormula>
    </tableColumn>
    <tableColumn id="3" xr3:uid="{3681D409-90C6-44D0-BDE2-4B5943A516F0}" name="Actual" totalsRowFunction="custom" totalsRowDxfId="6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0" totalsRowDxfId="59"/>
    <tableColumn id="2" xr3:uid="{5B9D0FEE-4304-4C5C-A05C-5B27CF7841D3}" name="Type"/>
    <tableColumn id="3" xr3:uid="{6A91CA0D-C802-4C6F-9F39-CA53687E8EDE}" name="Description"/>
    <tableColumn id="4" xr3:uid="{A251D40C-AB87-4BB4-85F8-444B20E32FDF}" name="Total" totalsRowFunction="custom" dataDxfId="58" totalsRowDxfId="5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56" headerRowBorderDxfId="55">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4"/>
    <tableColumn id="4" xr3:uid="{1889A312-9B41-4EC4-BD8F-05252F27084A}" name="Price" totalsRowFunction="sum"/>
    <tableColumn id="6" xr3:uid="{8B974B20-F003-4E67-8660-024FA4F324A9}" name="Party"/>
    <tableColumn id="7" xr3:uid="{0A5A5C21-FD61-47DA-9F54-66A6479FA557}" name="Paid" dataDxfId="53">
      <calculatedColumnFormula>SUMIFS(Table14[Debit], Table14[Date], Table8[[#This Row],[Date]], Table14[Party], Table8[[#This Row],[Party]])</calculatedColumnFormula>
    </tableColumn>
    <tableColumn id="8" xr3:uid="{8DCB3B43-2161-4081-82EC-CDB0F4DE4E6F}" name="Balance" totalsRowFunction="sum" dataDxfId="5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6" totalsRowCount="1" headerRowDxfId="51" headerRowBorderDxfId="50">
  <autoFilter ref="A4:H15" xr:uid="{A4C80688-A8BA-4BA7-90B4-791CD99446B4}"/>
  <sortState xmlns:xlrd2="http://schemas.microsoft.com/office/spreadsheetml/2017/richdata2" ref="A5:H6">
    <sortCondition ref="A4:A6"/>
  </sortState>
  <tableColumns count="8">
    <tableColumn id="1" xr3:uid="{4A818912-918E-4111-ACFC-BC93FEF7C1AD}" name="Date" dataDxfId="49" totalsRowDxfId="48"/>
    <tableColumn id="8" xr3:uid="{477ACFD5-62AF-4F69-974B-E9B974C11D7D}" name="Party Name" dataDxfId="4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6">
      <calculatedColumnFormula>Table2[[#This Row],[Quantity]]*200*Table2[[#This Row],[Boxes]]</calculatedColumnFormula>
    </tableColumn>
    <tableColumn id="6" xr3:uid="{30432929-CBD4-4BA8-B63F-CD0F6CF6405F}" name="Paid" totalsRowFunction="sum" dataDxfId="45">
      <calculatedColumnFormula>SUMIFS(Table14[Debit], Table14[Date], Table2[[#This Row],[Date]], Table14[Party], Table2[[#This Row],[Party Name]])</calculatedColumnFormula>
    </tableColumn>
    <tableColumn id="7" xr3:uid="{BB689DF2-5D1E-436D-84C4-9745D88E8F3D}" name="Balance" totalsRowFunction="sum" dataDxfId="4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3" totalsRowDxfId="4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1" totalsRowDxfId="40"/>
    <tableColumn id="2" xr3:uid="{053BFC14-4828-417C-9F9F-95B6E232A945}" name="Amount" totalsRowFunction="custom" dataDxfId="39" totalsRowDxfId="3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7" totalsRowDxfId="3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6" totalsRowDxfId="2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4" totalsRowDxfId="2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2">
      <calculatedColumnFormula>Billing!Q5</calculatedColumnFormula>
    </tableColumn>
    <tableColumn id="2" xr3:uid="{7093A59E-B58F-487D-888A-9AA8156B5F9A}" name="Amount Paid" dataDxfId="2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0"/>
    <tableColumn id="2" xr3:uid="{F72CFEEB-BA11-4A49-BD19-88592EB6A27C}" name="Credit" dataDxfId="1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T11" zoomScale="109" zoomScaleNormal="80" workbookViewId="0">
      <selection activeCell="Z36" sqref="Z3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209744.87929773229</v>
      </c>
      <c r="D2">
        <v>10</v>
      </c>
      <c r="E2" s="14">
        <f>(SUMIFS(ledger!G:G, ledger!B:B, B2, ledger!E:E, "&lt;&gt;*RD*",ledger!D:D, "Silky") / 1.0936)*12 + (SUMIFS(ledger!G:G, ledger!B:B, B2, ledger!E:E, "&lt;&gt;*RD*",ledger!D:D, "Chamki") / 1.0936)*10</f>
        <v>2229310.5340160937</v>
      </c>
      <c r="I2" t="s">
        <v>21</v>
      </c>
      <c r="Q2" t="s">
        <v>1</v>
      </c>
    </row>
    <row r="3" spans="2:33" x14ac:dyDescent="0.3">
      <c r="B3" t="str">
        <f t="shared" si="0"/>
        <v>Ejaz Sahab</v>
      </c>
      <c r="C3" s="18">
        <f>SUMIFS(ledger!G:G, ledger!B:B, B3, ledger!E:E, "&lt;&gt;*RD*") / 1.0936</f>
        <v>19617.776152158011</v>
      </c>
      <c r="D3">
        <v>10</v>
      </c>
      <c r="E3" s="14">
        <f>(SUMIFS(ledger!G:G, ledger!B:B, B3, ledger!E:E, "&lt;&gt;*RD*",ledger!D:D, "Silky") / 1.0936)*12 + (SUMIFS(ledger!G:G, ledger!B:B, B3, ledger!E:E, "&lt;&gt;*RD*",ledger!D:D, "Chamki") / 1.0936)*10</f>
        <v>235413.31382589613</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3343949.8824</v>
      </c>
      <c r="S5" s="22" cm="1">
        <f t="array" ref="S5">_xlfn.BYROW(B49, _xlfn.LAMBDA(_xlpm.party, SUMIFS(ledger!G:G, ledger!B:B, _xlpm.party, ledger!E:E, "&lt;&gt;*RD*") / 1.0936 ))+_xlfn.IFNA(D84,0)</f>
        <v>3057744.954645209</v>
      </c>
      <c r="T5" s="22" cm="1">
        <f t="array" ref="T5">(_xlfn.BYROW(B49,_xlfn.LAMBDA(_xlpm.party,SUMIFS(ledger!G:G,ledger!B:B,_xlpm.party,ledger!E:E,"&lt;&gt;*RD*",ledger!D:D,"Chamki")+SUMIFS(ledger!G:G, ledger!B:B, _xlpm.party, ledger!E:E, "&lt;&gt;*RD*", ledger!D:D, "Crinkle")))/1.0936)+_xlfn.IFNA(E84,0)</f>
        <v>2611880.8361375276</v>
      </c>
      <c r="U5" s="70" cm="1">
        <f t="array" ref="U5">(_xlfn.BYROW(B49,_xlfn.LAMBDA(_xlpm.party,SUMIFS(ledger!G:G,ledger!B:B,_xlpm.party,ledger!E:E,"&lt;&gt;*RD*",ledger!D:D,"Silky")))/1.0936)+_xlfn.IFNA(F84,0)</f>
        <v>445864.11850768107</v>
      </c>
      <c r="V5" s="22" cm="1">
        <f t="array" ref="V5">(_xlfn.BYROW(B49,_xlfn.LAMBDA(_xlpm.party,
(SUMIFS(ledger!J:J,ledger!B:B,_xlpm.party,ledger!E:E,"&lt;&gt;*RD*",ledger!D:D,"Chamki",ledger!C:C,"&lt;&gt;December Closing CF")+
SUMIFS(ledger!J:J,ledger!B:B,_xlpm.party,ledger!E:E,"&lt;&gt;*RD*",ledger!D:D,"Crinkle",ledger!C:C,"&lt;&gt;December Closing CF")
)+_xlfn.IFNA(G84,0))))</f>
        <v>26118808.36137528</v>
      </c>
      <c r="W5" s="70" cm="1">
        <f t="array" ref="W5">_xlfn.BYROW(B49, _xlfn.LAMBDA(_xlpm.party,
   SUMIFS(ledger!J:J, ledger!B:B, _xlpm.party, ledger!E:E, "&lt;&gt;*RD*", ledger!D:D, "Silky", ledger!C:C, "&lt;&gt;December Closing CF")
)) + _xlfn.IFNA(H84, 0)</f>
        <v>5707877.6517922468</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0</v>
      </c>
      <c r="AB5" s="70" cm="1">
        <f t="array" ref="AB5">_xlfn.BYROW(B49, _xlfn.LAMBDA(_xlpm.party,
   SUMIFS(ledger!J:J, ledger!B:B, _xlpm.party, ledger!E:E, "&lt;&gt;*RD*", ledger!D:D, "Munaar", ledger!C:C, "&lt;&gt;December Closing CF")
))+ _xlfn.IFNA(M84, 0)</f>
        <v>0</v>
      </c>
      <c r="AC5" s="39">
        <f>V5+W5+X5+Y5+Z5+AA5+AB5</f>
        <v>31826686.013167527</v>
      </c>
      <c r="AD5" s="22">
        <f>(SUMIF(Table14[Party],Q5,Table14[Credit]))+_xlfn.IFNA(O84,0)</f>
        <v>19750734</v>
      </c>
      <c r="AE5" s="33">
        <f>AC5-AD5</f>
        <v>12075952.013167527</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500863</v>
      </c>
      <c r="S6" s="22" cm="1">
        <f t="array" ref="S6">_xlfn.BYROW(B50, _xlfn.LAMBDA(_xlpm.party, SUMIFS(ledger!G:G, ledger!B:B, _xlpm.party, ledger!E:E, "&lt;&gt;*RD*") / 1.0936 ))+_xlfn.IFNA(D85,0)</f>
        <v>457994.69641550852</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309849.12216532556</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3968894.4769568401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5450350.2194586694</v>
      </c>
      <c r="AD6" s="22">
        <f>(SUMIF(Table14[Party],Q6,Table14[Credit]))+_xlfn.IFNA(O85,0)</f>
        <v>5510319</v>
      </c>
      <c r="AE6" s="33">
        <f t="shared" ref="AE6:AE35" si="2">AC6-AD6</f>
        <v>-59968.780541330576</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7835501</v>
      </c>
      <c r="AE7" s="33">
        <f t="shared" si="2"/>
        <v>253259.0585223129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19516.276517922459</v>
      </c>
      <c r="E12" s="14">
        <f>(SUMIFS(ledger!G:G, ledger!B:B, B12, ledger!E:E, "&lt;&gt;*RD*",ledger!D:D, "Silky") / 1.0936)*12 + (SUMIFS(ledger!G:G, ledger!B:B, B12, ledger!E:E, "&lt;&gt;*RD*",ledger!D:D, "Chamki") / 1.0936)*10</f>
        <v>195162.7651792246</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336267</v>
      </c>
      <c r="S15" s="22" cm="1">
        <f t="array" ref="S15">_xlfn.BYROW(B59, _xlfn.LAMBDA(_xlpm.party, SUMIFS(ledger!G:G, ledger!B:B, _xlpm.party, ledger!E:E, "&lt;&gt;*RD*") / 1.0936 ))+_xlfn.IFNA(D94,0)</f>
        <v>307486.28383321146</v>
      </c>
      <c r="T15" s="22" cm="1">
        <f t="array" ref="T15">(_xlfn.BYROW(B59,_xlfn.LAMBDA(_xlpm.party,SUMIFS(ledger!G:G,ledger!B:B,_xlpm.party,ledger!E:E,"&lt;&gt;*RD*",ledger!D:D,"Chamki")+SUMIFS(ledger!G:G, ledger!B:B, _xlpm.party, ledger!E:E, "&lt;&gt;*RD*", ledger!D:D, "Crinkle")))/1.0936)+_xlfn.IFNA(E94,0)</f>
        <v>307486.28383321146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3074862.8383321147</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3074862.8383321147</v>
      </c>
      <c r="AD15" s="22">
        <f>(SUMIF(Table14[Party],Q15,Table14[Credit]))+_xlfn.IFNA(O94,0)</f>
        <v>2869679</v>
      </c>
      <c r="AE15" s="33">
        <f t="shared" si="2"/>
        <v>205183.83833211474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7803050.4754937822</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7803050.4754937822</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322106</v>
      </c>
      <c r="S24" s="22" cm="1">
        <f t="array" ref="S24">_xlfn.BYROW(B68, _xlfn.LAMBDA(_xlpm.party, SUMIFS(ledger!G:G, ledger!B:B, _xlpm.party, ledger!E:E, "&lt;&gt;*RD*") / 1.0936 ))+_xlfn.IFNA(D103,0)</f>
        <v>294537.30797366501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526161.30212143378</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3066542.611558157</v>
      </c>
      <c r="AD24" s="22">
        <f>(SUMIF(Table14[Party],Q24,Table14[Credit]))+_xlfn.IFNA(O103,0)</f>
        <v>2956025</v>
      </c>
      <c r="AE24" s="33">
        <f t="shared" si="2"/>
        <v>110517.61155815702</v>
      </c>
      <c r="AF24" s="21">
        <v>10</v>
      </c>
      <c r="AG24" s="21">
        <v>13</v>
      </c>
    </row>
    <row r="25" spans="2:33" x14ac:dyDescent="0.3">
      <c r="I25" t="s">
        <v>197</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2389648.8661302123</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2936559.985369422</v>
      </c>
      <c r="AD25" s="22">
        <f>(SUMIF(Table14[Party],Q25,Table14[Credit]))+_xlfn.IFNA(O104,0)</f>
        <v>2886197</v>
      </c>
      <c r="AE25" s="33">
        <f t="shared" si="2"/>
        <v>50362.985369422007</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792945.31821506959</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0</v>
      </c>
      <c r="AE31" s="33">
        <f t="shared" si="2"/>
        <v>595924.46964155091</v>
      </c>
      <c r="AF31" s="21">
        <v>10</v>
      </c>
      <c r="AG31" s="21">
        <v>13</v>
      </c>
    </row>
    <row r="32" spans="2:33" x14ac:dyDescent="0.3">
      <c r="Q32" t="str">
        <v>Shani Badshah</v>
      </c>
      <c r="R32" s="22" cm="1">
        <f t="array" ref="R32">_xlfn.BYROW(B76,_xlfn.LAMBDA(_xlpm.party,SUMIFS(ledger!G:G,ledger!B:B,_xlpm.party,ledger!E:E,"&lt;&gt;*RD*")))+_xlfn.IFNA(C111,0)</f>
        <v>16261</v>
      </c>
      <c r="S32" s="22" cm="1">
        <f t="array" ref="S32">_xlfn.BYROW(B76, _xlfn.LAMBDA(_xlpm.party, SUMIFS(ledger!G:G, ledger!B:B, _xlpm.party, ledger!E:E, "&lt;&gt;*RD*") / 1.0936 ))+_xlfn.IFNA(D111,0)</f>
        <v>14869.239209948793</v>
      </c>
      <c r="T32" s="22" cm="1">
        <f t="array" ref="T32">(_xlfn.BYROW(B76,_xlfn.LAMBDA(_xlpm.party,SUMIFS(ledger!G:G,ledger!B:B,_xlpm.party,ledger!E:E,"&lt;&gt;*RD*",ledger!D:D,"Chamki")+SUMIFS(ledger!G:G, ledger!B:B, _xlpm.party, ledger!E:E, "&lt;&gt;*RD*", ledger!D:D, "Crinkle")))/1.0936)+_xlfn.IFNA(E111,0)</f>
        <v>14869.239209948793</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148692.39209948794</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148692.39209948794</v>
      </c>
      <c r="AD32" s="22">
        <f>(SUMIF(Table14[Party],Q32,Table14[Credit]))+_xlfn.IFNA(O111,0)</f>
        <v>0</v>
      </c>
      <c r="AE32" s="33">
        <f t="shared" si="2"/>
        <v>148692.39209948794</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229377</v>
      </c>
      <c r="D49" s="22" cm="1">
        <f t="array" ref="D49:D76">_xlfn.BYROW(_xlfn.ANCHORARRAY(B49), _xlfn.LAMBDA(_xlpm.party, SUMIFS(ledger!G:G, ledger!B:B, _xlpm.party, ledger!E:E, "&lt;&gt;*RD*") / 1.0936 ))</f>
        <v>209744.87929773229</v>
      </c>
      <c r="E49" s="63" cm="1">
        <f t="array" ref="E49:E76">(_xlfn.BYROW(_xlfn.ANCHORARRAY(B49),_xlfn.LAMBDA(_xlpm.party,SUMIFS(ledger!G:G,ledger!B:B,_xlpm.party,ledger!E:E,"&lt;&gt;*RD*",ledger!D:D,"Chamki")+SUMIFS(ledger!G:G, ledger!B:B, _xlpm.party, ledger!E:E, "&lt;&gt;*RD*", ledger!D:D, "Crinkle")))/1.0936)</f>
        <v>143814.00877834676</v>
      </c>
      <c r="F49" s="63" cm="1">
        <f t="array" ref="F49:F76">(_xlfn.BYROW(_xlfn.ANCHORARRAY(B49),_xlfn.LAMBDA(_xlpm.party,SUMIFS(ledger!G:G,ledger!B:B,_xlpm.party,ledger!E:E,"&lt;&gt;*RD*",ledger!D:D,"Silky")))/1.0936)</f>
        <v>65930.870519385528</v>
      </c>
      <c r="G49" s="22" cm="1">
        <f t="array" ref="G49">(_xlfn.BYROW(B49,_xlfn.LAMBDA(_xlpm.party,
(SUMIFS(ledger!J:J,ledger!B:B,_xlpm.party,ledger!E:E,"&lt;&gt;*RD*",ledger!D:D,"Chamki",ledger!C:C,"&lt;&gt;December Closing CF")+
SUMIFS(ledger!J:J,ledger!B:B,_xlpm.party,ledger!E:E,"&lt;&gt;*RD*",ledger!D:D,"Crinkle",ledger!C:C,"&lt;&gt;December Closing CF")
))))</f>
        <v>1438140.0877834677</v>
      </c>
      <c r="H49" s="22" cm="1">
        <f t="array" ref="H49">_xlfn.BYROW(B49, _xlfn.LAMBDA(_xlpm.party,
   SUMIFS(ledger!J:J, ledger!B:B, _xlpm.party, ledger!E:E, "&lt;&gt;*RD*", ledger!D:D, "Silky", ledger!C:C, "&lt;&gt;December Closing CF")
))</f>
        <v>857101.31675201177</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0</v>
      </c>
      <c r="M49" s="70" cm="1">
        <f t="array" ref="M49">_xlfn.BYROW(B49, _xlfn.LAMBDA(_xlpm.party,
   SUMIFS(ledger!J:J, ledger!B:B, _xlpm.party, ledger!E:E, "&lt;&gt;*RD*", ledger!D:D, "Munaar", ledger!C:C, "&lt;&gt;December Closing CF")
))</f>
        <v>0</v>
      </c>
      <c r="N49" s="39">
        <f>SUM(G49:M49)</f>
        <v>2295241.4045354794</v>
      </c>
      <c r="O49" s="22">
        <f>(SUMIF(Table14[Party],B49,Table14[Credit]))</f>
        <v>0</v>
      </c>
      <c r="P49" s="37">
        <f>N49-O49</f>
        <v>2295241.4045354794</v>
      </c>
      <c r="Q49" s="21">
        <v>10</v>
      </c>
      <c r="R49" s="21">
        <v>12</v>
      </c>
    </row>
    <row r="50" spans="1:23" x14ac:dyDescent="0.3">
      <c r="B50" s="24" t="str">
        <v>Ejaz Sahab</v>
      </c>
      <c r="C50" s="22">
        <v>21454</v>
      </c>
      <c r="D50" s="22">
        <v>19617.776152158011</v>
      </c>
      <c r="E50" s="63">
        <v>0</v>
      </c>
      <c r="F50" s="63">
        <v>19617.776152158011</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255031.08997805417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255031.08997805417</v>
      </c>
      <c r="O50" s="22">
        <f>(SUMIF(Table14[Party],B50,Table14[Credit]))</f>
        <v>315000</v>
      </c>
      <c r="P50" s="37">
        <f t="shared" ref="P50:P75" si="5">N50-O50</f>
        <v>-59968.910021945834</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0</v>
      </c>
      <c r="P51" s="37">
        <f t="shared" si="5"/>
        <v>192574.98171177763</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209744.87929773229</v>
      </c>
      <c r="W58" s="18">
        <v>2229310.5340160937</v>
      </c>
    </row>
    <row r="59" spans="1:23" x14ac:dyDescent="0.3">
      <c r="B59" s="24" t="str">
        <v>Hafiz Qureshi</v>
      </c>
      <c r="C59" s="22">
        <v>21343</v>
      </c>
      <c r="D59" s="22">
        <v>19516.276517922459</v>
      </c>
      <c r="E59" s="63">
        <v>19516.276517922459</v>
      </c>
      <c r="F59" s="63">
        <v>0</v>
      </c>
      <c r="G59" s="22" cm="1">
        <f t="array" ref="G59">(_xlfn.BYROW(B59,_xlfn.LAMBDA(_xlpm.party,
(SUMIFS(ledger!J:J,ledger!B:B,_xlpm.party,ledger!E:E,"&lt;&gt;*RD*",ledger!D:D,"Chamki",ledger!C:C,"&lt;&gt;December Closing CF")+
SUMIFS(ledger!J:J,ledger!B:B,_xlpm.party,ledger!E:E,"&lt;&gt;*RD*",ledger!D:D,"Crinkle",ledger!C:C,"&lt;&gt;December Closing CF")
))))</f>
        <v>195162.7651792246</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195162.7651792246</v>
      </c>
      <c r="O59" s="22">
        <f>(SUMIF(Table14[Party],B59,Table14[Credit]))</f>
        <v>0</v>
      </c>
      <c r="P59" s="37">
        <f t="shared" si="5"/>
        <v>195162.7651792246</v>
      </c>
      <c r="Q59" s="21">
        <v>10</v>
      </c>
      <c r="R59" s="21">
        <v>12</v>
      </c>
      <c r="U59" s="4" t="s">
        <v>22</v>
      </c>
      <c r="V59" s="5">
        <v>19617.776152158011</v>
      </c>
      <c r="W59" s="18">
        <v>235413.31382589613</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0</v>
      </c>
      <c r="P65" s="37">
        <f t="shared" si="5"/>
        <v>0</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46450</v>
      </c>
      <c r="D68" s="22">
        <v>42474.396488661303</v>
      </c>
      <c r="E68" s="63">
        <v>0</v>
      </c>
      <c r="F68" s="63">
        <v>0</v>
      </c>
      <c r="G68" s="22" cm="1">
        <f t="array" ref="G68">(_xlfn.BYROW(B68,_xlfn.LAMBDA(_xlpm.party,
(SUMIFS(ledger!J:J,ledger!B:B,_xlpm.party,ledger!E:E,"&lt;&gt;*RD*",ledger!D:D,"Chamki",ledger!C:C,"&lt;&gt;December Closing CF")+
SUMIFS(ledger!J:J,ledger!B:B,_xlpm.party,ledger!E:E,"&lt;&gt;*RD*",ledger!D:D,"Crinkle",ledger!C:C,"&lt;&gt;December Closing CF")
))))</f>
        <v>0</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424743.96488661307</v>
      </c>
      <c r="O68" s="22">
        <f>(SUMIF(Table14[Party],B68,Table14[Credit]))</f>
        <v>810000</v>
      </c>
      <c r="P68" s="37">
        <f t="shared" si="5"/>
        <v>-385256.03511338693</v>
      </c>
      <c r="Q68" s="21">
        <v>10</v>
      </c>
      <c r="R68" s="21">
        <v>12</v>
      </c>
      <c r="U68" s="4" t="s">
        <v>27</v>
      </c>
      <c r="V68" s="5">
        <v>19516.276517922459</v>
      </c>
      <c r="W68" s="18">
        <v>195162.7651792246</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(SUMIFS(ledger!J:J,ledger!B:B,_xlpm.party,ledger!E:E,"&lt;&gt;*RD*",ledger!D:D,"Chamki",ledger!C:C,"&lt;&gt;December Closing CF")+
SUMIFS(ledger!J:J,ledger!B:B,_xlpm.party,ledger!E:E,"&lt;&gt;*RD*",ledger!D:D,"Crinkle",ledger!C:C,"&lt;&gt;December Closing CF")
))))</f>
        <v>0</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0</v>
      </c>
      <c r="O69" s="22">
        <f>(SUMIF(Table14[Party],B69,Table14[Credit]))</f>
        <v>124302</v>
      </c>
      <c r="P69" s="37">
        <f t="shared" si="5"/>
        <v>-124302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0</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0</v>
      </c>
      <c r="P75" s="37">
        <f t="shared" si="5"/>
        <v>595924.46964155091</v>
      </c>
      <c r="U75" s="4" t="s">
        <v>28</v>
      </c>
      <c r="V75" s="14">
        <v>571370.70226773969</v>
      </c>
      <c r="W75" s="14">
        <v>6053403.4381858092</v>
      </c>
    </row>
    <row r="76" spans="2:23" x14ac:dyDescent="0.3">
      <c r="B76" t="str">
        <v>Shani Badshah</v>
      </c>
      <c r="C76">
        <v>16261</v>
      </c>
      <c r="D76">
        <v>14869.239209948793</v>
      </c>
      <c r="E76">
        <v>14869.239209948793</v>
      </c>
      <c r="F76">
        <v>0</v>
      </c>
      <c r="G76" s="22" cm="1">
        <f t="array" ref="G76">(_xlfn.BYROW(B76,_xlfn.LAMBDA(_xlpm.party,
(SUMIFS(ledger!J:J,ledger!B:B,_xlpm.party,ledger!E:E,"&lt;&gt;*RD*",ledger!D:D,"Chamki",ledger!C:C,"&lt;&gt;November Closing CF")+
SUMIFS(ledger!J:J,ledger!B:B,_xlpm.party,ledger!E:E,"&lt;&gt;*RD*",ledger!D:D,"Crinkle",ledger!C:C,"&lt;&gt;November Closing CF")
))))</f>
        <v>148692.39209948794</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148692.39209948794</v>
      </c>
      <c r="O76" s="22">
        <f>SUMIF(Table14[Party], B76, Table14[Credit])</f>
        <v>0</v>
      </c>
      <c r="P76" s="37">
        <f t="shared" ref="P76:P78" si="7">N76-O76</f>
        <v>148692.39209948794</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18" priority="1" operator="lessThan">
      <formula>20000</formula>
    </cfRule>
    <cfRule type="cellIs" dxfId="1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7"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Wood!K6+((363*810)+(830*233)+(146*580))-(2000*810)</f>
        <v>233345</v>
      </c>
      <c r="D4" t="s">
        <v>189</v>
      </c>
      <c r="E4" s="43">
        <f ca="1">Table12[[#This Row],[Amount]]/Table1[[#Totals],[tiyar/meters]]</f>
        <v>0.32646227376991088</v>
      </c>
    </row>
    <row r="5" spans="1:5" x14ac:dyDescent="0.3">
      <c r="B5" t="s">
        <v>48</v>
      </c>
      <c r="C5" s="11">
        <f>SUM(Table8[Price])+Dyes!P56-(291000)</f>
        <v>208910</v>
      </c>
      <c r="E5" s="43">
        <f ca="1">Table12[[#This Row],[Amount]]/Table1[[#Totals],[tiyar/meters]]</f>
        <v>0.29227638738036849</v>
      </c>
    </row>
    <row r="6" spans="1:5" x14ac:dyDescent="0.3">
      <c r="B6" t="s">
        <v>49</v>
      </c>
      <c r="C6" s="11">
        <f>SUM(Table2[Price])+Finish!K30-38750</f>
        <v>608450</v>
      </c>
      <c r="D6" t="s">
        <v>188</v>
      </c>
      <c r="E6" s="43">
        <f ca="1">Table12[[#This Row],[Amount]]/Table1[[#Totals],[tiyar/meters]]</f>
        <v>0.85125445360004404</v>
      </c>
    </row>
    <row r="7" spans="1:5" x14ac:dyDescent="0.3">
      <c r="B7" t="s">
        <v>50</v>
      </c>
      <c r="C7" s="11">
        <f>SUMIFS(Table14[Debit], Table14[Party],Table12[[#This Row],[Type]])</f>
        <v>32004</v>
      </c>
      <c r="E7" s="43">
        <f ca="1">Table12[[#This Row],[Amount]]/Table1[[#Totals],[tiyar/meters]]</f>
        <v>4.4775326703945781E-2</v>
      </c>
    </row>
    <row r="8" spans="1:5" x14ac:dyDescent="0.3">
      <c r="B8" t="s">
        <v>51</v>
      </c>
      <c r="C8" s="11">
        <f>Electricity!E3</f>
        <v>2185118</v>
      </c>
      <c r="E8" s="43">
        <f ca="1">Table12[[#This Row],[Amount]]/Table1[[#Totals],[tiyar/meters]]</f>
        <v>3.0570982482399884</v>
      </c>
    </row>
    <row r="9" spans="1:5" x14ac:dyDescent="0.3">
      <c r="B9" t="s">
        <v>52</v>
      </c>
      <c r="C9" s="11">
        <f>SUMIFS(Table14[Debit], Table14[Party],Table12[[#This Row],[Type]])+SUMIFS(Table14[Debit], Table14[Party],"Advance Salary")</f>
        <v>328300</v>
      </c>
      <c r="E9" s="43">
        <f ca="1">Table12[[#This Row],[Amount]]/Table1[[#Totals],[tiyar/meters]]</f>
        <v>0.4593094537215785</v>
      </c>
    </row>
    <row r="10" spans="1:5" x14ac:dyDescent="0.3">
      <c r="B10" t="s">
        <v>53</v>
      </c>
      <c r="C10" s="11">
        <f>Table5[[#Totals],[Amount]]</f>
        <v>45950</v>
      </c>
      <c r="E10" s="43">
        <f ca="1">Table12[[#This Row],[Amount]]/Table1[[#Totals],[tiyar/meters]]</f>
        <v>6.428653487208813E-2</v>
      </c>
    </row>
    <row r="11" spans="1:5" x14ac:dyDescent="0.3">
      <c r="B11" t="s">
        <v>54</v>
      </c>
      <c r="C11" s="11">
        <f>Table13[[#Totals],[Debit]]</f>
        <v>75500</v>
      </c>
      <c r="E11" s="43">
        <f ca="1">Table12[[#This Row],[Amount]]/Table1[[#Totals],[tiyar/meters]]</f>
        <v>0.10562858286926341</v>
      </c>
    </row>
    <row r="12" spans="1:5" x14ac:dyDescent="0.3">
      <c r="B12" t="s">
        <v>55</v>
      </c>
      <c r="C12" s="11">
        <f>Table15[[#Totals],[Amount]]</f>
        <v>49413</v>
      </c>
      <c r="E12" s="43">
        <f ca="1">Table12[[#This Row],[Amount]]/Table1[[#Totals],[tiyar/meters]]</f>
        <v>6.9131459143296867E-2</v>
      </c>
    </row>
    <row r="13" spans="1:5" x14ac:dyDescent="0.3">
      <c r="C13" s="11"/>
      <c r="E13" s="43">
        <f ca="1">Table12[[#This Row],[Amount]]/Table1[[#Totals],[tiyar/meters]]</f>
        <v>0</v>
      </c>
    </row>
    <row r="14" spans="1:5" x14ac:dyDescent="0.3">
      <c r="C14" s="14">
        <f>SUM(Table12[Amount])</f>
        <v>3766990</v>
      </c>
      <c r="E14" s="43">
        <f ca="1">SUM(Table12[cost per meter])</f>
        <v>5.2702227203004846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7803050.4754937822</v>
      </c>
    </row>
    <row r="4" spans="1:3" x14ac:dyDescent="0.3">
      <c r="B4" s="11" t="s">
        <v>44</v>
      </c>
      <c r="C4" s="11">
        <f>Table12[[#Totals],[Amount]]</f>
        <v>3766990</v>
      </c>
    </row>
    <row r="5" spans="1:3" x14ac:dyDescent="0.3">
      <c r="A5" s="6"/>
      <c r="B5" s="15" t="s">
        <v>68</v>
      </c>
      <c r="C5" s="15">
        <f>C3-C4</f>
        <v>4036060.4754937822</v>
      </c>
    </row>
    <row r="10" spans="1:3" ht="15" thickBot="1" x14ac:dyDescent="0.35">
      <c r="B10" t="s">
        <v>66</v>
      </c>
      <c r="C10" s="14" t="s">
        <v>67</v>
      </c>
    </row>
    <row r="11" spans="1:3" x14ac:dyDescent="0.3">
      <c r="B11" s="56" t="s">
        <v>0</v>
      </c>
      <c r="C11" s="57">
        <f>C3</f>
        <v>7803050.4754937822</v>
      </c>
    </row>
    <row r="12" spans="1:3" x14ac:dyDescent="0.3">
      <c r="B12" s="58" t="s">
        <v>69</v>
      </c>
      <c r="C12" s="59">
        <f>SUM(Table14[Credit])</f>
        <v>6751982</v>
      </c>
    </row>
    <row r="13" spans="1:3" ht="15" thickBot="1" x14ac:dyDescent="0.35">
      <c r="B13" s="74" t="s">
        <v>93</v>
      </c>
      <c r="C13" s="73">
        <f>(C11-C12)</f>
        <v>1051068.4754937822</v>
      </c>
    </row>
    <row r="14" spans="1:3" ht="15" thickBot="1" x14ac:dyDescent="0.35">
      <c r="B14" s="58"/>
      <c r="C14" s="59"/>
    </row>
    <row r="15" spans="1:3" x14ac:dyDescent="0.3">
      <c r="B15" s="56" t="s">
        <v>44</v>
      </c>
      <c r="C15" s="57">
        <f>C4</f>
        <v>3766990</v>
      </c>
    </row>
    <row r="16" spans="1:3" x14ac:dyDescent="0.3">
      <c r="B16" s="58" t="s">
        <v>70</v>
      </c>
      <c r="C16" s="59">
        <f>SUM(Table14[Debit])</f>
        <v>6685876</v>
      </c>
    </row>
    <row r="17" spans="2:6" ht="15" thickBot="1" x14ac:dyDescent="0.35">
      <c r="B17" s="74" t="s">
        <v>71</v>
      </c>
      <c r="C17" s="73">
        <f>C15-C16</f>
        <v>-2918886</v>
      </c>
    </row>
    <row r="18" spans="2:6" ht="15" thickBot="1" x14ac:dyDescent="0.35">
      <c r="B18" s="58"/>
      <c r="C18" s="59"/>
    </row>
    <row r="19" spans="2:6" ht="15" thickBot="1" x14ac:dyDescent="0.35">
      <c r="B19" s="75" t="s">
        <v>72</v>
      </c>
      <c r="C19" s="76">
        <f>Table18[[#Totals],[amount]]</f>
        <v>66106</v>
      </c>
    </row>
    <row r="20" spans="2:6" ht="15" thickBot="1" x14ac:dyDescent="0.35">
      <c r="B20" s="71"/>
      <c r="C20" s="72"/>
    </row>
    <row r="21" spans="2:6" ht="15" thickBot="1" x14ac:dyDescent="0.35">
      <c r="B21" s="60" t="s">
        <v>73</v>
      </c>
      <c r="C21" s="61">
        <f>(C13-C17)+C19</f>
        <v>4036060.4754937822</v>
      </c>
      <c r="E21" s="79" t="s">
        <v>74</v>
      </c>
      <c r="F21" s="80">
        <f>C5*0.05</f>
        <v>201803.02377468912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0</v>
      </c>
      <c r="E18">
        <f>SUMIFS(Table14[Credit], Table14[Date], Table13[[#This Row],[Date]], Table14[Party], "Transport")</f>
        <v>0</v>
      </c>
    </row>
    <row r="19" spans="2:5" x14ac:dyDescent="0.3">
      <c r="B19" s="1">
        <v>46056</v>
      </c>
      <c r="D19">
        <f>SUMIFS(Table14[Debit], Table14[Date], Table13[[#This Row],[Date]], Table14[Party], "Transport")</f>
        <v>0</v>
      </c>
      <c r="E19">
        <f>SUMIFS(Table14[Credit], Table14[Date], Table13[[#This Row],[Date]], Table14[Party], "Transport")</f>
        <v>0</v>
      </c>
    </row>
    <row r="20" spans="2:5" x14ac:dyDescent="0.3">
      <c r="B20" s="1">
        <v>46057</v>
      </c>
      <c r="D20">
        <f>SUMIFS(Table14[Debit], Table14[Date], Table13[[#This Row],[Date]], Table14[Party], "Transport")</f>
        <v>0</v>
      </c>
      <c r="E20">
        <f>SUMIFS(Table14[Credit], Table14[Date], Table13[[#This Row],[Date]], Table14[Party], "Transport")</f>
        <v>0</v>
      </c>
    </row>
    <row r="21" spans="2:5" x14ac:dyDescent="0.3">
      <c r="B21" s="1">
        <v>46058</v>
      </c>
      <c r="D21">
        <f>SUMIFS(Table14[Debit], Table14[Date], Table13[[#This Row],[Date]], Table14[Party], "Transport")</f>
        <v>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75500</v>
      </c>
      <c r="E44">
        <f>SUBTOTAL(109,Table13[Credit])</f>
        <v>0</v>
      </c>
      <c r="F44">
        <f>Table13[[#Totals],[Debit]]-Table13[[#Totals],[Credit]]</f>
        <v>75500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00" zoomScale="107" zoomScaleNormal="115" workbookViewId="0">
      <selection activeCell="I104" sqref="I104:J11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65.539604094434424</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68.208320000777903</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33.437496831545005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68.208320000777903</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33.437496831545005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49.276542876199755</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49.276542876199755</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70.905670045299473</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65.539604094434424</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49.276542876199755</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70.905670045299473</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c r="B118"/>
      <c r="C118"/>
      <c r="D118"/>
      <c r="E118" s="14"/>
      <c r="F118" s="14"/>
      <c r="G118" s="14"/>
      <c r="H118" s="43"/>
      <c r="I118" s="94" cm="1">
        <f t="array" aca="1" ref="I118" ca="1">SUMPRODUCT( SUBTOTAL(109, OFFSET(Table1[tiyar/meters], ROW(Table1[tiyar/meters])-MIN(ROW(Table1[tiyar/meters])), 0, 1)), --(Table1[Bill Number]&lt;&gt;"December Closing CF") )</f>
        <v>714768.65398683248</v>
      </c>
      <c r="J118" s="43" cm="1">
        <f t="array" aca="1" ref="J118" ca="1">SUMPRODUCT( SUBTOTAL(109, OFFSET(Table1[billing], ROW(Table1[billing])-MIN(ROW(Table1[billing])), 0, 1)), --(Table1[Bill Number]&lt;&gt;"December Closing CF") )</f>
        <v>7803050.475493785</v>
      </c>
      <c r="K118" s="14">
        <f>SUMIFS(Table1[billing], Table1[Bill Number], "&lt;&gt;December Closing CF")</f>
        <v>7803050.475493785</v>
      </c>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8">
    <cfRule type="cellIs" dxfId="1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zoomScale="145" zoomScaleNormal="90" workbookViewId="0">
      <selection activeCell="I4" sqref="I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1281245</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c r="O9" s="14"/>
      <c r="P9" s="14"/>
    </row>
    <row r="10" spans="1:16" x14ac:dyDescent="0.3">
      <c r="A10" s="85">
        <v>46042</v>
      </c>
      <c r="B10" s="4" t="s">
        <v>198</v>
      </c>
      <c r="C10" s="82" t="s">
        <v>95</v>
      </c>
      <c r="D10" s="11"/>
      <c r="E10" s="11"/>
      <c r="F10" s="11"/>
      <c r="G10" s="11"/>
      <c r="H10" s="11"/>
      <c r="I10" s="84">
        <v>81306</v>
      </c>
      <c r="K10" s="11"/>
      <c r="L10" s="42" t="s">
        <v>103</v>
      </c>
      <c r="M10" s="14"/>
      <c r="N10" s="14"/>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5324409</v>
      </c>
    </row>
    <row r="12" spans="1:16" x14ac:dyDescent="0.3">
      <c r="A12" s="1"/>
      <c r="B12" s="4"/>
      <c r="D12" s="11"/>
      <c r="E12" s="11"/>
      <c r="F12" s="11"/>
      <c r="G12" s="11"/>
      <c r="H12" s="11"/>
      <c r="I12" s="11"/>
      <c r="K12" s="11"/>
      <c r="L12" s="42" t="s">
        <v>95</v>
      </c>
      <c r="M12" s="14"/>
      <c r="N12" s="14">
        <v>0</v>
      </c>
      <c r="O12" s="14">
        <v>0</v>
      </c>
      <c r="P12" s="14">
        <v>5324409</v>
      </c>
    </row>
    <row r="13" spans="1:16" x14ac:dyDescent="0.3">
      <c r="A13" s="1"/>
      <c r="D13" s="11"/>
      <c r="E13" s="11"/>
      <c r="F13" s="11"/>
      <c r="G13" s="11"/>
      <c r="H13" s="11"/>
      <c r="I13" s="11"/>
      <c r="K13" s="11"/>
      <c r="L13" s="26">
        <v>46044</v>
      </c>
      <c r="M13" s="14">
        <v>344</v>
      </c>
      <c r="N13" s="14">
        <v>282080</v>
      </c>
      <c r="O13" s="14"/>
      <c r="P13" s="14">
        <v>282080</v>
      </c>
    </row>
    <row r="14" spans="1:16" x14ac:dyDescent="0.3">
      <c r="A14" s="1"/>
      <c r="D14" s="11"/>
      <c r="E14" s="11"/>
      <c r="F14" s="11"/>
      <c r="G14" s="11"/>
      <c r="H14" s="11"/>
      <c r="I14" s="11"/>
      <c r="K14" s="11"/>
      <c r="L14" s="42" t="s">
        <v>103</v>
      </c>
      <c r="M14" s="14">
        <v>344</v>
      </c>
      <c r="N14" s="14">
        <v>282080</v>
      </c>
      <c r="O14" s="14"/>
      <c r="P14" s="14">
        <v>282080</v>
      </c>
    </row>
    <row r="15" spans="1:16" x14ac:dyDescent="0.3">
      <c r="A15" s="1"/>
      <c r="D15" s="11"/>
      <c r="E15" s="11"/>
      <c r="F15" s="11"/>
      <c r="G15" s="11"/>
      <c r="H15" s="11"/>
      <c r="I15" s="11"/>
      <c r="K15" s="11"/>
      <c r="L15" s="26">
        <v>46048</v>
      </c>
      <c r="M15" s="14">
        <v>132</v>
      </c>
      <c r="N15" s="14">
        <v>76560</v>
      </c>
      <c r="O15" s="14"/>
      <c r="P15" s="14">
        <v>76560</v>
      </c>
    </row>
    <row r="16" spans="1:16" x14ac:dyDescent="0.3">
      <c r="A16" s="1"/>
      <c r="D16" s="11"/>
      <c r="E16" s="11"/>
      <c r="F16" s="11"/>
      <c r="G16" s="11"/>
      <c r="H16" s="11"/>
      <c r="I16" s="11"/>
      <c r="K16" s="11"/>
      <c r="L16" s="42" t="s">
        <v>103</v>
      </c>
      <c r="M16" s="14">
        <v>132</v>
      </c>
      <c r="N16" s="14">
        <v>76560</v>
      </c>
      <c r="O16" s="14"/>
      <c r="P16" s="14">
        <v>76560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(D19*E19)-[1]!Table3[[#This Row],[Paid]]</f>
        <v>178760</v>
      </c>
      <c r="L19" s="26">
        <v>46050</v>
      </c>
      <c r="M19" s="14">
        <v>204</v>
      </c>
      <c r="N19" s="14">
        <v>132165</v>
      </c>
      <c r="O19" s="14"/>
      <c r="P19" s="14">
        <v>132165</v>
      </c>
    </row>
    <row r="20" spans="1:16" x14ac:dyDescent="0.3">
      <c r="A20" s="1">
        <v>46044</v>
      </c>
      <c r="B20" t="s">
        <v>218</v>
      </c>
      <c r="D20" s="11">
        <v>126</v>
      </c>
      <c r="E20" s="11">
        <v>820</v>
      </c>
      <c r="F20" s="11"/>
      <c r="G20" s="11">
        <f t="shared" si="2"/>
        <v>103320</v>
      </c>
      <c r="H20" s="11"/>
      <c r="I20" s="11">
        <f>(D20*E20)-[1]!Table3[[#This Row],[Paid]]</f>
        <v>103320</v>
      </c>
      <c r="L20" s="42" t="s">
        <v>103</v>
      </c>
      <c r="M20" s="14">
        <v>204</v>
      </c>
      <c r="N20" s="14">
        <v>132165</v>
      </c>
      <c r="O20" s="14"/>
      <c r="P20" s="14">
        <v>132165</v>
      </c>
    </row>
    <row r="21" spans="1:16" x14ac:dyDescent="0.3">
      <c r="A21" s="1">
        <v>46048</v>
      </c>
      <c r="B21" t="s">
        <v>169</v>
      </c>
      <c r="D21" s="11">
        <v>132</v>
      </c>
      <c r="E21" s="11">
        <v>580</v>
      </c>
      <c r="F21" s="11"/>
      <c r="G21" s="11">
        <f t="shared" si="2"/>
        <v>76560</v>
      </c>
      <c r="H21" s="11"/>
      <c r="I21" s="11">
        <f>(D21*E21)-[1]!Table3[[#This Row],[Paid]]</f>
        <v>76560</v>
      </c>
      <c r="L21" s="26" t="s">
        <v>28</v>
      </c>
      <c r="M21" s="14">
        <v>1050</v>
      </c>
      <c r="N21" s="14">
        <v>788220</v>
      </c>
      <c r="O21" s="14">
        <v>0</v>
      </c>
      <c r="P21" s="14">
        <v>6112629</v>
      </c>
    </row>
    <row r="22" spans="1:16" x14ac:dyDescent="0.3">
      <c r="A22" s="1">
        <v>46049</v>
      </c>
      <c r="B22" t="s">
        <v>169</v>
      </c>
      <c r="D22" s="11">
        <v>133</v>
      </c>
      <c r="E22" s="11">
        <v>775</v>
      </c>
      <c r="F22" s="11"/>
      <c r="G22" s="11">
        <f t="shared" si="2"/>
        <v>103075</v>
      </c>
      <c r="H22" s="11"/>
      <c r="I22" s="11">
        <f>(D22*E22)-[1]!Table3[[#This Row],[Paid]]</f>
        <v>103075</v>
      </c>
    </row>
    <row r="23" spans="1:16" x14ac:dyDescent="0.3">
      <c r="A23" s="1">
        <v>46050</v>
      </c>
      <c r="B23" t="s">
        <v>169</v>
      </c>
      <c r="D23" s="11">
        <v>24</v>
      </c>
      <c r="E23" s="11">
        <v>775</v>
      </c>
      <c r="F23" s="11"/>
      <c r="G23" s="11">
        <f t="shared" si="2"/>
        <v>18600</v>
      </c>
      <c r="H23" s="11"/>
      <c r="I23" s="11">
        <f>(D23*E23)-[1]!Table3[[#This Row],[Paid]]</f>
        <v>18600</v>
      </c>
    </row>
    <row r="24" spans="1:16" x14ac:dyDescent="0.3">
      <c r="A24" s="1">
        <v>46050</v>
      </c>
      <c r="B24" t="s">
        <v>169</v>
      </c>
      <c r="D24" s="11">
        <v>48</v>
      </c>
      <c r="E24" s="11">
        <v>580</v>
      </c>
      <c r="F24" s="11"/>
      <c r="G24" s="11">
        <f t="shared" si="2"/>
        <v>27840</v>
      </c>
      <c r="H24" s="11"/>
      <c r="I24" s="11">
        <f>(D24*E24)-[1]!Table3[[#This Row],[Paid]]</f>
        <v>27840</v>
      </c>
    </row>
    <row r="25" spans="1:16" x14ac:dyDescent="0.3">
      <c r="A25" s="1">
        <v>46050</v>
      </c>
      <c r="B25" t="s">
        <v>169</v>
      </c>
      <c r="D25" s="11">
        <v>85</v>
      </c>
      <c r="E25" s="11">
        <v>580</v>
      </c>
      <c r="F25" s="11"/>
      <c r="G25" s="11">
        <f t="shared" si="2"/>
        <v>49300</v>
      </c>
      <c r="H25" s="11"/>
      <c r="I25" s="11">
        <f>(D25*E25)-[1]!Table3[[#This Row],[Paid]]</f>
        <v>49300</v>
      </c>
    </row>
    <row r="26" spans="1:16" x14ac:dyDescent="0.3">
      <c r="A26" s="1">
        <v>46050</v>
      </c>
      <c r="B26" t="s">
        <v>169</v>
      </c>
      <c r="D26" s="11">
        <v>47</v>
      </c>
      <c r="E26" s="11">
        <v>775</v>
      </c>
      <c r="F26" s="11"/>
      <c r="G26" s="11">
        <f t="shared" si="2"/>
        <v>36425</v>
      </c>
      <c r="H26" s="11"/>
      <c r="I26" s="11">
        <f>(D26*E26)-[1]!Table3[[#This Row],[Paid]]</f>
        <v>36425</v>
      </c>
    </row>
    <row r="27" spans="1:16" x14ac:dyDescent="0.3">
      <c r="A27" s="1">
        <v>46049</v>
      </c>
      <c r="B27" t="s">
        <v>196</v>
      </c>
      <c r="D27" s="11">
        <v>237</v>
      </c>
      <c r="E27" s="11">
        <v>820</v>
      </c>
      <c r="F27" s="11"/>
      <c r="G27" s="11">
        <f t="shared" si="2"/>
        <v>194340</v>
      </c>
      <c r="H27" s="11"/>
      <c r="I27" s="11">
        <f>(D27*E27)-[1]!Table3[[#This Row],[Paid]]</f>
        <v>194340</v>
      </c>
    </row>
    <row r="28" spans="1:16" x14ac:dyDescent="0.3">
      <c r="A28" s="1">
        <v>46052</v>
      </c>
      <c r="B28" t="s">
        <v>276</v>
      </c>
      <c r="D28" s="11">
        <v>533</v>
      </c>
      <c r="E28" s="11">
        <v>925</v>
      </c>
      <c r="F28" s="11">
        <v>90000</v>
      </c>
      <c r="G28" s="11">
        <f t="shared" si="2"/>
        <v>493025</v>
      </c>
      <c r="H28" s="11"/>
      <c r="I28" s="11"/>
    </row>
    <row r="29" spans="1:16" x14ac:dyDescent="0.3">
      <c r="A29" s="1"/>
      <c r="D29" s="11"/>
      <c r="E29" s="11"/>
      <c r="F29" s="11"/>
      <c r="G29" s="11">
        <f t="shared" si="2"/>
        <v>0</v>
      </c>
      <c r="H29" s="11"/>
      <c r="I29" s="11"/>
      <c r="K29" s="14"/>
    </row>
    <row r="30" spans="1:16" x14ac:dyDescent="0.3">
      <c r="A30" s="1"/>
      <c r="D30" s="11"/>
      <c r="E30" s="11"/>
      <c r="F30" s="11"/>
      <c r="G30" s="11">
        <f t="shared" si="2"/>
        <v>0</v>
      </c>
      <c r="H30" s="11"/>
      <c r="I30" s="11"/>
    </row>
    <row r="31" spans="1:16" x14ac:dyDescent="0.3">
      <c r="A31" s="1"/>
      <c r="D31" s="11"/>
      <c r="E31" s="11"/>
      <c r="F31" s="11"/>
      <c r="G31" s="11">
        <f t="shared" si="2"/>
        <v>0</v>
      </c>
      <c r="H31" s="11"/>
      <c r="I31" s="11"/>
    </row>
    <row r="32" spans="1:16" x14ac:dyDescent="0.3">
      <c r="A32" s="1"/>
      <c r="D32" s="11"/>
      <c r="E32" s="11"/>
      <c r="F32" s="11"/>
      <c r="G32" s="11">
        <f t="shared" si="2"/>
        <v>0</v>
      </c>
      <c r="H32" s="11"/>
      <c r="I32" s="11"/>
    </row>
    <row r="33" spans="1:9" x14ac:dyDescent="0.3">
      <c r="A33" s="1"/>
      <c r="D33" s="11"/>
      <c r="E33" s="123"/>
      <c r="F33" s="11"/>
      <c r="G33" s="11">
        <f t="shared" si="2"/>
        <v>0</v>
      </c>
      <c r="H33" s="11"/>
      <c r="I33" s="11"/>
    </row>
    <row r="34" spans="1:9" x14ac:dyDescent="0.3">
      <c r="A34" s="1"/>
      <c r="D34" s="11"/>
      <c r="E34" s="11"/>
      <c r="F34" s="11"/>
      <c r="G34" s="11">
        <f t="shared" si="2"/>
        <v>0</v>
      </c>
      <c r="H34" s="11"/>
      <c r="I34" s="11"/>
    </row>
    <row r="35" spans="1:9" x14ac:dyDescent="0.3">
      <c r="A35" s="1"/>
      <c r="D35" s="11"/>
      <c r="E35" s="11"/>
      <c r="F35" s="11"/>
      <c r="G35" s="11">
        <f t="shared" si="2"/>
        <v>0</v>
      </c>
      <c r="H35" s="11"/>
      <c r="I35" s="11"/>
    </row>
    <row r="36" spans="1:9" x14ac:dyDescent="0.3">
      <c r="A36" s="1"/>
      <c r="D36" s="11"/>
      <c r="E36" s="11"/>
      <c r="F36" s="11"/>
      <c r="G36" s="11">
        <f t="shared" si="2"/>
        <v>0</v>
      </c>
      <c r="H36" s="11"/>
      <c r="I36" s="11"/>
    </row>
    <row r="37" spans="1:9" x14ac:dyDescent="0.3">
      <c r="A37" s="1"/>
      <c r="D37" s="11"/>
      <c r="E37" s="11"/>
      <c r="F37" s="11"/>
      <c r="G37" s="11">
        <f t="shared" si="2"/>
        <v>0</v>
      </c>
      <c r="H37" s="11"/>
      <c r="I37" s="11"/>
    </row>
    <row r="38" spans="1:9" x14ac:dyDescent="0.3">
      <c r="A38" s="1"/>
      <c r="D38" s="11"/>
      <c r="E38" s="11"/>
      <c r="F38" s="11"/>
      <c r="G38" s="11">
        <f t="shared" si="2"/>
        <v>0</v>
      </c>
      <c r="H38" s="11"/>
      <c r="I38" s="11"/>
    </row>
    <row r="39" spans="1:9" x14ac:dyDescent="0.3">
      <c r="A39" s="1"/>
      <c r="D39" s="11"/>
      <c r="E39" s="11"/>
      <c r="F39" s="11"/>
      <c r="G39" s="11">
        <f t="shared" si="2"/>
        <v>0</v>
      </c>
      <c r="H39" s="11"/>
      <c r="I39" s="11"/>
    </row>
    <row r="40" spans="1:9" x14ac:dyDescent="0.3">
      <c r="A40" s="1"/>
      <c r="D40" s="11"/>
      <c r="E40" s="11"/>
      <c r="F40" s="11"/>
      <c r="G40" s="11">
        <f t="shared" si="2"/>
        <v>0</v>
      </c>
      <c r="H40" s="11"/>
      <c r="I40" s="11"/>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1281245</v>
      </c>
      <c r="H122" s="14">
        <f>SUBTOTAL(109,Table3[Paid])</f>
        <v>0</v>
      </c>
      <c r="I122" s="14">
        <f>SUBTOTAL(109,Table3[balance])</f>
        <v>4994174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34" zoomScale="158" workbookViewId="0">
      <selection activeCell="G113" sqref="G11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2894607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6685876</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6751982</v>
      </c>
      <c r="M5" s="45" t="s">
        <v>108</v>
      </c>
      <c r="N5" s="46">
        <f>(SUMIFS(Table14[Credit],Table14[Mode],"Bank")-SUMIFS(Table14[Debit],Table14[Mode],"Bank")-SUMIFS(Table14[Withdrawal],Table14[Mode],"Transfer"))</f>
        <v>677022</v>
      </c>
      <c r="O5">
        <v>360000</v>
      </c>
    </row>
    <row r="6" spans="1:16" x14ac:dyDescent="0.3">
      <c r="A6" s="115">
        <v>46014</v>
      </c>
      <c r="B6" s="81" t="s">
        <v>212</v>
      </c>
      <c r="C6" s="11"/>
      <c r="D6" s="87">
        <v>562846</v>
      </c>
      <c r="E6" s="81" t="s">
        <v>275</v>
      </c>
      <c r="F6" s="88" t="s">
        <v>108</v>
      </c>
      <c r="J6" s="52" t="s">
        <v>43</v>
      </c>
      <c r="K6" s="53">
        <f>(K5-K4)</f>
        <v>66106</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66106</v>
      </c>
      <c r="O7" s="90">
        <f>SUM(O5,O6)</f>
        <v>410000</v>
      </c>
      <c r="P7" s="14">
        <f>Table18[[#Totals],[amount]]-Table18[[#Totals],[Actual]]</f>
        <v>-343894</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15">
        <v>46053</v>
      </c>
      <c r="B131" t="s">
        <v>250</v>
      </c>
      <c r="C131" s="11">
        <v>20000</v>
      </c>
      <c r="D131" s="11"/>
      <c r="E131" t="s">
        <v>251</v>
      </c>
      <c r="F131" s="111" t="s">
        <v>108</v>
      </c>
      <c r="I131">
        <v>5700</v>
      </c>
      <c r="K131">
        <v>15300</v>
      </c>
      <c r="L131">
        <v>15400</v>
      </c>
      <c r="M131">
        <v>15400</v>
      </c>
    </row>
    <row r="132" spans="1:13" x14ac:dyDescent="0.3">
      <c r="A132" s="115">
        <v>46054</v>
      </c>
      <c r="B132" t="s">
        <v>300</v>
      </c>
      <c r="C132" s="96"/>
      <c r="D132" s="96">
        <v>300000</v>
      </c>
      <c r="E132" t="s">
        <v>328</v>
      </c>
      <c r="F132" s="111" t="s">
        <v>108</v>
      </c>
      <c r="I132">
        <v>80000</v>
      </c>
      <c r="K132">
        <v>15000</v>
      </c>
      <c r="L132">
        <v>16300</v>
      </c>
      <c r="M132">
        <v>16300</v>
      </c>
    </row>
    <row r="133" spans="1:13" x14ac:dyDescent="0.3">
      <c r="A133" s="115">
        <v>46054</v>
      </c>
      <c r="B133" t="s">
        <v>260</v>
      </c>
      <c r="C133" s="11">
        <v>100101</v>
      </c>
      <c r="D133" s="11"/>
      <c r="E133" t="s">
        <v>329</v>
      </c>
      <c r="F133" s="111" t="s">
        <v>108</v>
      </c>
      <c r="I133">
        <v>2500</v>
      </c>
      <c r="K133">
        <v>6000</v>
      </c>
      <c r="L133">
        <v>15300</v>
      </c>
      <c r="M133">
        <v>15300</v>
      </c>
    </row>
    <row r="134" spans="1:13" x14ac:dyDescent="0.3">
      <c r="A134" s="115">
        <v>46054</v>
      </c>
      <c r="B134" t="s">
        <v>55</v>
      </c>
      <c r="C134" s="11">
        <v>2900</v>
      </c>
      <c r="D134" s="11"/>
      <c r="E134" t="s">
        <v>330</v>
      </c>
      <c r="F134" s="111" t="s">
        <v>108</v>
      </c>
      <c r="I134">
        <v>9500</v>
      </c>
      <c r="K134">
        <v>16550</v>
      </c>
      <c r="L134">
        <v>15000</v>
      </c>
      <c r="M134">
        <v>15000</v>
      </c>
    </row>
    <row r="135" spans="1:13" x14ac:dyDescent="0.3">
      <c r="A135" s="115">
        <v>46054</v>
      </c>
      <c r="B135" t="s">
        <v>50</v>
      </c>
      <c r="C135" s="11">
        <v>1000</v>
      </c>
      <c r="D135" s="11"/>
      <c r="E135" t="s">
        <v>331</v>
      </c>
      <c r="F135" s="111" t="s">
        <v>108</v>
      </c>
      <c r="I135">
        <v>20880</v>
      </c>
      <c r="K135">
        <v>13400</v>
      </c>
      <c r="L135">
        <v>6000</v>
      </c>
      <c r="M135">
        <v>6000</v>
      </c>
    </row>
    <row r="136" spans="1:13" x14ac:dyDescent="0.3">
      <c r="A136" s="115">
        <v>46054</v>
      </c>
      <c r="B136" t="s">
        <v>50</v>
      </c>
      <c r="C136" s="11">
        <v>3720</v>
      </c>
      <c r="D136" s="11"/>
      <c r="E136" t="s">
        <v>332</v>
      </c>
      <c r="F136" s="111" t="s">
        <v>108</v>
      </c>
      <c r="I136">
        <v>150000</v>
      </c>
      <c r="K136">
        <v>11650</v>
      </c>
      <c r="L136">
        <v>16550</v>
      </c>
      <c r="M136">
        <v>16550</v>
      </c>
    </row>
    <row r="137" spans="1:13" x14ac:dyDescent="0.3">
      <c r="A137" s="115">
        <v>46054</v>
      </c>
      <c r="B137" t="s">
        <v>94</v>
      </c>
      <c r="C137" s="11">
        <v>200280</v>
      </c>
      <c r="D137" s="11"/>
      <c r="E137" t="s">
        <v>333</v>
      </c>
      <c r="F137" s="111" t="s">
        <v>108</v>
      </c>
      <c r="K137">
        <v>2500</v>
      </c>
      <c r="L137">
        <v>13400</v>
      </c>
      <c r="M137">
        <v>13400</v>
      </c>
    </row>
    <row r="138" spans="1:13" x14ac:dyDescent="0.3">
      <c r="A138" s="115">
        <v>46052</v>
      </c>
      <c r="B138" t="s">
        <v>224</v>
      </c>
      <c r="C138" s="11">
        <v>2500</v>
      </c>
      <c r="D138" s="11"/>
      <c r="E138" t="s">
        <v>271</v>
      </c>
      <c r="F138" s="111" t="s">
        <v>108</v>
      </c>
      <c r="K138">
        <v>5700</v>
      </c>
      <c r="L138">
        <v>11650</v>
      </c>
      <c r="M138">
        <v>11650</v>
      </c>
    </row>
    <row r="139" spans="1:13"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x14ac:dyDescent="0.3">
      <c r="A141" s="115">
        <v>46054</v>
      </c>
      <c r="C141" s="11"/>
      <c r="D141" s="11"/>
      <c r="F141" s="111"/>
      <c r="L141">
        <v>5000</v>
      </c>
      <c r="M141">
        <v>5000</v>
      </c>
    </row>
    <row r="142" spans="1:13" x14ac:dyDescent="0.3">
      <c r="A142" s="115">
        <v>46054</v>
      </c>
      <c r="C142" s="11"/>
      <c r="D142" s="11"/>
      <c r="F142" s="111"/>
    </row>
    <row r="143" spans="1:13" x14ac:dyDescent="0.3">
      <c r="A143" s="115">
        <v>46054</v>
      </c>
      <c r="C143" s="11"/>
      <c r="D143" s="11"/>
      <c r="F143" s="111"/>
    </row>
    <row r="144" spans="1:13" x14ac:dyDescent="0.3">
      <c r="A144" s="115">
        <v>46054</v>
      </c>
      <c r="C144" s="11"/>
      <c r="D144" s="11"/>
      <c r="F144" s="111"/>
    </row>
    <row r="145" spans="1:6" x14ac:dyDescent="0.3">
      <c r="A145" s="115">
        <v>46054</v>
      </c>
      <c r="C145" s="11"/>
      <c r="D145" s="11"/>
      <c r="F145" s="111"/>
    </row>
    <row r="146" spans="1:6" x14ac:dyDescent="0.3">
      <c r="A146" s="115">
        <v>46054</v>
      </c>
      <c r="C146" s="11"/>
      <c r="D146" s="11"/>
      <c r="F146" s="111"/>
    </row>
    <row r="147" spans="1:6" x14ac:dyDescent="0.3">
      <c r="A147" s="115">
        <v>46054</v>
      </c>
      <c r="C147" s="11"/>
      <c r="D147" s="11"/>
      <c r="F147" s="111"/>
    </row>
    <row r="148" spans="1:6" x14ac:dyDescent="0.3">
      <c r="A148" s="38"/>
      <c r="C148" s="14">
        <f>SUBTOTAL(109,Table14[Debit])</f>
        <v>6685876</v>
      </c>
      <c r="D148" s="14">
        <f>SUBTOTAL(109,Table14[Credit])</f>
        <v>6751982</v>
      </c>
      <c r="F148" s="54">
        <f>(Table14[[#Totals],[Credit]]-Table14[[#Totals],[Debit]])</f>
        <v>66106</v>
      </c>
    </row>
    <row r="163" spans="10:12" x14ac:dyDescent="0.3">
      <c r="J163" s="3" t="s">
        <v>6</v>
      </c>
      <c r="K163" t="s">
        <v>118</v>
      </c>
      <c r="L163" t="s">
        <v>119</v>
      </c>
    </row>
    <row r="164" spans="10:12" x14ac:dyDescent="0.3">
      <c r="J164" s="4" t="s">
        <v>227</v>
      </c>
      <c r="K164" s="14"/>
      <c r="L164" s="14">
        <v>265500</v>
      </c>
    </row>
    <row r="165" spans="10:12" x14ac:dyDescent="0.3">
      <c r="J165" s="4" t="s">
        <v>117</v>
      </c>
      <c r="K165" s="14"/>
      <c r="L165" s="14">
        <v>20400</v>
      </c>
    </row>
    <row r="166" spans="10:12" x14ac:dyDescent="0.3">
      <c r="J166" s="4" t="s">
        <v>94</v>
      </c>
      <c r="K166" s="14"/>
      <c r="L166" s="14">
        <v>490380</v>
      </c>
    </row>
    <row r="167" spans="10:12" x14ac:dyDescent="0.3">
      <c r="J167" s="4" t="s">
        <v>50</v>
      </c>
      <c r="K167" s="14"/>
      <c r="L167" s="14">
        <v>32004</v>
      </c>
    </row>
    <row r="168" spans="10:12" x14ac:dyDescent="0.3">
      <c r="J168" s="4" t="s">
        <v>55</v>
      </c>
      <c r="K168" s="14"/>
      <c r="L168" s="14">
        <v>86193</v>
      </c>
    </row>
    <row r="169" spans="10:12" x14ac:dyDescent="0.3">
      <c r="J169" s="4" t="s">
        <v>231</v>
      </c>
      <c r="K169" s="14"/>
      <c r="L169" s="14">
        <v>59000</v>
      </c>
    </row>
    <row r="170" spans="10:12" x14ac:dyDescent="0.3">
      <c r="J170" s="4" t="s">
        <v>52</v>
      </c>
      <c r="K170" s="14"/>
      <c r="L170" s="14">
        <v>62800</v>
      </c>
    </row>
    <row r="171" spans="10:12" x14ac:dyDescent="0.3">
      <c r="J171" s="4" t="s">
        <v>54</v>
      </c>
      <c r="K171" s="14"/>
      <c r="L171" s="14">
        <v>50900</v>
      </c>
    </row>
    <row r="172" spans="10:12" x14ac:dyDescent="0.3">
      <c r="J172" s="4" t="s">
        <v>224</v>
      </c>
      <c r="K172" s="14"/>
      <c r="L172" s="14">
        <v>758010</v>
      </c>
    </row>
    <row r="173" spans="10:12" x14ac:dyDescent="0.3">
      <c r="J173" s="4" t="s">
        <v>212</v>
      </c>
      <c r="K173" s="14">
        <v>562846</v>
      </c>
      <c r="L173" s="14">
        <v>9220</v>
      </c>
    </row>
    <row r="174" spans="10:12" x14ac:dyDescent="0.3">
      <c r="J174" s="4" t="s">
        <v>289</v>
      </c>
      <c r="K174" s="14">
        <v>315000</v>
      </c>
      <c r="L174" s="14"/>
    </row>
    <row r="175" spans="10:12" x14ac:dyDescent="0.3">
      <c r="J175" s="4" t="s">
        <v>103</v>
      </c>
      <c r="K175" s="14"/>
      <c r="L175" s="14"/>
    </row>
    <row r="176" spans="10:12" x14ac:dyDescent="0.3">
      <c r="J176" s="4" t="s">
        <v>300</v>
      </c>
      <c r="K176" s="14">
        <v>1000000</v>
      </c>
      <c r="L176" s="14"/>
    </row>
    <row r="177" spans="10:12" x14ac:dyDescent="0.3">
      <c r="J177" s="4" t="s">
        <v>241</v>
      </c>
      <c r="K177" s="14">
        <v>100000</v>
      </c>
      <c r="L177" s="14"/>
    </row>
    <row r="178" spans="10:12" x14ac:dyDescent="0.3">
      <c r="J178" s="4" t="s">
        <v>169</v>
      </c>
      <c r="K178" s="14"/>
      <c r="L178" s="14">
        <v>245000</v>
      </c>
    </row>
    <row r="179" spans="10:12" x14ac:dyDescent="0.3">
      <c r="J179" s="4" t="s">
        <v>222</v>
      </c>
      <c r="K179" s="14">
        <v>1556143</v>
      </c>
      <c r="L179" s="14">
        <v>3396240</v>
      </c>
    </row>
    <row r="180" spans="10:12" x14ac:dyDescent="0.3">
      <c r="J180" s="4" t="s">
        <v>195</v>
      </c>
      <c r="K180" s="14"/>
      <c r="L180" s="14">
        <v>208450</v>
      </c>
    </row>
    <row r="181" spans="10:12" x14ac:dyDescent="0.3">
      <c r="J181" s="4" t="s">
        <v>250</v>
      </c>
      <c r="K181" s="14"/>
      <c r="L181" s="14">
        <v>40000</v>
      </c>
    </row>
    <row r="182" spans="10:12" x14ac:dyDescent="0.3">
      <c r="J182" s="4" t="s">
        <v>256</v>
      </c>
      <c r="K182" s="14">
        <v>124302</v>
      </c>
      <c r="L182" s="14"/>
    </row>
    <row r="183" spans="10:12" x14ac:dyDescent="0.3">
      <c r="J183" s="4" t="s">
        <v>260</v>
      </c>
      <c r="K183" s="14"/>
      <c r="L183" s="14">
        <v>600419</v>
      </c>
    </row>
    <row r="184" spans="10:12" x14ac:dyDescent="0.3">
      <c r="J184" s="4" t="s">
        <v>198</v>
      </c>
      <c r="K184" s="14"/>
      <c r="L184" s="14">
        <v>81360</v>
      </c>
    </row>
    <row r="185" spans="10:12" x14ac:dyDescent="0.3">
      <c r="J185" s="4" t="s">
        <v>211</v>
      </c>
      <c r="K185" s="14">
        <v>2283691</v>
      </c>
      <c r="L185" s="14"/>
    </row>
    <row r="186" spans="10:12" x14ac:dyDescent="0.3">
      <c r="J186" s="4" t="s">
        <v>235</v>
      </c>
      <c r="K186" s="14">
        <v>810000</v>
      </c>
      <c r="L186" s="14"/>
    </row>
    <row r="187" spans="10:12" x14ac:dyDescent="0.3">
      <c r="J187" s="4" t="s">
        <v>262</v>
      </c>
      <c r="K187" s="14"/>
      <c r="L187" s="14">
        <v>280000</v>
      </c>
    </row>
    <row r="188" spans="10:12" x14ac:dyDescent="0.3">
      <c r="J188" s="4" t="s">
        <v>28</v>
      </c>
      <c r="K188" s="14">
        <v>6751982</v>
      </c>
      <c r="L188" s="14">
        <v>6685876</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G8" sqref="G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F8" t="s">
        <v>115</v>
      </c>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G10">
        <f>SUMIFS(Table14[Debit], Table14[Date], Table8[[#This Row],[Date]], Table14[Party], Table8[[#This Row],[Party]])</f>
        <v>0</v>
      </c>
      <c r="H10">
        <f>Table8[[#This Row],[Price]]-Table8[[#This Row],[Paid]]</f>
        <v>0</v>
      </c>
      <c r="K10" s="26">
        <v>46008</v>
      </c>
      <c r="M10">
        <v>0</v>
      </c>
    </row>
    <row r="11" spans="1:14" x14ac:dyDescent="0.3">
      <c r="G11">
        <f>SUMIFS(Table14[Debit], Table14[Date], Table8[[#This Row],[Date]], Table14[Party], Table8[[#This Row],[Party]])</f>
        <v>0</v>
      </c>
      <c r="H11">
        <f>Table8[[#This Row],[Price]]-Table8[[#This Row],[Paid]]</f>
        <v>0</v>
      </c>
      <c r="K11" s="26">
        <v>46044</v>
      </c>
      <c r="L11">
        <v>255000</v>
      </c>
      <c r="M11">
        <v>255000</v>
      </c>
    </row>
    <row r="12" spans="1:14" x14ac:dyDescent="0.3">
      <c r="G12">
        <f>SUMIFS(Table14[Debit], Table14[Date], Table8[[#This Row],[Date]], Table14[Party], Table8[[#This Row],[Party]])</f>
        <v>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M13">
        <v>0</v>
      </c>
    </row>
    <row r="14" spans="1:14" x14ac:dyDescent="0.3">
      <c r="G14">
        <f>SUMIFS(Table14[Debit], Table14[Date], Table8[[#This Row],[Date]], Table14[Party], Table8[[#This Row],[Party]])</f>
        <v>0</v>
      </c>
      <c r="H14">
        <f>Table8[[#This Row],[Price]]-Table8[[#This Row],[Paid]]</f>
        <v>0</v>
      </c>
      <c r="K14" s="4" t="s">
        <v>28</v>
      </c>
      <c r="L14">
        <v>255000</v>
      </c>
      <c r="M14">
        <v>95750</v>
      </c>
    </row>
    <row r="15" spans="1:14" x14ac:dyDescent="0.3">
      <c r="G15">
        <f>SUMIFS(Table14[Debit], Table14[Date], Table8[[#This Row],[Date]], Table14[Party], Table8[[#This Row],[Party]])</f>
        <v>0</v>
      </c>
      <c r="H15">
        <f>Table8[[#This Row],[Price]]-Table8[[#This Row],[Paid]]</f>
        <v>0</v>
      </c>
    </row>
    <row r="16" spans="1:14" x14ac:dyDescent="0.3">
      <c r="E16">
        <f>SUBTOTAL(109,Table8[Price])</f>
        <v>255000</v>
      </c>
      <c r="H16">
        <f>SUBTOTAL(109,Table8[Balance])</f>
        <v>95750</v>
      </c>
    </row>
    <row r="23" spans="1:12" x14ac:dyDescent="0.3">
      <c r="A23" t="s">
        <v>57</v>
      </c>
      <c r="B23" t="s">
        <v>156</v>
      </c>
      <c r="C23" t="s">
        <v>157</v>
      </c>
      <c r="D23" t="s">
        <v>4</v>
      </c>
      <c r="E23" t="s">
        <v>158</v>
      </c>
    </row>
    <row r="24" spans="1:12" x14ac:dyDescent="0.3">
      <c r="A24" t="s">
        <v>131</v>
      </c>
      <c r="B24">
        <v>1</v>
      </c>
      <c r="C24">
        <v>25</v>
      </c>
      <c r="D24">
        <v>1400</v>
      </c>
      <c r="E24">
        <f>Table2325[[#This Row],[boxes]]*Table2325[[#This Row],[kgs]]*Table2325[[#This Row],[Rate]]</f>
        <v>35000</v>
      </c>
    </row>
    <row r="25" spans="1:12" x14ac:dyDescent="0.3">
      <c r="A25" t="s">
        <v>129</v>
      </c>
      <c r="B25">
        <v>1</v>
      </c>
      <c r="C25">
        <v>3</v>
      </c>
      <c r="D25">
        <v>1340</v>
      </c>
      <c r="E25">
        <f>Table2325[[#This Row],[boxes]]*Table2325[[#This Row],[kgs]]*Table2325[[#This Row],[Rate]]</f>
        <v>4020</v>
      </c>
    </row>
    <row r="26" spans="1:12" x14ac:dyDescent="0.3">
      <c r="A26" t="s">
        <v>147</v>
      </c>
      <c r="B26">
        <v>1</v>
      </c>
      <c r="D26">
        <v>1120</v>
      </c>
      <c r="E26">
        <f>Table2325[[#This Row],[boxes]]*Table2325[[#This Row],[kgs]]*Table2325[[#This Row],[Rate]]</f>
        <v>0</v>
      </c>
    </row>
    <row r="27" spans="1:12" x14ac:dyDescent="0.3">
      <c r="A27" t="s">
        <v>126</v>
      </c>
      <c r="B27">
        <v>1</v>
      </c>
      <c r="C27">
        <v>25</v>
      </c>
      <c r="D27">
        <v>1120</v>
      </c>
      <c r="E27">
        <f>Table2325[[#This Row],[boxes]]*Table2325[[#This Row],[kgs]]*Table2325[[#This Row],[Rate]]</f>
        <v>28000</v>
      </c>
    </row>
    <row r="28" spans="1:12" x14ac:dyDescent="0.3">
      <c r="A28" t="s">
        <v>125</v>
      </c>
      <c r="B28">
        <v>1</v>
      </c>
      <c r="C28">
        <v>25</v>
      </c>
      <c r="D28">
        <v>1120</v>
      </c>
      <c r="E28">
        <f>Table2325[[#This Row],[boxes]]*Table2325[[#This Row],[kgs]]*Table2325[[#This Row],[Rate]]</f>
        <v>28000</v>
      </c>
    </row>
    <row r="29" spans="1:12" x14ac:dyDescent="0.3">
      <c r="A29" t="s">
        <v>146</v>
      </c>
      <c r="B29">
        <v>1</v>
      </c>
      <c r="D29">
        <v>1300</v>
      </c>
      <c r="E29">
        <f>Table2325[[#This Row],[boxes]]*Table2325[[#This Row],[kgs]]*Table2325[[#This Row],[Rate]]</f>
        <v>0</v>
      </c>
    </row>
    <row r="30" spans="1:12" x14ac:dyDescent="0.3">
      <c r="A30" t="s">
        <v>132</v>
      </c>
      <c r="B30">
        <v>1</v>
      </c>
      <c r="C30">
        <v>25</v>
      </c>
      <c r="D30">
        <v>1450</v>
      </c>
      <c r="E30">
        <f>Table2325[[#This Row],[boxes]]*Table2325[[#This Row],[kgs]]*Table2325[[#This Row],[Rate]]</f>
        <v>36250</v>
      </c>
    </row>
    <row r="31" spans="1:12" x14ac:dyDescent="0.3">
      <c r="A31" t="s">
        <v>159</v>
      </c>
      <c r="B31">
        <v>1</v>
      </c>
      <c r="C31">
        <v>25</v>
      </c>
      <c r="D31">
        <v>940</v>
      </c>
      <c r="E31">
        <f>Table2325[[#This Row],[boxes]]*Table2325[[#This Row],[kgs]]*Table2325[[#This Row],[Rate]]</f>
        <v>23500</v>
      </c>
    </row>
    <row r="32" spans="1:12"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A16" sqref="A1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0</v>
      </c>
      <c r="L7">
        <v>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120000</v>
      </c>
      <c r="L8">
        <v>0</v>
      </c>
      <c r="M8">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520200</v>
      </c>
      <c r="L12">
        <v>49200</v>
      </c>
      <c r="M1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c r="F16">
        <f>SUBTOTAL(109,Table2[Price])</f>
        <v>540600</v>
      </c>
      <c r="G16">
        <f>SUBTOTAL(109,Table2[Paid])</f>
        <v>69600</v>
      </c>
      <c r="H16">
        <f>SUBTOTAL(109,Table2[Balance])</f>
        <v>471000</v>
      </c>
    </row>
    <row r="24" spans="9:11" x14ac:dyDescent="0.3">
      <c r="I24" t="s">
        <v>57</v>
      </c>
      <c r="J24" t="s">
        <v>174</v>
      </c>
      <c r="K24" t="s">
        <v>203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F20" sqref="F2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1081824</v>
      </c>
      <c r="C2" s="32">
        <f>GETPIVOTDATA("Sum of Tiyaar/gaz",$A$3)</f>
        <v>781671</v>
      </c>
      <c r="D2" s="31">
        <f>((B2*48)+((C2/1.0936)*10))/C2</f>
        <v>75.575579162932129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21343</v>
      </c>
      <c r="D5" s="28">
        <f t="shared" ref="D5:D38" si="1">I5</f>
        <v>147.20455255489972</v>
      </c>
      <c r="E5" s="11">
        <f t="shared" ref="E5:E38" si="2">B5 * 1.0936</f>
        <v>67133.916799999992</v>
      </c>
      <c r="F5" s="11">
        <f t="shared" si="0"/>
        <v>21343</v>
      </c>
      <c r="G5" s="78">
        <f>100- (F5/E5 *100)</f>
        <v>68.208320000777903</v>
      </c>
      <c r="H5" s="28">
        <f t="shared" ref="H5:H38" si="3">F5/1.0936</f>
        <v>19516.276517922459</v>
      </c>
      <c r="I5" s="28">
        <f>((B5*48)+(H5*10))/C5</f>
        <v>147.20455255489972</v>
      </c>
      <c r="J5" s="28"/>
      <c r="K5" s="28"/>
      <c r="L5" s="28"/>
    </row>
    <row r="6" spans="1:12" x14ac:dyDescent="0.3">
      <c r="A6" s="16">
        <v>2006</v>
      </c>
      <c r="B6" s="14">
        <v>24208</v>
      </c>
      <c r="C6" s="14">
        <v>9123</v>
      </c>
      <c r="D6" s="28">
        <f t="shared" si="1"/>
        <v>136.51273993293796</v>
      </c>
      <c r="E6" s="11">
        <f t="shared" si="2"/>
        <v>26473.868799999997</v>
      </c>
      <c r="F6" s="11">
        <f t="shared" si="0"/>
        <v>9123</v>
      </c>
      <c r="G6" s="78">
        <f t="shared" ref="G6:G18" si="4">100- (F6/E6 *100)</f>
        <v>65.539604094434424</v>
      </c>
      <c r="H6" s="28">
        <f t="shared" si="3"/>
        <v>8342.1726408193135</v>
      </c>
      <c r="I6" s="28">
        <f>((B6*48)+(H6*10))/C6</f>
        <v>136.51273993293796</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6670</v>
      </c>
      <c r="D27" s="28">
        <f t="shared" si="1"/>
        <v>75.084740877549521</v>
      </c>
      <c r="E27" s="11">
        <f t="shared" si="2"/>
        <v>10020.656799999999</v>
      </c>
      <c r="F27" s="11">
        <f t="shared" si="0"/>
        <v>6670</v>
      </c>
      <c r="G27" s="78">
        <f t="shared" si="6"/>
        <v>33.437496831545005</v>
      </c>
      <c r="H27" s="28">
        <f t="shared" si="3"/>
        <v>6099.1221653255307</v>
      </c>
      <c r="I27" s="28">
        <f t="shared" si="5"/>
        <v>75.084740877549521</v>
      </c>
    </row>
    <row r="28" spans="1:9" x14ac:dyDescent="0.3">
      <c r="A28" s="16">
        <v>1978</v>
      </c>
      <c r="B28" s="14">
        <v>15801</v>
      </c>
      <c r="C28" s="14">
        <v>8765</v>
      </c>
      <c r="D28" s="28">
        <f t="shared" si="1"/>
        <v>95.675543023538708</v>
      </c>
      <c r="E28" s="11">
        <f t="shared" si="2"/>
        <v>17279.973599999998</v>
      </c>
      <c r="F28" s="11">
        <f t="shared" si="0"/>
        <v>8765</v>
      </c>
      <c r="G28" s="78">
        <f t="shared" si="6"/>
        <v>49.276542876199755</v>
      </c>
      <c r="H28" s="28">
        <f t="shared" si="3"/>
        <v>8014.813460131676</v>
      </c>
      <c r="I28" s="28">
        <f t="shared" si="5"/>
        <v>95.675543023538708</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16261</v>
      </c>
      <c r="D37" s="28">
        <f t="shared" si="7"/>
        <v>160.00420589751479</v>
      </c>
      <c r="E37" s="11">
        <f t="shared" si="8"/>
        <v>55890.615199999993</v>
      </c>
      <c r="F37" s="11">
        <f t="shared" si="9"/>
        <v>16261</v>
      </c>
      <c r="G37" s="78">
        <f t="shared" si="10"/>
        <v>70.905670045299473</v>
      </c>
      <c r="H37" s="28">
        <f t="shared" si="11"/>
        <v>14869.239209948793</v>
      </c>
      <c r="I37" s="28">
        <f t="shared" si="12"/>
        <v>160.00420589751479</v>
      </c>
    </row>
    <row r="38" spans="1:9" x14ac:dyDescent="0.3">
      <c r="A38" s="16" t="s">
        <v>28</v>
      </c>
      <c r="B38" s="30">
        <v>100417</v>
      </c>
      <c r="C38" s="30">
        <v>781671</v>
      </c>
      <c r="D38" s="28">
        <f t="shared" si="1"/>
        <v>15.310408777949196</v>
      </c>
      <c r="E38" s="11">
        <f t="shared" si="2"/>
        <v>109816.0312</v>
      </c>
      <c r="F38" s="11">
        <f t="shared" si="0"/>
        <v>781671</v>
      </c>
      <c r="G38" s="78">
        <f t="shared" si="6"/>
        <v>-611.80044612648499</v>
      </c>
      <c r="H38" s="28">
        <f t="shared" si="3"/>
        <v>714768.65398683259</v>
      </c>
      <c r="I38" s="28">
        <f t="shared" si="5"/>
        <v>15.310408777949196</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12075952.013167527</v>
      </c>
    </row>
    <row r="3" spans="1:3" ht="21" x14ac:dyDescent="0.4">
      <c r="A3" s="102" t="str">
        <f>Billing!Q6</f>
        <v>Ejaz Sahab</v>
      </c>
      <c r="B3" s="105">
        <f>Billing!AD6</f>
        <v>5510319</v>
      </c>
      <c r="C3" s="103">
        <f>Billing!AE6</f>
        <v>-59968.780541330576</v>
      </c>
    </row>
    <row r="4" spans="1:3" ht="21" x14ac:dyDescent="0.4">
      <c r="A4" s="102" t="str">
        <f>Billing!Q7</f>
        <v>Arshad</v>
      </c>
      <c r="B4" s="105">
        <f>Billing!AD7</f>
        <v>7835501</v>
      </c>
      <c r="C4" s="104">
        <f>Billing!AE7</f>
        <v>253259.0585223129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205183.83833211474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2956025</v>
      </c>
      <c r="C21" s="103">
        <f>Billing!AE24</f>
        <v>110517.61155815702</v>
      </c>
    </row>
    <row r="22" spans="1:3" ht="21" x14ac:dyDescent="0.4">
      <c r="A22" s="102" t="str">
        <f>Billing!Q25</f>
        <v>Shahid Qasayi</v>
      </c>
      <c r="B22" s="105">
        <f>Billing!AD25</f>
        <v>2886197</v>
      </c>
      <c r="C22" s="103">
        <f>Billing!AE25</f>
        <v>50362.985369422007</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0</v>
      </c>
      <c r="C28" s="103">
        <f>Billing!AE31</f>
        <v>595924.46964155091</v>
      </c>
    </row>
  </sheetData>
  <conditionalFormatting sqref="C2:C28">
    <cfRule type="cellIs" dxfId="15" priority="1" operator="lessThan">
      <formula>10</formula>
    </cfRule>
  </conditionalFormatting>
  <conditionalFormatting sqref="C2:C29">
    <cfRule type="cellIs" dxfId="1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2026-02-01T19:58:25Z</dcterms:modified>
  <cp:category/>
  <cp:contentStatus/>
</cp:coreProperties>
</file>