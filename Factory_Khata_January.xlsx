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2" documentId="8_{EB9B3F02-843B-43AB-9D1E-44A7B86FB663}" xr6:coauthVersionLast="47" xr6:coauthVersionMax="47" xr10:uidLastSave="{503355BE-92FB-4D9B-91E4-8D8B186B8345}"/>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6" r:id="rId19"/>
    <pivotCache cacheId="80" r:id="rId20"/>
    <pivotCache cacheId="86" r:id="rId21"/>
    <pivotCache cacheId="91" r:id="rId22"/>
    <pivotCache cacheId="95" r:id="rId23"/>
    <pivotCache cacheId="99"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9" i="1" l="1"/>
  <c r="J79" i="1" s="1" a="1"/>
  <c r="J79" i="1" s="1"/>
  <c r="I80" i="1"/>
  <c r="J80" i="1" a="1"/>
  <c r="J80" i="1" s="1"/>
  <c r="I81" i="1"/>
  <c r="J81" i="1" a="1"/>
  <c r="J81" i="1" s="1"/>
  <c r="I82" i="1"/>
  <c r="J82" i="1" a="1"/>
  <c r="J82" i="1" s="1"/>
  <c r="I83" i="1"/>
  <c r="J83" i="1" a="1"/>
  <c r="J83" i="1" s="1"/>
  <c r="I84" i="1"/>
  <c r="J84" i="1" s="1" a="1"/>
  <c r="J84" i="1" s="1"/>
  <c r="I85" i="1"/>
  <c r="J85" i="1" s="1" a="1"/>
  <c r="J85" i="1" s="1"/>
  <c r="I86" i="1"/>
  <c r="J86" i="1" a="1"/>
  <c r="J86" i="1" s="1"/>
  <c r="I87" i="1"/>
  <c r="J87" i="1" s="1" a="1"/>
  <c r="J87" i="1" s="1"/>
  <c r="I88" i="1"/>
  <c r="J88" i="1" a="1"/>
  <c r="J88" i="1"/>
  <c r="I89" i="1"/>
  <c r="J89" i="1" s="1" a="1"/>
  <c r="J89" i="1" s="1"/>
  <c r="I90" i="1"/>
  <c r="J90" i="1" s="1" a="1"/>
  <c r="J90" i="1" s="1"/>
  <c r="I91" i="1"/>
  <c r="J91" i="1" s="1" a="1"/>
  <c r="J91" i="1" s="1"/>
  <c r="I92" i="1"/>
  <c r="J92" i="1" s="1" a="1"/>
  <c r="J92" i="1" s="1"/>
  <c r="I93" i="1"/>
  <c r="J93" i="1" a="1"/>
  <c r="J93" i="1" s="1"/>
  <c r="I94" i="1"/>
  <c r="J94" i="1" s="1" a="1"/>
  <c r="J94" i="1" s="1"/>
  <c r="I95" i="1"/>
  <c r="J95" i="1" a="1"/>
  <c r="J95" i="1" s="1"/>
  <c r="I96" i="1"/>
  <c r="J96" i="1" s="1" a="1"/>
  <c r="J96" i="1" s="1"/>
  <c r="I97" i="1"/>
  <c r="J97" i="1" s="1" a="1"/>
  <c r="J97" i="1" s="1"/>
  <c r="F13" i="15"/>
  <c r="G27" i="6"/>
  <c r="G26" i="6"/>
  <c r="G25" i="6"/>
  <c r="I24" i="6"/>
  <c r="G24" i="6"/>
  <c r="G23" i="6"/>
  <c r="I22" i="6"/>
  <c r="G22" i="6"/>
  <c r="I21" i="6"/>
  <c r="G21" i="6"/>
  <c r="I20" i="6"/>
  <c r="G20" i="6"/>
  <c r="G19" i="6"/>
  <c r="D3" i="17"/>
  <c r="B19" i="21"/>
  <c r="B23" i="21"/>
  <c r="B25" i="21"/>
  <c r="B21" i="21"/>
  <c r="B7" i="21"/>
  <c r="B11" i="21"/>
  <c r="B8" i="21"/>
  <c r="G77" i="9" a="1"/>
  <c r="G77" i="9" s="1"/>
  <c r="H77" i="9" a="1"/>
  <c r="H77" i="9" s="1"/>
  <c r="I77" i="9" a="1"/>
  <c r="I77" i="9" s="1"/>
  <c r="J77" i="9" a="1"/>
  <c r="J77" i="9" s="1"/>
  <c r="K77" i="9" a="1"/>
  <c r="K77" i="9" s="1"/>
  <c r="L77" i="9" a="1"/>
  <c r="L77" i="9" s="1"/>
  <c r="M77" i="9" a="1"/>
  <c r="M77" i="9" s="1"/>
  <c r="O77" i="9"/>
  <c r="G78" i="9" a="1"/>
  <c r="G78" i="9" s="1"/>
  <c r="H78" i="9" a="1"/>
  <c r="H78" i="9" s="1"/>
  <c r="I78" i="9" a="1"/>
  <c r="I78" i="9" s="1"/>
  <c r="J78" i="9" a="1"/>
  <c r="J78" i="9" s="1"/>
  <c r="K78" i="9" a="1"/>
  <c r="K78" i="9" s="1"/>
  <c r="L78" i="9" a="1"/>
  <c r="L78" i="9" s="1"/>
  <c r="M78" i="9" a="1"/>
  <c r="M78" i="9" s="1"/>
  <c r="O78" i="9"/>
  <c r="G79" i="9" a="1"/>
  <c r="G79" i="9" s="1"/>
  <c r="H79" i="9" a="1"/>
  <c r="H79" i="9" s="1"/>
  <c r="I79" i="9" a="1"/>
  <c r="I79" i="9" s="1"/>
  <c r="J79" i="9" a="1"/>
  <c r="J79" i="9" s="1"/>
  <c r="K79" i="9" a="1"/>
  <c r="K79" i="9" s="1"/>
  <c r="L79" i="9" a="1"/>
  <c r="L79" i="9" s="1"/>
  <c r="M79" i="9" a="1"/>
  <c r="M79" i="9" s="1"/>
  <c r="N77" i="9" l="1"/>
  <c r="P77" i="9" s="1"/>
  <c r="D2" i="17"/>
  <c r="I23" i="6"/>
  <c r="I19" i="6"/>
  <c r="I25" i="6"/>
  <c r="I26" i="6"/>
  <c r="I27" i="6"/>
  <c r="B10" i="21"/>
  <c r="B16" i="21"/>
  <c r="B22" i="21"/>
  <c r="B4" i="21"/>
  <c r="B3" i="21"/>
  <c r="B2" i="21"/>
  <c r="B13" i="21"/>
  <c r="B9" i="21"/>
  <c r="B17" i="21"/>
  <c r="B18" i="21"/>
  <c r="B26" i="21"/>
  <c r="B5" i="21"/>
  <c r="B27" i="21"/>
  <c r="B6" i="21"/>
  <c r="B15" i="21"/>
  <c r="B14" i="21"/>
  <c r="B24" i="21"/>
  <c r="B12" i="21"/>
  <c r="B20" i="21"/>
  <c r="N78" i="9"/>
  <c r="P78" i="9" s="1"/>
  <c r="N79" i="9"/>
  <c r="J59" i="1" l="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2" i="9"/>
  <c r="R33" i="9" s="1" a="1"/>
  <c r="R33" i="9" s="1"/>
  <c r="D112" i="9"/>
  <c r="S33" i="9" s="1" a="1"/>
  <c r="S33" i="9" s="1"/>
  <c r="E112" i="9"/>
  <c r="T33" i="9" s="1" a="1"/>
  <c r="T33" i="9" s="1"/>
  <c r="F112" i="9"/>
  <c r="U33" i="9" s="1" a="1"/>
  <c r="U33" i="9" s="1"/>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R34" i="9" s="1" a="1"/>
  <c r="R34" i="9" s="1"/>
  <c r="D113" i="9"/>
  <c r="S34" i="9" s="1" a="1"/>
  <c r="S34" i="9" s="1"/>
  <c r="E113" i="9"/>
  <c r="T34" i="9" s="1" a="1"/>
  <c r="T34" i="9" s="1"/>
  <c r="F113" i="9"/>
  <c r="U34" i="9" s="1" a="1"/>
  <c r="U34" i="9" s="1"/>
  <c r="G113" i="9"/>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R35" i="9" s="1" a="1"/>
  <c r="R35" i="9" s="1"/>
  <c r="D114" i="9"/>
  <c r="S35" i="9" s="1" a="1"/>
  <c r="S35" i="9" s="1"/>
  <c r="E114" i="9"/>
  <c r="T35" i="9" s="1" a="1"/>
  <c r="T35" i="9" s="1"/>
  <c r="F114" i="9"/>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H115" i="9"/>
  <c r="I115" i="9"/>
  <c r="X36" i="9" s="1" a="1"/>
  <c r="X36" i="9" s="1"/>
  <c r="J115" i="9"/>
  <c r="Y36" i="9" s="1" a="1"/>
  <c r="Y36" i="9" s="1"/>
  <c r="K115" i="9"/>
  <c r="Z36" i="9" s="1" a="1"/>
  <c r="Z36" i="9" s="1"/>
  <c r="L115" i="9"/>
  <c r="AA36" i="9" s="1" a="1"/>
  <c r="AA36" i="9" s="1"/>
  <c r="M115" i="9"/>
  <c r="AB36" i="9" s="1" a="1"/>
  <c r="AB36" i="9" s="1"/>
  <c r="O115" i="9"/>
  <c r="AD36" i="9" s="1"/>
  <c r="J37" i="14"/>
  <c r="J38" i="14"/>
  <c r="J39" i="14"/>
  <c r="J40" i="14"/>
  <c r="J41" i="14"/>
  <c r="J42" i="14"/>
  <c r="D38" i="14"/>
  <c r="D39" i="14"/>
  <c r="D40" i="14"/>
  <c r="D41" i="14"/>
  <c r="D38" i="18"/>
  <c r="D39" i="18"/>
  <c r="D40" i="18"/>
  <c r="D41" i="18"/>
  <c r="D42" i="18"/>
  <c r="D43" i="18"/>
  <c r="E38" i="18"/>
  <c r="E39" i="18"/>
  <c r="E40" i="18"/>
  <c r="E41" i="18"/>
  <c r="E42" i="18"/>
  <c r="E43" i="18"/>
  <c r="I70" i="1"/>
  <c r="J70" i="1" s="1" a="1"/>
  <c r="J70" i="1" s="1"/>
  <c r="I71" i="1"/>
  <c r="J71" i="1" s="1" a="1"/>
  <c r="J71" i="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F12" i="15"/>
  <c r="G10" i="15"/>
  <c r="H10" i="15" s="1"/>
  <c r="G11" i="15"/>
  <c r="H11" i="15" s="1"/>
  <c r="G12" i="15"/>
  <c r="H12" i="15" s="1"/>
  <c r="G13" i="15"/>
  <c r="H13" i="15" s="1"/>
  <c r="I60" i="1"/>
  <c r="J60" i="1" s="1" a="1"/>
  <c r="J60" i="1" s="1"/>
  <c r="I61" i="1"/>
  <c r="J61" i="1" s="1" a="1"/>
  <c r="J61" i="1" s="1"/>
  <c r="I62" i="1"/>
  <c r="J62" i="1" s="1" a="1"/>
  <c r="J62" i="1"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G6" i="7"/>
  <c r="H6" i="7" s="1"/>
  <c r="G7" i="7"/>
  <c r="H7" i="7" s="1"/>
  <c r="G8" i="7"/>
  <c r="H8" i="7" s="1"/>
  <c r="G5" i="15"/>
  <c r="G6" i="15"/>
  <c r="G7" i="15"/>
  <c r="G8" i="15"/>
  <c r="G9" i="15"/>
  <c r="N6" i="17"/>
  <c r="C7" i="8"/>
  <c r="U35" i="9" a="1"/>
  <c r="U35" i="9" s="1"/>
  <c r="V36" i="9" a="1"/>
  <c r="V36" i="9" s="1"/>
  <c r="W36" i="9" a="1"/>
  <c r="W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s="1"/>
  <c r="B49" i="9" a="1"/>
  <c r="E9"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s="1"/>
  <c r="F76" i="2"/>
  <c r="H76" i="2" s="1"/>
  <c r="I76" i="2" s="1"/>
  <c r="D76" i="2" s="1"/>
  <c r="E77" i="2"/>
  <c r="G77" i="2" s="1"/>
  <c r="F77" i="2"/>
  <c r="E78" i="2"/>
  <c r="F78" i="2"/>
  <c r="H78" i="2" s="1"/>
  <c r="I78" i="2" s="1"/>
  <c r="D78" i="2" s="1"/>
  <c r="E79" i="2"/>
  <c r="F79" i="2"/>
  <c r="H79" i="2" s="1"/>
  <c r="I79" i="2" s="1"/>
  <c r="D79" i="2" s="1"/>
  <c r="E80" i="2"/>
  <c r="F80" i="2"/>
  <c r="G80" i="2" s="1"/>
  <c r="H80" i="2"/>
  <c r="I80" i="2" s="1"/>
  <c r="D80" i="2" s="1"/>
  <c r="E81" i="2"/>
  <c r="F81" i="2"/>
  <c r="G81" i="2"/>
  <c r="E82" i="2"/>
  <c r="F82" i="2"/>
  <c r="Q5" i="9" a="1"/>
  <c r="A13"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G122" i="6" s="1"/>
  <c r="E56" i="2"/>
  <c r="G56" i="2" s="1"/>
  <c r="F56" i="2"/>
  <c r="E57" i="2"/>
  <c r="F57" i="2"/>
  <c r="H57" i="2" s="1"/>
  <c r="I57" i="2" s="1"/>
  <c r="D57" i="2" s="1"/>
  <c r="E58" i="2"/>
  <c r="F58" i="2"/>
  <c r="G58" i="2" s="1"/>
  <c r="F27" i="2"/>
  <c r="H27" i="2" s="1"/>
  <c r="I27" i="2" s="1"/>
  <c r="D27" i="2" s="1"/>
  <c r="E27" i="2"/>
  <c r="G27" i="2" s="1"/>
  <c r="H94" i="1" s="1"/>
  <c r="E59" i="2"/>
  <c r="F59" i="2"/>
  <c r="H59" i="2" s="1"/>
  <c r="I59" i="2" s="1"/>
  <c r="D59" i="2" s="1"/>
  <c r="F28" i="2"/>
  <c r="H28" i="2" s="1"/>
  <c r="I28" i="2" s="1"/>
  <c r="D28" i="2" s="1"/>
  <c r="E28" i="2"/>
  <c r="G28" i="2" s="1"/>
  <c r="E60" i="2"/>
  <c r="F60" i="2"/>
  <c r="H60" i="2" s="1"/>
  <c r="I60" i="2" s="1"/>
  <c r="D60" i="2" s="1"/>
  <c r="E61" i="2"/>
  <c r="F61" i="2"/>
  <c r="H61" i="2"/>
  <c r="I61" i="2" s="1"/>
  <c r="D61" i="2" s="1"/>
  <c r="E62" i="2"/>
  <c r="F62" i="2"/>
  <c r="H62" i="2" s="1"/>
  <c r="I62" i="2" s="1"/>
  <c r="D62" i="2" s="1"/>
  <c r="E63" i="2"/>
  <c r="F63" i="2"/>
  <c r="H63" i="2" s="1"/>
  <c r="I63" i="2" s="1"/>
  <c r="D63" i="2" s="1"/>
  <c r="E64" i="2"/>
  <c r="G64" i="2" s="1"/>
  <c r="F64" i="2"/>
  <c r="H64" i="2" s="1"/>
  <c r="I64" i="2" s="1"/>
  <c r="D64" i="2" s="1"/>
  <c r="E65" i="2"/>
  <c r="F65" i="2"/>
  <c r="G65" i="2" s="1"/>
  <c r="E66" i="2"/>
  <c r="F66" i="2"/>
  <c r="G66" i="2" s="1"/>
  <c r="H66" i="2"/>
  <c r="I66" i="2" s="1"/>
  <c r="D66" i="2" s="1"/>
  <c r="E67" i="2"/>
  <c r="F67" i="2"/>
  <c r="H67" i="2" s="1"/>
  <c r="I67" i="2" s="1"/>
  <c r="D67" i="2" s="1"/>
  <c r="E68" i="2"/>
  <c r="F68" i="2"/>
  <c r="G68" i="2" s="1"/>
  <c r="E69" i="2"/>
  <c r="F69" i="2"/>
  <c r="H69" i="2" s="1"/>
  <c r="I69" i="2" s="1"/>
  <c r="D69" i="2" s="1"/>
  <c r="E70" i="2"/>
  <c r="G70" i="2" s="1"/>
  <c r="F70" i="2"/>
  <c r="H70" i="2" s="1"/>
  <c r="I70" i="2" s="1"/>
  <c r="D70" i="2" s="1"/>
  <c r="E71" i="2"/>
  <c r="F71" i="2"/>
  <c r="H71" i="2"/>
  <c r="I71" i="2" s="1"/>
  <c r="D71" i="2" s="1"/>
  <c r="E72" i="2"/>
  <c r="F72" i="2"/>
  <c r="H72" i="2"/>
  <c r="I72" i="2" s="1"/>
  <c r="D72" i="2" s="1"/>
  <c r="E73" i="2"/>
  <c r="F73" i="2"/>
  <c r="H73" i="2" s="1"/>
  <c r="I73" i="2" s="1"/>
  <c r="D73" i="2" s="1"/>
  <c r="E45" i="2"/>
  <c r="F45" i="2"/>
  <c r="H45" i="2" s="1"/>
  <c r="I45" i="2" s="1"/>
  <c r="D45" i="2" s="1"/>
  <c r="E46" i="2"/>
  <c r="F46" i="2"/>
  <c r="E47" i="2"/>
  <c r="F47" i="2"/>
  <c r="G47" i="2" s="1"/>
  <c r="E48" i="2"/>
  <c r="F48" i="2"/>
  <c r="F20" i="2"/>
  <c r="H20" i="2" s="1"/>
  <c r="I20" i="2" s="1"/>
  <c r="D20" i="2" s="1"/>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G53" i="2" s="1"/>
  <c r="H53" i="2"/>
  <c r="I53" i="2" s="1"/>
  <c r="D53" i="2" s="1"/>
  <c r="E54" i="2"/>
  <c r="F54" i="2"/>
  <c r="F24" i="2"/>
  <c r="H24" i="2" s="1"/>
  <c r="I24" i="2" s="1"/>
  <c r="D24" i="2" s="1"/>
  <c r="E24" i="2"/>
  <c r="E55" i="2"/>
  <c r="F55" i="2"/>
  <c r="H55" i="2" s="1"/>
  <c r="I55" i="2" s="1"/>
  <c r="D55" i="2" s="1"/>
  <c r="F25" i="2"/>
  <c r="E25" i="2"/>
  <c r="G2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F5" i="2"/>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G37" i="2" s="1"/>
  <c r="F37" i="2"/>
  <c r="H37" i="2"/>
  <c r="I37" i="2" s="1"/>
  <c r="D37" i="2" s="1"/>
  <c r="E39" i="2"/>
  <c r="F39" i="2"/>
  <c r="H39" i="2" s="1"/>
  <c r="I39" i="2" s="1"/>
  <c r="D39" i="2" s="1"/>
  <c r="E40" i="2"/>
  <c r="F40" i="2"/>
  <c r="E41" i="2"/>
  <c r="F41" i="2"/>
  <c r="H41" i="2"/>
  <c r="I41" i="2" s="1"/>
  <c r="D41" i="2" s="1"/>
  <c r="E42" i="2"/>
  <c r="F42" i="2"/>
  <c r="H42" i="2" s="1"/>
  <c r="I42" i="2" s="1"/>
  <c r="D42" i="2" s="1"/>
  <c r="E43" i="2"/>
  <c r="F43" i="2"/>
  <c r="H43" i="2"/>
  <c r="I43" i="2" s="1"/>
  <c r="D43" i="2" s="1"/>
  <c r="E44" i="2"/>
  <c r="G44" i="2" s="1"/>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83" i="1" s="1"/>
  <c r="F15" i="2"/>
  <c r="H15" i="2" s="1"/>
  <c r="I15" i="2" s="1"/>
  <c r="D15" i="2" s="1"/>
  <c r="E15" i="2"/>
  <c r="G15" i="2" s="1"/>
  <c r="F16" i="2"/>
  <c r="E16" i="2"/>
  <c r="F26" i="2"/>
  <c r="H26" i="2" s="1"/>
  <c r="I26" i="2" s="1"/>
  <c r="D26" i="2" s="1"/>
  <c r="E26" i="2"/>
  <c r="F29" i="2"/>
  <c r="H29" i="2" s="1"/>
  <c r="I29" i="2" s="1"/>
  <c r="D29" i="2" s="1"/>
  <c r="E29" i="2"/>
  <c r="F30" i="2"/>
  <c r="H30" i="2" s="1"/>
  <c r="I30" i="2" s="1"/>
  <c r="D30" i="2" s="1"/>
  <c r="F31" i="2"/>
  <c r="H31" i="2"/>
  <c r="I31" i="2" s="1"/>
  <c r="D31" i="2" s="1"/>
  <c r="E31" i="2"/>
  <c r="H43" i="1"/>
  <c r="F32" i="2"/>
  <c r="H32" i="2" s="1"/>
  <c r="I32" i="2" s="1"/>
  <c r="D32" i="2" s="1"/>
  <c r="F14" i="2"/>
  <c r="H14" i="2" s="1"/>
  <c r="I14" i="2" s="1"/>
  <c r="D14" i="2" s="1"/>
  <c r="E14" i="2"/>
  <c r="E30" i="2"/>
  <c r="E32" i="2"/>
  <c r="N4" i="17"/>
  <c r="F12" i="2"/>
  <c r="G12" i="2" s="1"/>
  <c r="E12" i="2"/>
  <c r="F11" i="2"/>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s="1"/>
  <c r="G82" i="2"/>
  <c r="H89" i="2"/>
  <c r="I89" i="2"/>
  <c r="D89" i="2"/>
  <c r="H81" i="2"/>
  <c r="I81" i="2"/>
  <c r="D81" i="2"/>
  <c r="G84" i="2"/>
  <c r="H75" i="2"/>
  <c r="I75" i="2" s="1"/>
  <c r="D75" i="2" s="1"/>
  <c r="G86" i="2"/>
  <c r="H90" i="2"/>
  <c r="I90" i="2"/>
  <c r="D90" i="2"/>
  <c r="G85" i="2"/>
  <c r="G92" i="2"/>
  <c r="G88" i="2"/>
  <c r="G83" i="2"/>
  <c r="H88" i="2"/>
  <c r="I88" i="2"/>
  <c r="D88" i="2"/>
  <c r="H86" i="2"/>
  <c r="I86" i="2"/>
  <c r="D86" i="2"/>
  <c r="H41" i="1"/>
  <c r="H33" i="1"/>
  <c r="H16" i="1"/>
  <c r="H18" i="1"/>
  <c r="H48" i="1"/>
  <c r="H57" i="1"/>
  <c r="H28" i="1"/>
  <c r="H56" i="1"/>
  <c r="H35" i="1"/>
  <c r="H26" i="1"/>
  <c r="H24" i="1"/>
  <c r="H51" i="1"/>
  <c r="H7" i="1"/>
  <c r="H52" i="1"/>
  <c r="H20" i="1"/>
  <c r="H13" i="1"/>
  <c r="H30" i="1"/>
  <c r="H22" i="1"/>
  <c r="H31" i="1"/>
  <c r="H58" i="1"/>
  <c r="H32" i="1"/>
  <c r="H14" i="1"/>
  <c r="H10" i="1"/>
  <c r="H19" i="1"/>
  <c r="H44" i="1"/>
  <c r="H25" i="1"/>
  <c r="H17" i="1"/>
  <c r="H11" i="1"/>
  <c r="H27" i="1"/>
  <c r="G67" i="2"/>
  <c r="H65" i="2"/>
  <c r="I65" i="2" s="1"/>
  <c r="D65" i="2" s="1"/>
  <c r="G61" i="2"/>
  <c r="G60" i="2"/>
  <c r="G57" i="2"/>
  <c r="G17" i="2"/>
  <c r="G26" i="2"/>
  <c r="H90" i="1" s="1"/>
  <c r="G11" i="2"/>
  <c r="G40" i="2"/>
  <c r="H11" i="2"/>
  <c r="I11" i="2"/>
  <c r="G19" i="2"/>
  <c r="H58" i="2"/>
  <c r="I58" i="2" s="1"/>
  <c r="D58" i="2" s="1"/>
  <c r="H56" i="2"/>
  <c r="I56" i="2" s="1"/>
  <c r="D56" i="2" s="1"/>
  <c r="G51" i="2"/>
  <c r="G55" i="2"/>
  <c r="K6" i="6"/>
  <c r="C4" i="8" s="1"/>
  <c r="H40" i="2"/>
  <c r="I40" i="2" s="1"/>
  <c r="D40" i="2" s="1"/>
  <c r="G39" i="2"/>
  <c r="G46" i="2"/>
  <c r="G38" i="2"/>
  <c r="H48" i="2"/>
  <c r="I48" i="2" s="1"/>
  <c r="D48" i="2" s="1"/>
  <c r="H25" i="2"/>
  <c r="I25" i="2" s="1"/>
  <c r="D25" i="2" s="1"/>
  <c r="H54" i="2"/>
  <c r="I54" i="2" s="1"/>
  <c r="D54" i="2" s="1"/>
  <c r="H46" i="2"/>
  <c r="I46" i="2"/>
  <c r="D46" i="2" s="1"/>
  <c r="H4" i="2"/>
  <c r="I4" i="2" s="1"/>
  <c r="D4" i="2" s="1"/>
  <c r="G33" i="2"/>
  <c r="G35" i="2"/>
  <c r="G52" i="2"/>
  <c r="C2" i="2"/>
  <c r="G20" i="2" l="1"/>
  <c r="H88" i="1" s="1"/>
  <c r="G16" i="2"/>
  <c r="G6" i="2"/>
  <c r="H12" i="2"/>
  <c r="I12" i="2" s="1"/>
  <c r="D12" i="2" s="1"/>
  <c r="G18" i="2"/>
  <c r="H73" i="1" s="1"/>
  <c r="H95" i="1"/>
  <c r="H96" i="1"/>
  <c r="H87" i="1"/>
  <c r="G21" i="2"/>
  <c r="H76" i="9" a="1"/>
  <c r="H76" i="9" s="1"/>
  <c r="J76" i="9" a="1"/>
  <c r="J76" i="9" s="1"/>
  <c r="K76" i="9" a="1"/>
  <c r="K76" i="9" s="1"/>
  <c r="I76" i="9" a="1"/>
  <c r="I76" i="9" s="1"/>
  <c r="L76" i="9" a="1"/>
  <c r="L76" i="9" s="1"/>
  <c r="M76" i="9" a="1"/>
  <c r="M76" i="9" s="1"/>
  <c r="O76" i="9"/>
  <c r="G76" i="9" a="1"/>
  <c r="G76" i="9" s="1"/>
  <c r="E88" i="9"/>
  <c r="T9" i="9" s="1" a="1"/>
  <c r="T9" i="9" s="1"/>
  <c r="G51" i="9" a="1"/>
  <c r="G51" i="9" s="1"/>
  <c r="H52" i="9" a="1"/>
  <c r="H52" i="9" s="1"/>
  <c r="M54" i="9" a="1"/>
  <c r="M54" i="9" s="1"/>
  <c r="M55" i="9" a="1"/>
  <c r="M55" i="9" s="1"/>
  <c r="J58" i="9" a="1"/>
  <c r="J58" i="9" s="1"/>
  <c r="J60" i="9" a="1"/>
  <c r="J60" i="9" s="1"/>
  <c r="J61" i="9" a="1"/>
  <c r="J61" i="9" s="1"/>
  <c r="L62" i="9" a="1"/>
  <c r="L62" i="9" s="1"/>
  <c r="O63" i="9"/>
  <c r="O64" i="9"/>
  <c r="J67" i="9" a="1"/>
  <c r="J67" i="9" s="1"/>
  <c r="J68" i="9" a="1"/>
  <c r="J68" i="9" s="1"/>
  <c r="J69" i="9" a="1"/>
  <c r="J69" i="9" s="1"/>
  <c r="L71" i="9" a="1"/>
  <c r="L71" i="9" s="1"/>
  <c r="L72" i="9" a="1"/>
  <c r="L72" i="9" s="1"/>
  <c r="L73" i="9" a="1"/>
  <c r="L73" i="9" s="1"/>
  <c r="K74" i="9" a="1"/>
  <c r="K74" i="9" s="1"/>
  <c r="J75" i="9" a="1"/>
  <c r="J75" i="9" s="1"/>
  <c r="J53" i="9" a="1"/>
  <c r="J53" i="9" s="1"/>
  <c r="O55" i="9"/>
  <c r="K57" i="9" a="1"/>
  <c r="K57" i="9" s="1"/>
  <c r="K59" i="9" a="1"/>
  <c r="K59" i="9" s="1"/>
  <c r="K61" i="9" a="1"/>
  <c r="K61" i="9" s="1"/>
  <c r="M62" i="9" a="1"/>
  <c r="M62" i="9" s="1"/>
  <c r="G64" i="9" a="1"/>
  <c r="G64" i="9" s="1"/>
  <c r="G65" i="9" a="1"/>
  <c r="G65" i="9" s="1"/>
  <c r="I66" i="9" a="1"/>
  <c r="I66" i="9" s="1"/>
  <c r="K69" i="9" a="1"/>
  <c r="K69" i="9" s="1"/>
  <c r="L70" i="9" a="1"/>
  <c r="L70" i="9" s="1"/>
  <c r="M72" i="9" a="1"/>
  <c r="M72" i="9" s="1"/>
  <c r="K75" i="9" a="1"/>
  <c r="K75" i="9" s="1"/>
  <c r="I52" i="9" a="1"/>
  <c r="I52" i="9" s="1"/>
  <c r="G50" i="9" a="1"/>
  <c r="G50" i="9" s="1"/>
  <c r="H51" i="9" a="1"/>
  <c r="H51" i="9" s="1"/>
  <c r="J52" i="9" a="1"/>
  <c r="J52" i="9" s="1"/>
  <c r="K53" i="9" a="1"/>
  <c r="K53" i="9" s="1"/>
  <c r="O54" i="9"/>
  <c r="I56" i="9" a="1"/>
  <c r="I56" i="9" s="1"/>
  <c r="K58" i="9" a="1"/>
  <c r="K58" i="9" s="1"/>
  <c r="L59" i="9" a="1"/>
  <c r="L59" i="9" s="1"/>
  <c r="K60" i="9" a="1"/>
  <c r="K60" i="9" s="1"/>
  <c r="O62" i="9"/>
  <c r="H64" i="9" a="1"/>
  <c r="H64" i="9" s="1"/>
  <c r="H65" i="9" a="1"/>
  <c r="H65" i="9" s="1"/>
  <c r="J66" i="9" a="1"/>
  <c r="J66" i="9" s="1"/>
  <c r="K67" i="9" a="1"/>
  <c r="K67" i="9" s="1"/>
  <c r="K68" i="9" a="1"/>
  <c r="K68" i="9" s="1"/>
  <c r="L69" i="9" a="1"/>
  <c r="L69" i="9" s="1"/>
  <c r="M71" i="9" a="1"/>
  <c r="M71" i="9" s="1"/>
  <c r="M73" i="9" a="1"/>
  <c r="M73" i="9" s="1"/>
  <c r="L74" i="9" a="1"/>
  <c r="L74" i="9" s="1"/>
  <c r="L75" i="9" a="1"/>
  <c r="L75" i="9" s="1"/>
  <c r="M67" i="9" a="1"/>
  <c r="M67" i="9" s="1"/>
  <c r="O70" i="9"/>
  <c r="O71" i="9"/>
  <c r="G73" i="9" a="1"/>
  <c r="G73" i="9" s="1"/>
  <c r="M75" i="9" a="1"/>
  <c r="M75" i="9" s="1"/>
  <c r="I55" i="9" a="1"/>
  <c r="I55" i="9" s="1"/>
  <c r="O67" i="9"/>
  <c r="G72" i="9" a="1"/>
  <c r="G72" i="9" s="1"/>
  <c r="H50" i="9" a="1"/>
  <c r="H50" i="9" s="1"/>
  <c r="I51" i="9" a="1"/>
  <c r="I51" i="9" s="1"/>
  <c r="L53" i="9" a="1"/>
  <c r="L53" i="9" s="1"/>
  <c r="G55" i="9" a="1"/>
  <c r="G55" i="9" s="1"/>
  <c r="J56" i="9" a="1"/>
  <c r="J56" i="9" s="1"/>
  <c r="L57" i="9" a="1"/>
  <c r="L57" i="9" s="1"/>
  <c r="M59" i="9" a="1"/>
  <c r="M59" i="9" s="1"/>
  <c r="L60" i="9" a="1"/>
  <c r="L60" i="9" s="1"/>
  <c r="L61" i="9" a="1"/>
  <c r="L61" i="9" s="1"/>
  <c r="G63" i="9" a="1"/>
  <c r="G63" i="9" s="1"/>
  <c r="I64" i="9" a="1"/>
  <c r="I64" i="9" s="1"/>
  <c r="K66" i="9" a="1"/>
  <c r="K66" i="9" s="1"/>
  <c r="L67" i="9" a="1"/>
  <c r="L67" i="9" s="1"/>
  <c r="M70" i="9" a="1"/>
  <c r="M70" i="9" s="1"/>
  <c r="O72" i="9"/>
  <c r="K52" i="9" a="1"/>
  <c r="K52" i="9" s="1"/>
  <c r="M53" i="9" a="1"/>
  <c r="M53" i="9" s="1"/>
  <c r="H55" i="9" a="1"/>
  <c r="H55" i="9" s="1"/>
  <c r="K56" i="9" a="1"/>
  <c r="K56" i="9" s="1"/>
  <c r="L58" i="9" a="1"/>
  <c r="L58" i="9" s="1"/>
  <c r="M61" i="9" a="1"/>
  <c r="M61" i="9" s="1"/>
  <c r="H63" i="9" a="1"/>
  <c r="H63" i="9" s="1"/>
  <c r="J64" i="9" a="1"/>
  <c r="J64" i="9" s="1"/>
  <c r="I65" i="9" a="1"/>
  <c r="I65" i="9" s="1"/>
  <c r="L68" i="9" a="1"/>
  <c r="L68" i="9" s="1"/>
  <c r="M69" i="9" a="1"/>
  <c r="M69" i="9" s="1"/>
  <c r="O73" i="9"/>
  <c r="M74" i="9" a="1"/>
  <c r="M74" i="9" s="1"/>
  <c r="I50" i="9" a="1"/>
  <c r="I50" i="9" s="1"/>
  <c r="O59" i="9"/>
  <c r="O61" i="9"/>
  <c r="L66" i="9" a="1"/>
  <c r="L66" i="9" s="1"/>
  <c r="G71" i="9" a="1"/>
  <c r="G71" i="9" s="1"/>
  <c r="O75" i="9"/>
  <c r="J51" i="9" a="1"/>
  <c r="J51" i="9" s="1"/>
  <c r="J50" i="9" a="1"/>
  <c r="J50" i="9" s="1"/>
  <c r="M52" i="9" a="1"/>
  <c r="M52" i="9" s="1"/>
  <c r="H54" i="9" a="1"/>
  <c r="H54" i="9" s="1"/>
  <c r="L56" i="9" a="1"/>
  <c r="L56" i="9" s="1"/>
  <c r="O57" i="9"/>
  <c r="M58" i="9" a="1"/>
  <c r="M58" i="9" s="1"/>
  <c r="G60" i="9" a="1"/>
  <c r="G60" i="9" s="1"/>
  <c r="G62" i="9" a="1"/>
  <c r="G62" i="9" s="1"/>
  <c r="J63" i="9" a="1"/>
  <c r="J63" i="9" s="1"/>
  <c r="K64" i="9" a="1"/>
  <c r="K64" i="9" s="1"/>
  <c r="K65" i="9" a="1"/>
  <c r="K65" i="9" s="1"/>
  <c r="M66" i="9" a="1"/>
  <c r="M66" i="9" s="1"/>
  <c r="G68" i="9" a="1"/>
  <c r="G68" i="9" s="1"/>
  <c r="G70" i="9" a="1"/>
  <c r="G70" i="9" s="1"/>
  <c r="H72" i="9" a="1"/>
  <c r="H72" i="9" s="1"/>
  <c r="H74" i="9" a="1"/>
  <c r="H74" i="9" s="1"/>
  <c r="G75" i="9" a="1"/>
  <c r="G75" i="9" s="1"/>
  <c r="I59" i="9" a="1"/>
  <c r="I59" i="9" s="1"/>
  <c r="M64" i="9" a="1"/>
  <c r="M64" i="9" s="1"/>
  <c r="J70" i="9" a="1"/>
  <c r="J70" i="9" s="1"/>
  <c r="I75" i="9" a="1"/>
  <c r="I75" i="9" s="1"/>
  <c r="L55" i="9" a="1"/>
  <c r="L55" i="9" s="1"/>
  <c r="H66" i="9" a="1"/>
  <c r="H66" i="9" s="1"/>
  <c r="K70" i="9" a="1"/>
  <c r="K70" i="9" s="1"/>
  <c r="K51" i="9" a="1"/>
  <c r="K51" i="9" s="1"/>
  <c r="J65" i="9" a="1"/>
  <c r="J65" i="9" s="1"/>
  <c r="G74" i="9" a="1"/>
  <c r="G74" i="9" s="1"/>
  <c r="K50" i="9" a="1"/>
  <c r="K50" i="9" s="1"/>
  <c r="L51" i="9" a="1"/>
  <c r="L51" i="9" s="1"/>
  <c r="I54" i="9" a="1"/>
  <c r="I54" i="9" s="1"/>
  <c r="J55" i="9" a="1"/>
  <c r="J55" i="9" s="1"/>
  <c r="M56" i="9" a="1"/>
  <c r="M56" i="9" s="1"/>
  <c r="G58" i="9" a="1"/>
  <c r="G58" i="9" s="1"/>
  <c r="O58" i="9"/>
  <c r="O60" i="9"/>
  <c r="H62" i="9" a="1"/>
  <c r="H62" i="9" s="1"/>
  <c r="K63" i="9" a="1"/>
  <c r="K63" i="9" s="1"/>
  <c r="L65" i="9" a="1"/>
  <c r="L65" i="9" s="1"/>
  <c r="O66" i="9"/>
  <c r="O68" i="9"/>
  <c r="H70" i="9" a="1"/>
  <c r="H70" i="9" s="1"/>
  <c r="H71" i="9" a="1"/>
  <c r="H71" i="9" s="1"/>
  <c r="I72" i="9" a="1"/>
  <c r="I72" i="9" s="1"/>
  <c r="I73" i="9" a="1"/>
  <c r="I73" i="9" s="1"/>
  <c r="I60" i="9" a="1"/>
  <c r="I60" i="9" s="1"/>
  <c r="G66" i="9" a="1"/>
  <c r="G66" i="9" s="1"/>
  <c r="K71" i="9" a="1"/>
  <c r="K71" i="9" s="1"/>
  <c r="J57" i="9" a="1"/>
  <c r="J57" i="9" s="1"/>
  <c r="I67" i="9" a="1"/>
  <c r="I67" i="9" s="1"/>
  <c r="M60" i="9" a="1"/>
  <c r="M60" i="9" s="1"/>
  <c r="O69" i="9"/>
  <c r="H73" i="9" a="1"/>
  <c r="H73" i="9" s="1"/>
  <c r="M51" i="9" a="1"/>
  <c r="M51" i="9" s="1"/>
  <c r="O52" i="9"/>
  <c r="J54" i="9" a="1"/>
  <c r="J54" i="9" s="1"/>
  <c r="O56" i="9"/>
  <c r="H58" i="9" a="1"/>
  <c r="H58" i="9" s="1"/>
  <c r="G59" i="9" a="1"/>
  <c r="G59" i="9" s="1"/>
  <c r="H60" i="9" a="1"/>
  <c r="H60" i="9" s="1"/>
  <c r="G61" i="9" a="1"/>
  <c r="G61" i="9" s="1"/>
  <c r="I62" i="9" a="1"/>
  <c r="I62" i="9" s="1"/>
  <c r="L63" i="9" a="1"/>
  <c r="L63" i="9" s="1"/>
  <c r="L64" i="9" a="1"/>
  <c r="L64" i="9" s="1"/>
  <c r="M65" i="9" a="1"/>
  <c r="M65" i="9" s="1"/>
  <c r="G67" i="9" a="1"/>
  <c r="G67" i="9" s="1"/>
  <c r="H68" i="9" a="1"/>
  <c r="H68" i="9" s="1"/>
  <c r="G69" i="9" a="1"/>
  <c r="G69" i="9" s="1"/>
  <c r="I71" i="9" a="1"/>
  <c r="I71" i="9" s="1"/>
  <c r="J73" i="9" a="1"/>
  <c r="J73" i="9" s="1"/>
  <c r="I74" i="9" a="1"/>
  <c r="I74" i="9" s="1"/>
  <c r="H75" i="9" a="1"/>
  <c r="H75" i="9" s="1"/>
  <c r="M50" i="9" a="1"/>
  <c r="M50" i="9" s="1"/>
  <c r="K54" i="9" a="1"/>
  <c r="K54" i="9" s="1"/>
  <c r="I58" i="9" a="1"/>
  <c r="I58" i="9" s="1"/>
  <c r="M63" i="9" a="1"/>
  <c r="M63" i="9" s="1"/>
  <c r="I69" i="9" a="1"/>
  <c r="I69" i="9" s="1"/>
  <c r="J74" i="9" a="1"/>
  <c r="J74" i="9" s="1"/>
  <c r="I61" i="9" a="1"/>
  <c r="I61" i="9" s="1"/>
  <c r="M57" i="9" a="1"/>
  <c r="M57" i="9" s="1"/>
  <c r="M68" i="9" a="1"/>
  <c r="M68" i="9" s="1"/>
  <c r="L50" i="9" a="1"/>
  <c r="L50" i="9" s="1"/>
  <c r="O51" i="9"/>
  <c r="G53" i="9" a="1"/>
  <c r="G53" i="9" s="1"/>
  <c r="K55" i="9" a="1"/>
  <c r="K55" i="9" s="1"/>
  <c r="G57" i="9" a="1"/>
  <c r="G57" i="9" s="1"/>
  <c r="H59" i="9" a="1"/>
  <c r="H59" i="9" s="1"/>
  <c r="J62" i="9" a="1"/>
  <c r="J62" i="9" s="1"/>
  <c r="O65" i="9"/>
  <c r="H67" i="9" a="1"/>
  <c r="H67" i="9" s="1"/>
  <c r="H69" i="9" a="1"/>
  <c r="H69" i="9" s="1"/>
  <c r="I70" i="9" a="1"/>
  <c r="I70" i="9" s="1"/>
  <c r="J71" i="9" a="1"/>
  <c r="J71" i="9" s="1"/>
  <c r="J72" i="9" a="1"/>
  <c r="J72" i="9" s="1"/>
  <c r="G52" i="9" a="1"/>
  <c r="G52" i="9" s="1"/>
  <c r="H53" i="9" a="1"/>
  <c r="H53" i="9" s="1"/>
  <c r="I57" i="9" a="1"/>
  <c r="I57" i="9" s="1"/>
  <c r="H61" i="9" a="1"/>
  <c r="H61" i="9" s="1"/>
  <c r="I68" i="9" a="1"/>
  <c r="I68" i="9" s="1"/>
  <c r="K73" i="9" a="1"/>
  <c r="K73" i="9" s="1"/>
  <c r="K62" i="9" a="1"/>
  <c r="K62" i="9" s="1"/>
  <c r="L52" i="9" a="1"/>
  <c r="L52" i="9" s="1"/>
  <c r="O50" i="9"/>
  <c r="I53" i="9" a="1"/>
  <c r="I53" i="9" s="1"/>
  <c r="L54" i="9" a="1"/>
  <c r="L54" i="9" s="1"/>
  <c r="J59" i="9" a="1"/>
  <c r="J59" i="9" s="1"/>
  <c r="K72" i="9" a="1"/>
  <c r="K72" i="9" s="1"/>
  <c r="O53" i="9"/>
  <c r="I63" i="9" a="1"/>
  <c r="I63" i="9" s="1"/>
  <c r="O74" i="9"/>
  <c r="N115" i="9"/>
  <c r="E50" i="7"/>
  <c r="J30" i="15"/>
  <c r="C6" i="8"/>
  <c r="F14" i="15"/>
  <c r="G56" i="9" a="1"/>
  <c r="G56" i="9" s="1"/>
  <c r="G54" i="9" a="1"/>
  <c r="G54" i="9" s="1"/>
  <c r="AC35" i="9"/>
  <c r="AE35" i="9" s="1"/>
  <c r="N113" i="9"/>
  <c r="P113" i="9" s="1"/>
  <c r="V34" i="9" a="1"/>
  <c r="V34" i="9" s="1"/>
  <c r="AC34" i="9" s="1"/>
  <c r="AE34" i="9" s="1"/>
  <c r="AC33" i="9"/>
  <c r="AE33" i="9" s="1"/>
  <c r="H56" i="9" a="1"/>
  <c r="H56" i="9" s="1"/>
  <c r="H57" i="9" a="1"/>
  <c r="H57" i="9" s="1"/>
  <c r="N114" i="9"/>
  <c r="P114" i="9" s="1"/>
  <c r="H16" i="2"/>
  <c r="I16" i="2" s="1"/>
  <c r="D16" i="2" s="1"/>
  <c r="H74" i="1"/>
  <c r="H70" i="1"/>
  <c r="H72" i="1"/>
  <c r="P115" i="9"/>
  <c r="I98" i="1" a="1"/>
  <c r="I98" i="1" s="1"/>
  <c r="E13" i="8" s="1"/>
  <c r="J98" i="1" a="1"/>
  <c r="J98" i="1" s="1"/>
  <c r="K98" i="1"/>
  <c r="N112" i="9"/>
  <c r="P112" i="9" s="1"/>
  <c r="G73" i="2"/>
  <c r="G34" i="2"/>
  <c r="H53" i="1"/>
  <c r="H40" i="1"/>
  <c r="H3" i="1"/>
  <c r="H55" i="1"/>
  <c r="H49" i="1"/>
  <c r="H36" i="1"/>
  <c r="H38" i="1"/>
  <c r="G79" i="2"/>
  <c r="H78" i="1" s="1"/>
  <c r="G7" i="2"/>
  <c r="H65" i="1" s="1"/>
  <c r="H47" i="1"/>
  <c r="G41" i="2"/>
  <c r="G74" i="2"/>
  <c r="H4" i="1"/>
  <c r="H42" i="1"/>
  <c r="H54" i="1"/>
  <c r="H9" i="1"/>
  <c r="H46" i="1"/>
  <c r="G72" i="2"/>
  <c r="H62" i="1" s="1"/>
  <c r="H5" i="1"/>
  <c r="H34" i="1"/>
  <c r="G48" i="2"/>
  <c r="G24" i="2"/>
  <c r="G29" i="2"/>
  <c r="G22" i="2"/>
  <c r="H79" i="1" s="1"/>
  <c r="H23" i="1"/>
  <c r="H15" i="1"/>
  <c r="H37" i="1"/>
  <c r="H8" i="1"/>
  <c r="G4" i="2"/>
  <c r="G5" i="2"/>
  <c r="G59" i="2"/>
  <c r="H64" i="1" s="1"/>
  <c r="G42" i="2"/>
  <c r="H2" i="1"/>
  <c r="H59" i="1"/>
  <c r="H50" i="1"/>
  <c r="H6" i="1"/>
  <c r="G32" i="2"/>
  <c r="H68" i="2"/>
  <c r="I68" i="2" s="1"/>
  <c r="D68" i="2" s="1"/>
  <c r="G63" i="2"/>
  <c r="G49" i="2"/>
  <c r="G14" i="2"/>
  <c r="H71" i="1" s="1"/>
  <c r="H21" i="1"/>
  <c r="H45" i="1"/>
  <c r="H12" i="1"/>
  <c r="H39" i="1"/>
  <c r="G54" i="2"/>
  <c r="O106" i="9"/>
  <c r="AD27" i="9" s="1"/>
  <c r="B24" i="20" s="1"/>
  <c r="D100" i="9"/>
  <c r="S21" i="9" s="1" a="1"/>
  <c r="S21" i="9" s="1"/>
  <c r="L94" i="9"/>
  <c r="AA15" i="9" s="1" a="1"/>
  <c r="AA15" i="9" s="1"/>
  <c r="I94" i="9"/>
  <c r="X15" i="9" s="1" a="1"/>
  <c r="X15" i="9" s="1"/>
  <c r="G100" i="9"/>
  <c r="V21" i="9" s="1" a="1"/>
  <c r="V21" i="9" s="1"/>
  <c r="O88" i="9"/>
  <c r="AD9" i="9" s="1"/>
  <c r="B6" i="20" s="1"/>
  <c r="K106" i="9"/>
  <c r="Z27" i="9" s="1" a="1"/>
  <c r="Z27" i="9" s="1"/>
  <c r="E89" i="9"/>
  <c r="T10" i="9" s="1" a="1"/>
  <c r="T10" i="9" s="1"/>
  <c r="I95" i="9"/>
  <c r="X16" i="9" s="1" a="1"/>
  <c r="X16" i="9" s="1"/>
  <c r="D101" i="9"/>
  <c r="S22" i="9" s="1" a="1"/>
  <c r="S22" i="9" s="1"/>
  <c r="K107" i="9"/>
  <c r="Z28" i="9" s="1" a="1"/>
  <c r="Z28" i="9" s="1"/>
  <c r="E86" i="9"/>
  <c r="T7" i="9" s="1" a="1"/>
  <c r="T7" i="9" s="1"/>
  <c r="I92" i="9"/>
  <c r="X13" i="9" s="1" a="1"/>
  <c r="X13" i="9" s="1"/>
  <c r="D98" i="9"/>
  <c r="S19" i="9" s="1" a="1"/>
  <c r="S19" i="9" s="1"/>
  <c r="K104" i="9"/>
  <c r="Z25" i="9" s="1" a="1"/>
  <c r="Z25" i="9" s="1"/>
  <c r="I110" i="9"/>
  <c r="X31" i="9" s="1" a="1"/>
  <c r="X31" i="9" s="1"/>
  <c r="C90" i="9"/>
  <c r="R11" i="9" s="1" a="1"/>
  <c r="R11" i="9" s="1"/>
  <c r="L95" i="9"/>
  <c r="AA16" i="9" s="1" a="1"/>
  <c r="AA16" i="9" s="1"/>
  <c r="G101" i="9"/>
  <c r="V22" i="9" s="1" a="1"/>
  <c r="V22" i="9" s="1"/>
  <c r="I108" i="9"/>
  <c r="X29" i="9" s="1" a="1"/>
  <c r="X29" i="9" s="1"/>
  <c r="L90" i="9"/>
  <c r="AA11" i="9" s="1" a="1"/>
  <c r="AA11" i="9" s="1"/>
  <c r="G96" i="9"/>
  <c r="V17" i="9" s="1" a="1"/>
  <c r="V17" i="9" s="1"/>
  <c r="E102" i="9"/>
  <c r="T23" i="9" s="1" a="1"/>
  <c r="T23" i="9" s="1"/>
  <c r="L108" i="9"/>
  <c r="AA29" i="9" s="1" a="1"/>
  <c r="AA29" i="9" s="1"/>
  <c r="F85" i="9"/>
  <c r="U6" i="9" s="1" a="1"/>
  <c r="U6" i="9" s="1"/>
  <c r="J91" i="9"/>
  <c r="Y12" i="9" s="1" a="1"/>
  <c r="Y12" i="9" s="1"/>
  <c r="E97" i="9"/>
  <c r="T18" i="9" s="1" a="1"/>
  <c r="T18" i="9" s="1"/>
  <c r="L103" i="9"/>
  <c r="AA24" i="9" s="1" a="1"/>
  <c r="AA24" i="9" s="1"/>
  <c r="J109" i="9"/>
  <c r="Y30" i="9" s="1" a="1"/>
  <c r="Y30" i="9" s="1"/>
  <c r="O85" i="9"/>
  <c r="M91" i="9"/>
  <c r="AB12" i="9" s="1" a="1"/>
  <c r="AB12" i="9" s="1"/>
  <c r="H97" i="9"/>
  <c r="W18" i="9" s="1" a="1"/>
  <c r="W18" i="9" s="1"/>
  <c r="O103" i="9"/>
  <c r="F110" i="9"/>
  <c r="U31" i="9" s="1" a="1"/>
  <c r="U31" i="9" s="1"/>
  <c r="C85" i="9"/>
  <c r="R6" i="9" s="1" a="1"/>
  <c r="R6" i="9" s="1"/>
  <c r="O90" i="9"/>
  <c r="J96" i="9"/>
  <c r="Y17" i="9" s="1" a="1"/>
  <c r="Y17" i="9" s="1"/>
  <c r="C103" i="9"/>
  <c r="R24" i="9" s="1" a="1"/>
  <c r="R24" i="9" s="1"/>
  <c r="G109" i="9"/>
  <c r="V30" i="9" s="1" a="1"/>
  <c r="V30" i="9" s="1"/>
  <c r="O86" i="9"/>
  <c r="AD7" i="9" s="1"/>
  <c r="B4" i="20" s="1"/>
  <c r="L92" i="9"/>
  <c r="AA13" i="9" s="1" a="1"/>
  <c r="AA13" i="9" s="1"/>
  <c r="G98" i="9"/>
  <c r="V19" i="9" s="1" a="1"/>
  <c r="V19" i="9" s="1"/>
  <c r="O104" i="9"/>
  <c r="F111" i="9"/>
  <c r="U32" i="9" s="1" a="1"/>
  <c r="U32" i="9" s="1"/>
  <c r="E87" i="9"/>
  <c r="T8" i="9" s="1" a="1"/>
  <c r="T8" i="9" s="1"/>
  <c r="I93" i="9"/>
  <c r="X14" i="9" s="1" a="1"/>
  <c r="X14" i="9" s="1"/>
  <c r="D99" i="9"/>
  <c r="S20" i="9" s="1" a="1"/>
  <c r="S20" i="9" s="1"/>
  <c r="K105" i="9"/>
  <c r="Z26" i="9" s="1" a="1"/>
  <c r="Z26" i="9" s="1"/>
  <c r="I111" i="9"/>
  <c r="X32" i="9" s="1" a="1"/>
  <c r="X32" i="9" s="1"/>
  <c r="O87" i="9"/>
  <c r="L93" i="9"/>
  <c r="AA14" i="9" s="1" a="1"/>
  <c r="AA14" i="9" s="1"/>
  <c r="G99" i="9"/>
  <c r="V20" i="9" s="1" a="1"/>
  <c r="V20" i="9" s="1"/>
  <c r="O105" i="9"/>
  <c r="H111" i="9"/>
  <c r="W32" i="9" s="1" a="1"/>
  <c r="W32" i="9" s="1"/>
  <c r="H110" i="9"/>
  <c r="W31" i="9" s="1" a="1"/>
  <c r="W31" i="9" s="1"/>
  <c r="I109" i="9"/>
  <c r="X30" i="9" s="1" a="1"/>
  <c r="X30" i="9" s="1"/>
  <c r="K108" i="9"/>
  <c r="Z29" i="9" s="1" a="1"/>
  <c r="Z29" i="9" s="1"/>
  <c r="M107" i="9"/>
  <c r="AB28" i="9" s="1" a="1"/>
  <c r="AB28" i="9" s="1"/>
  <c r="M106" i="9"/>
  <c r="AB27" i="9" s="1" a="1"/>
  <c r="AB27" i="9" s="1"/>
  <c r="M105" i="9"/>
  <c r="AB26" i="9" s="1" a="1"/>
  <c r="AB26" i="9" s="1"/>
  <c r="M104" i="9"/>
  <c r="AB25" i="9" s="1" a="1"/>
  <c r="AB25" i="9" s="1"/>
  <c r="D102" i="9"/>
  <c r="S23" i="9" s="1" a="1"/>
  <c r="S23" i="9" s="1"/>
  <c r="F101" i="9"/>
  <c r="U22" i="9" s="1" a="1"/>
  <c r="U22" i="9" s="1"/>
  <c r="F100" i="9"/>
  <c r="U21" i="9" s="1" a="1"/>
  <c r="U21" i="9" s="1"/>
  <c r="F99" i="9"/>
  <c r="U20" i="9" s="1" a="1"/>
  <c r="U20" i="9" s="1"/>
  <c r="F98" i="9"/>
  <c r="U19" i="9" s="1" a="1"/>
  <c r="U19" i="9" s="1"/>
  <c r="G97" i="9"/>
  <c r="V18" i="9" s="1" a="1"/>
  <c r="V18" i="9" s="1"/>
  <c r="I96" i="9"/>
  <c r="X17" i="9" s="1" a="1"/>
  <c r="X17" i="9" s="1"/>
  <c r="K95" i="9"/>
  <c r="Z16" i="9" s="1" a="1"/>
  <c r="Z16" i="9" s="1"/>
  <c r="K94" i="9"/>
  <c r="Z15" i="9" s="1" a="1"/>
  <c r="Z15" i="9" s="1"/>
  <c r="K93" i="9"/>
  <c r="Z14" i="9" s="1" a="1"/>
  <c r="Z14" i="9" s="1"/>
  <c r="K92" i="9"/>
  <c r="Z13" i="9" s="1" a="1"/>
  <c r="Z13" i="9" s="1"/>
  <c r="L91" i="9"/>
  <c r="AA12" i="9" s="1" a="1"/>
  <c r="AA12" i="9" s="1"/>
  <c r="D89" i="9"/>
  <c r="S10" i="9" s="1" a="1"/>
  <c r="S10" i="9" s="1"/>
  <c r="D88" i="9"/>
  <c r="S9" i="9" s="1" a="1"/>
  <c r="S9" i="9" s="1"/>
  <c r="D87" i="9"/>
  <c r="S8" i="9" s="1" a="1"/>
  <c r="S8" i="9" s="1"/>
  <c r="D86" i="9"/>
  <c r="S7" i="9" s="1" a="1"/>
  <c r="S7" i="9" s="1"/>
  <c r="E85" i="9"/>
  <c r="T6" i="9" s="1" a="1"/>
  <c r="T6" i="9" s="1"/>
  <c r="G111" i="9"/>
  <c r="V32" i="9" s="1" a="1"/>
  <c r="V32" i="9" s="1"/>
  <c r="G110" i="9"/>
  <c r="V31" i="9" s="1" a="1"/>
  <c r="V31" i="9" s="1"/>
  <c r="H109" i="9"/>
  <c r="W30" i="9" s="1" a="1"/>
  <c r="W30" i="9" s="1"/>
  <c r="J108" i="9"/>
  <c r="Y29" i="9" s="1" a="1"/>
  <c r="Y29" i="9" s="1"/>
  <c r="L107" i="9"/>
  <c r="AA28" i="9" s="1" a="1"/>
  <c r="AA28" i="9" s="1"/>
  <c r="L106" i="9"/>
  <c r="AA27" i="9" s="1" a="1"/>
  <c r="AA27" i="9" s="1"/>
  <c r="L105" i="9"/>
  <c r="AA26" i="9" s="1" a="1"/>
  <c r="AA26" i="9" s="1"/>
  <c r="L104" i="9"/>
  <c r="AA25" i="9" s="1" a="1"/>
  <c r="AA25" i="9" s="1"/>
  <c r="M103" i="9"/>
  <c r="AB24" i="9" s="1" a="1"/>
  <c r="AB24" i="9" s="1"/>
  <c r="O102" i="9"/>
  <c r="C102" i="9"/>
  <c r="R23" i="9" s="1" a="1"/>
  <c r="R23" i="9" s="1"/>
  <c r="E101" i="9"/>
  <c r="T22" i="9" s="1" a="1"/>
  <c r="T22" i="9" s="1"/>
  <c r="E100" i="9"/>
  <c r="T21" i="9" s="1" a="1"/>
  <c r="T21" i="9" s="1"/>
  <c r="E99" i="9"/>
  <c r="T20" i="9" s="1" a="1"/>
  <c r="T20" i="9" s="1"/>
  <c r="E98" i="9"/>
  <c r="T19" i="9" s="1" a="1"/>
  <c r="T19" i="9" s="1"/>
  <c r="F97" i="9"/>
  <c r="U18" i="9" s="1" a="1"/>
  <c r="U18" i="9" s="1"/>
  <c r="H96" i="9"/>
  <c r="W17" i="9" s="1" a="1"/>
  <c r="W17" i="9" s="1"/>
  <c r="J95" i="9"/>
  <c r="Y16" i="9" s="1" a="1"/>
  <c r="Y16" i="9" s="1"/>
  <c r="J94" i="9"/>
  <c r="Y15" i="9" s="1" a="1"/>
  <c r="Y15" i="9" s="1"/>
  <c r="J93" i="9"/>
  <c r="Y14" i="9" s="1" a="1"/>
  <c r="Y14" i="9" s="1"/>
  <c r="J92" i="9"/>
  <c r="Y13" i="9" s="1" a="1"/>
  <c r="Y13" i="9" s="1"/>
  <c r="K91" i="9"/>
  <c r="Z12" i="9" s="1" a="1"/>
  <c r="Z12" i="9" s="1"/>
  <c r="M90" i="9"/>
  <c r="AB11" i="9" s="1" a="1"/>
  <c r="AB11" i="9" s="1"/>
  <c r="O89" i="9"/>
  <c r="C89" i="9"/>
  <c r="R10" i="9" s="1" a="1"/>
  <c r="R10" i="9" s="1"/>
  <c r="C88" i="9"/>
  <c r="R9" i="9" s="1" a="1"/>
  <c r="R9" i="9" s="1"/>
  <c r="C87" i="9"/>
  <c r="R8" i="9" s="1" a="1"/>
  <c r="R8" i="9" s="1"/>
  <c r="C86" i="9"/>
  <c r="R7" i="9" s="1" a="1"/>
  <c r="R7" i="9" s="1"/>
  <c r="D85" i="9"/>
  <c r="S6" i="9" s="1" a="1"/>
  <c r="S6" i="9" s="1"/>
  <c r="E111" i="9"/>
  <c r="T32" i="9" s="1" a="1"/>
  <c r="T32" i="9" s="1"/>
  <c r="E110" i="9"/>
  <c r="T31" i="9" s="1" a="1"/>
  <c r="T31" i="9" s="1"/>
  <c r="F109" i="9"/>
  <c r="U30" i="9" s="1" a="1"/>
  <c r="U30" i="9" s="1"/>
  <c r="H108" i="9"/>
  <c r="W29" i="9" s="1" a="1"/>
  <c r="W29" i="9" s="1"/>
  <c r="J107" i="9"/>
  <c r="Y28" i="9" s="1" a="1"/>
  <c r="Y28" i="9" s="1"/>
  <c r="J106" i="9"/>
  <c r="Y27" i="9" s="1" a="1"/>
  <c r="Y27" i="9" s="1"/>
  <c r="J105" i="9"/>
  <c r="Y26" i="9" s="1" a="1"/>
  <c r="Y26" i="9" s="1"/>
  <c r="J104" i="9"/>
  <c r="Y25" i="9" s="1" a="1"/>
  <c r="Y25" i="9" s="1"/>
  <c r="K103" i="9"/>
  <c r="Z24" i="9" s="1" a="1"/>
  <c r="Z24" i="9" s="1"/>
  <c r="M102" i="9"/>
  <c r="AB23" i="9" s="1" a="1"/>
  <c r="AB23" i="9" s="1"/>
  <c r="O101" i="9"/>
  <c r="C101" i="9"/>
  <c r="R22" i="9" s="1" a="1"/>
  <c r="R22" i="9" s="1"/>
  <c r="C100" i="9"/>
  <c r="R21" i="9" s="1" a="1"/>
  <c r="R21" i="9" s="1"/>
  <c r="C99" i="9"/>
  <c r="R20" i="9" s="1" a="1"/>
  <c r="R20" i="9" s="1"/>
  <c r="C98" i="9"/>
  <c r="R19" i="9" s="1" a="1"/>
  <c r="R19" i="9" s="1"/>
  <c r="D97" i="9"/>
  <c r="S18" i="9" s="1" a="1"/>
  <c r="S18" i="9" s="1"/>
  <c r="F96" i="9"/>
  <c r="U17" i="9" s="1" a="1"/>
  <c r="U17" i="9" s="1"/>
  <c r="H95" i="9"/>
  <c r="W16" i="9" s="1" a="1"/>
  <c r="W16" i="9" s="1"/>
  <c r="H94" i="9"/>
  <c r="W15" i="9" s="1" a="1"/>
  <c r="W15" i="9" s="1"/>
  <c r="H93" i="9"/>
  <c r="W14" i="9" s="1" a="1"/>
  <c r="W14" i="9" s="1"/>
  <c r="H92" i="9"/>
  <c r="W13" i="9" s="1" a="1"/>
  <c r="W13" i="9" s="1"/>
  <c r="I91" i="9"/>
  <c r="X12" i="9" s="1" a="1"/>
  <c r="X12" i="9" s="1"/>
  <c r="K90" i="9"/>
  <c r="Z11" i="9" s="1" a="1"/>
  <c r="Z11" i="9" s="1"/>
  <c r="M89" i="9"/>
  <c r="AB10" i="9" s="1" a="1"/>
  <c r="AB10" i="9" s="1"/>
  <c r="M88" i="9"/>
  <c r="AB9" i="9" s="1" a="1"/>
  <c r="AB9" i="9" s="1"/>
  <c r="M87" i="9"/>
  <c r="AB8" i="9" s="1" a="1"/>
  <c r="AB8" i="9" s="1"/>
  <c r="M86" i="9"/>
  <c r="AB7" i="9" s="1" a="1"/>
  <c r="AB7" i="9" s="1"/>
  <c r="D111" i="9"/>
  <c r="S32" i="9" s="1" a="1"/>
  <c r="S32" i="9" s="1"/>
  <c r="G108" i="9"/>
  <c r="V29" i="9" s="1" a="1"/>
  <c r="V29" i="9" s="1"/>
  <c r="I104" i="9"/>
  <c r="X25" i="9" s="1" a="1"/>
  <c r="X25" i="9" s="1"/>
  <c r="L102" i="9"/>
  <c r="AA23" i="9" s="1" a="1"/>
  <c r="AA23" i="9" s="1"/>
  <c r="O100" i="9"/>
  <c r="AD21" i="9" s="1"/>
  <c r="B18" i="20" s="1"/>
  <c r="O97" i="9"/>
  <c r="E96" i="9"/>
  <c r="T17" i="9" s="1" a="1"/>
  <c r="T17" i="9" s="1"/>
  <c r="G93" i="9"/>
  <c r="V14" i="9" s="1" a="1"/>
  <c r="V14" i="9" s="1"/>
  <c r="J90" i="9"/>
  <c r="Y11" i="9" s="1" a="1"/>
  <c r="Y11" i="9" s="1"/>
  <c r="M85" i="9"/>
  <c r="AB6" i="9" s="1" a="1"/>
  <c r="AB6" i="9" s="1"/>
  <c r="O111" i="9"/>
  <c r="AD32" i="9" s="1"/>
  <c r="O110" i="9"/>
  <c r="O109" i="9"/>
  <c r="C109" i="9"/>
  <c r="R30" i="9" s="1" a="1"/>
  <c r="R30" i="9" s="1"/>
  <c r="E108" i="9"/>
  <c r="T29" i="9" s="1" a="1"/>
  <c r="T29" i="9" s="1"/>
  <c r="G107" i="9"/>
  <c r="V28" i="9" s="1" a="1"/>
  <c r="V28" i="9" s="1"/>
  <c r="G106" i="9"/>
  <c r="V27" i="9" s="1" a="1"/>
  <c r="V27" i="9" s="1"/>
  <c r="G105" i="9"/>
  <c r="V26" i="9" s="1" a="1"/>
  <c r="V26" i="9" s="1"/>
  <c r="G104" i="9"/>
  <c r="V25" i="9" s="1" a="1"/>
  <c r="V25" i="9" s="1"/>
  <c r="H103" i="9"/>
  <c r="W24" i="9" s="1" a="1"/>
  <c r="W24" i="9" s="1"/>
  <c r="J102" i="9"/>
  <c r="Y23" i="9" s="1" a="1"/>
  <c r="Y23" i="9" s="1"/>
  <c r="L101" i="9"/>
  <c r="AA22" i="9" s="1" a="1"/>
  <c r="AA22" i="9" s="1"/>
  <c r="L100" i="9"/>
  <c r="AA21" i="9" s="1" a="1"/>
  <c r="AA21" i="9" s="1"/>
  <c r="L99" i="9"/>
  <c r="AA20" i="9" s="1" a="1"/>
  <c r="AA20" i="9" s="1"/>
  <c r="L98" i="9"/>
  <c r="AA19" i="9" s="1" a="1"/>
  <c r="AA19" i="9" s="1"/>
  <c r="M97" i="9"/>
  <c r="AB18" i="9" s="1" a="1"/>
  <c r="AB18" i="9" s="1"/>
  <c r="O96" i="9"/>
  <c r="C96" i="9"/>
  <c r="R17" i="9" s="1" a="1"/>
  <c r="R17" i="9" s="1"/>
  <c r="E95" i="9"/>
  <c r="T16" i="9" s="1" a="1"/>
  <c r="T16" i="9" s="1"/>
  <c r="E94" i="9"/>
  <c r="T15" i="9" s="1" a="1"/>
  <c r="T15" i="9" s="1"/>
  <c r="E93" i="9"/>
  <c r="T14" i="9" s="1" a="1"/>
  <c r="T14" i="9" s="1"/>
  <c r="E92" i="9"/>
  <c r="T13" i="9" s="1" a="1"/>
  <c r="T13" i="9" s="1"/>
  <c r="F91" i="9"/>
  <c r="U12" i="9" s="1" a="1"/>
  <c r="U12" i="9" s="1"/>
  <c r="H90" i="9"/>
  <c r="W11" i="9" s="1" a="1"/>
  <c r="W11" i="9" s="1"/>
  <c r="J89" i="9"/>
  <c r="Y10" i="9" s="1" a="1"/>
  <c r="Y10" i="9" s="1"/>
  <c r="J88" i="9"/>
  <c r="Y9" i="9" s="1" a="1"/>
  <c r="Y9" i="9" s="1"/>
  <c r="J87" i="9"/>
  <c r="Y8" i="9" s="1" a="1"/>
  <c r="Y8" i="9" s="1"/>
  <c r="J86" i="9"/>
  <c r="Y7" i="9" s="1" a="1"/>
  <c r="Y7" i="9" s="1"/>
  <c r="K85" i="9"/>
  <c r="Z6" i="9" s="1" a="1"/>
  <c r="Z6" i="9" s="1"/>
  <c r="E109" i="9"/>
  <c r="T30" i="9" s="1" a="1"/>
  <c r="T30" i="9" s="1"/>
  <c r="I106" i="9"/>
  <c r="X27" i="9" s="1" a="1"/>
  <c r="X27" i="9" s="1"/>
  <c r="J103" i="9"/>
  <c r="Y24" i="9" s="1" a="1"/>
  <c r="Y24" i="9" s="1"/>
  <c r="O99" i="9"/>
  <c r="L86" i="9"/>
  <c r="AA7" i="9" s="1" a="1"/>
  <c r="AA7" i="9" s="1"/>
  <c r="C111" i="9"/>
  <c r="R32" i="9" s="1" a="1"/>
  <c r="R32" i="9" s="1"/>
  <c r="C110" i="9"/>
  <c r="R31" i="9" s="1" a="1"/>
  <c r="R31" i="9" s="1"/>
  <c r="D109" i="9"/>
  <c r="S30" i="9" s="1" a="1"/>
  <c r="S30" i="9" s="1"/>
  <c r="F108" i="9"/>
  <c r="U29" i="9" s="1" a="1"/>
  <c r="U29" i="9" s="1"/>
  <c r="H107" i="9"/>
  <c r="W28" i="9" s="1" a="1"/>
  <c r="W28" i="9" s="1"/>
  <c r="H106" i="9"/>
  <c r="W27" i="9" s="1" a="1"/>
  <c r="W27" i="9" s="1"/>
  <c r="H105" i="9"/>
  <c r="W26" i="9" s="1" a="1"/>
  <c r="W26" i="9" s="1"/>
  <c r="H104" i="9"/>
  <c r="W25" i="9" s="1" a="1"/>
  <c r="W25" i="9" s="1"/>
  <c r="I103" i="9"/>
  <c r="X24" i="9" s="1" a="1"/>
  <c r="X24" i="9" s="1"/>
  <c r="K102" i="9"/>
  <c r="Z23" i="9" s="1" a="1"/>
  <c r="Z23" i="9" s="1"/>
  <c r="M100" i="9"/>
  <c r="AB21" i="9" s="1" a="1"/>
  <c r="AB21" i="9" s="1"/>
  <c r="M99" i="9"/>
  <c r="AB20" i="9" s="1" a="1"/>
  <c r="AB20" i="9" s="1"/>
  <c r="M98" i="9"/>
  <c r="AB19" i="9" s="1" a="1"/>
  <c r="AB19" i="9" s="1"/>
  <c r="D96" i="9"/>
  <c r="S17" i="9" s="1" a="1"/>
  <c r="S17" i="9" s="1"/>
  <c r="F95" i="9"/>
  <c r="U16" i="9" s="1" a="1"/>
  <c r="U16" i="9" s="1"/>
  <c r="F94" i="9"/>
  <c r="U15" i="9" s="1" a="1"/>
  <c r="U15" i="9" s="1"/>
  <c r="F93" i="9"/>
  <c r="U14" i="9" s="1" a="1"/>
  <c r="U14" i="9" s="1"/>
  <c r="F92" i="9"/>
  <c r="U13" i="9" s="1" a="1"/>
  <c r="U13" i="9" s="1"/>
  <c r="G91" i="9"/>
  <c r="V12" i="9" s="1" a="1"/>
  <c r="V12" i="9" s="1"/>
  <c r="I90" i="9"/>
  <c r="X11" i="9" s="1" a="1"/>
  <c r="X11" i="9" s="1"/>
  <c r="K89" i="9"/>
  <c r="Z10" i="9" s="1" a="1"/>
  <c r="Z10" i="9" s="1"/>
  <c r="K88" i="9"/>
  <c r="Z9" i="9" s="1" a="1"/>
  <c r="Z9" i="9" s="1"/>
  <c r="K87" i="9"/>
  <c r="Z8" i="9" s="1" a="1"/>
  <c r="Z8" i="9" s="1"/>
  <c r="K86" i="9"/>
  <c r="Z7" i="9" s="1" a="1"/>
  <c r="Z7" i="9" s="1"/>
  <c r="L85" i="9"/>
  <c r="AA6" i="9" s="1" a="1"/>
  <c r="AA6" i="9" s="1"/>
  <c r="M111" i="9"/>
  <c r="AB32" i="9" s="1" a="1"/>
  <c r="AB32" i="9" s="1"/>
  <c r="M110" i="9"/>
  <c r="AB31" i="9" s="1" a="1"/>
  <c r="AB31" i="9" s="1"/>
  <c r="D108" i="9"/>
  <c r="S29" i="9" s="1" a="1"/>
  <c r="S29" i="9" s="1"/>
  <c r="F107" i="9"/>
  <c r="U28" i="9" s="1" a="1"/>
  <c r="U28" i="9" s="1"/>
  <c r="F106" i="9"/>
  <c r="U27" i="9" s="1" a="1"/>
  <c r="U27" i="9" s="1"/>
  <c r="F105" i="9"/>
  <c r="U26" i="9" s="1" a="1"/>
  <c r="U26" i="9" s="1"/>
  <c r="F104" i="9"/>
  <c r="U25" i="9" s="1" a="1"/>
  <c r="U25" i="9" s="1"/>
  <c r="G103" i="9"/>
  <c r="V24" i="9" s="1" a="1"/>
  <c r="V24" i="9" s="1"/>
  <c r="I102" i="9"/>
  <c r="X23" i="9" s="1" a="1"/>
  <c r="X23" i="9" s="1"/>
  <c r="K101" i="9"/>
  <c r="Z22" i="9" s="1" a="1"/>
  <c r="Z22" i="9" s="1"/>
  <c r="K100" i="9"/>
  <c r="Z21" i="9" s="1" a="1"/>
  <c r="Z21" i="9" s="1"/>
  <c r="K99" i="9"/>
  <c r="Z20" i="9" s="1" a="1"/>
  <c r="Z20" i="9" s="1"/>
  <c r="K98" i="9"/>
  <c r="Z19" i="9" s="1" a="1"/>
  <c r="Z19" i="9" s="1"/>
  <c r="L97" i="9"/>
  <c r="AA18" i="9" s="1" a="1"/>
  <c r="AA18" i="9" s="1"/>
  <c r="D95" i="9"/>
  <c r="S16" i="9" s="1" a="1"/>
  <c r="S16" i="9" s="1"/>
  <c r="D94" i="9"/>
  <c r="S15" i="9" s="1" a="1"/>
  <c r="S15" i="9" s="1"/>
  <c r="D93" i="9"/>
  <c r="S14" i="9" s="1" a="1"/>
  <c r="S14" i="9" s="1"/>
  <c r="D92" i="9"/>
  <c r="S13" i="9" s="1" a="1"/>
  <c r="S13" i="9" s="1"/>
  <c r="E91" i="9"/>
  <c r="T12" i="9" s="1" a="1"/>
  <c r="T12" i="9" s="1"/>
  <c r="G90" i="9"/>
  <c r="V11" i="9" s="1" a="1"/>
  <c r="V11" i="9" s="1"/>
  <c r="I89" i="9"/>
  <c r="X10" i="9" s="1" a="1"/>
  <c r="X10" i="9" s="1"/>
  <c r="I88" i="9"/>
  <c r="X9" i="9" s="1" a="1"/>
  <c r="X9" i="9" s="1"/>
  <c r="I87" i="9"/>
  <c r="X8" i="9" s="1" a="1"/>
  <c r="X8" i="9" s="1"/>
  <c r="I86" i="9"/>
  <c r="X7" i="9" s="1" a="1"/>
  <c r="X7" i="9" s="1"/>
  <c r="J85" i="9"/>
  <c r="Y6" i="9" s="1" a="1"/>
  <c r="Y6" i="9" s="1"/>
  <c r="D110" i="9"/>
  <c r="S31" i="9" s="1" a="1"/>
  <c r="S31" i="9" s="1"/>
  <c r="I107" i="9"/>
  <c r="X28" i="9" s="1" a="1"/>
  <c r="X28" i="9" s="1"/>
  <c r="I105" i="9"/>
  <c r="X26" i="9" s="1" a="1"/>
  <c r="X26" i="9" s="1"/>
  <c r="O98" i="9"/>
  <c r="C97" i="9"/>
  <c r="R18" i="9" s="1" a="1"/>
  <c r="R18" i="9" s="1"/>
  <c r="G95" i="9"/>
  <c r="V16" i="9" s="1" a="1"/>
  <c r="V16" i="9" s="1"/>
  <c r="G94" i="9"/>
  <c r="V15" i="9" s="1" a="1"/>
  <c r="V15" i="9" s="1"/>
  <c r="G92" i="9"/>
  <c r="V13" i="9" s="1" a="1"/>
  <c r="V13" i="9" s="1"/>
  <c r="H91" i="9"/>
  <c r="W12" i="9" s="1" a="1"/>
  <c r="W12" i="9" s="1"/>
  <c r="L89" i="9"/>
  <c r="AA10" i="9" s="1" a="1"/>
  <c r="AA10" i="9" s="1"/>
  <c r="L88" i="9"/>
  <c r="AA9" i="9" s="1" a="1"/>
  <c r="AA9" i="9" s="1"/>
  <c r="L87" i="9"/>
  <c r="AA8" i="9" s="1" a="1"/>
  <c r="AA8" i="9" s="1"/>
  <c r="L111" i="9"/>
  <c r="AA32" i="9" s="1" a="1"/>
  <c r="AA32" i="9" s="1"/>
  <c r="L110" i="9"/>
  <c r="AA31" i="9" s="1" a="1"/>
  <c r="AA31" i="9" s="1"/>
  <c r="M109" i="9"/>
  <c r="AB30" i="9" s="1" a="1"/>
  <c r="AB30" i="9" s="1"/>
  <c r="O108" i="9"/>
  <c r="C108" i="9"/>
  <c r="R29" i="9" s="1" a="1"/>
  <c r="R29" i="9" s="1"/>
  <c r="E107" i="9"/>
  <c r="T28" i="9" s="1" a="1"/>
  <c r="T28" i="9" s="1"/>
  <c r="E106" i="9"/>
  <c r="T27" i="9" s="1" a="1"/>
  <c r="T27" i="9" s="1"/>
  <c r="E105" i="9"/>
  <c r="T26" i="9" s="1" a="1"/>
  <c r="T26" i="9" s="1"/>
  <c r="E104" i="9"/>
  <c r="T25" i="9" s="1" a="1"/>
  <c r="T25" i="9" s="1"/>
  <c r="F103" i="9"/>
  <c r="U24" i="9" s="1" a="1"/>
  <c r="U24" i="9" s="1"/>
  <c r="H102" i="9"/>
  <c r="W23" i="9" s="1" a="1"/>
  <c r="W23" i="9" s="1"/>
  <c r="J101" i="9"/>
  <c r="Y22" i="9" s="1" a="1"/>
  <c r="Y22" i="9" s="1"/>
  <c r="J100" i="9"/>
  <c r="Y21" i="9" s="1" a="1"/>
  <c r="Y21" i="9" s="1"/>
  <c r="J99" i="9"/>
  <c r="Y20" i="9" s="1" a="1"/>
  <c r="Y20" i="9" s="1"/>
  <c r="J98" i="9"/>
  <c r="Y19" i="9" s="1" a="1"/>
  <c r="Y19" i="9" s="1"/>
  <c r="K97" i="9"/>
  <c r="Z18" i="9" s="1" a="1"/>
  <c r="Z18" i="9" s="1"/>
  <c r="M96" i="9"/>
  <c r="AB17" i="9" s="1" a="1"/>
  <c r="AB17" i="9" s="1"/>
  <c r="O95" i="9"/>
  <c r="C95" i="9"/>
  <c r="R16" i="9" s="1" a="1"/>
  <c r="R16" i="9" s="1"/>
  <c r="C94" i="9"/>
  <c r="R15" i="9" s="1" a="1"/>
  <c r="R15" i="9" s="1"/>
  <c r="C93" i="9"/>
  <c r="R14" i="9" s="1" a="1"/>
  <c r="R14" i="9" s="1"/>
  <c r="C92" i="9"/>
  <c r="R13" i="9" s="1" a="1"/>
  <c r="R13" i="9" s="1"/>
  <c r="D91" i="9"/>
  <c r="S12" i="9" s="1" a="1"/>
  <c r="S12" i="9" s="1"/>
  <c r="F90" i="9"/>
  <c r="U11" i="9" s="1" a="1"/>
  <c r="U11" i="9" s="1"/>
  <c r="H89" i="9"/>
  <c r="W10" i="9" s="1" a="1"/>
  <c r="W10" i="9" s="1"/>
  <c r="H88" i="9"/>
  <c r="W9" i="9" s="1" a="1"/>
  <c r="W9" i="9" s="1"/>
  <c r="H87" i="9"/>
  <c r="W8" i="9" s="1" a="1"/>
  <c r="W8" i="9" s="1"/>
  <c r="H86" i="9"/>
  <c r="W7" i="9" s="1" a="1"/>
  <c r="W7" i="9" s="1"/>
  <c r="I85" i="9"/>
  <c r="X6" i="9" s="1" a="1"/>
  <c r="X6" i="9" s="1"/>
  <c r="M101" i="9"/>
  <c r="AB22" i="9" s="1" a="1"/>
  <c r="AB22" i="9" s="1"/>
  <c r="K111" i="9"/>
  <c r="Z32" i="9" s="1" a="1"/>
  <c r="Z32" i="9" s="1"/>
  <c r="K110" i="9"/>
  <c r="Z31" i="9" s="1" a="1"/>
  <c r="Z31" i="9" s="1"/>
  <c r="L109" i="9"/>
  <c r="AA30" i="9" s="1" a="1"/>
  <c r="AA30" i="9" s="1"/>
  <c r="D107" i="9"/>
  <c r="S28" i="9" s="1" a="1"/>
  <c r="S28" i="9" s="1"/>
  <c r="D106" i="9"/>
  <c r="S27" i="9" s="1" a="1"/>
  <c r="S27" i="9" s="1"/>
  <c r="D105" i="9"/>
  <c r="S26" i="9" s="1" a="1"/>
  <c r="S26" i="9" s="1"/>
  <c r="D104" i="9"/>
  <c r="S25" i="9" s="1" a="1"/>
  <c r="S25" i="9" s="1"/>
  <c r="E103" i="9"/>
  <c r="T24" i="9" s="1" a="1"/>
  <c r="T24" i="9" s="1"/>
  <c r="G102" i="9"/>
  <c r="V23" i="9" s="1" a="1"/>
  <c r="V23" i="9" s="1"/>
  <c r="I101" i="9"/>
  <c r="X22" i="9" s="1" a="1"/>
  <c r="X22" i="9" s="1"/>
  <c r="I100" i="9"/>
  <c r="X21" i="9" s="1" a="1"/>
  <c r="X21" i="9" s="1"/>
  <c r="I99" i="9"/>
  <c r="X20" i="9" s="1" a="1"/>
  <c r="X20" i="9" s="1"/>
  <c r="I98" i="9"/>
  <c r="X19" i="9" s="1" a="1"/>
  <c r="X19" i="9" s="1"/>
  <c r="J97" i="9"/>
  <c r="Y18" i="9" s="1" a="1"/>
  <c r="Y18" i="9" s="1"/>
  <c r="L96" i="9"/>
  <c r="AA17" i="9" s="1" a="1"/>
  <c r="AA17" i="9" s="1"/>
  <c r="O94" i="9"/>
  <c r="O93" i="9"/>
  <c r="O92" i="9"/>
  <c r="O91" i="9"/>
  <c r="C91" i="9"/>
  <c r="R12" i="9" s="1" a="1"/>
  <c r="R12" i="9" s="1"/>
  <c r="E90" i="9"/>
  <c r="T11" i="9" s="1" a="1"/>
  <c r="T11" i="9" s="1"/>
  <c r="G89" i="9"/>
  <c r="V10" i="9" s="1" a="1"/>
  <c r="V10" i="9" s="1"/>
  <c r="G88" i="9"/>
  <c r="V9" i="9" s="1" a="1"/>
  <c r="V9" i="9" s="1"/>
  <c r="G87" i="9"/>
  <c r="V8" i="9" s="1" a="1"/>
  <c r="V8" i="9" s="1"/>
  <c r="G86" i="9"/>
  <c r="V7" i="9" s="1" a="1"/>
  <c r="V7" i="9" s="1"/>
  <c r="H85" i="9"/>
  <c r="W6" i="9" s="1" a="1"/>
  <c r="W6" i="9" s="1"/>
  <c r="J111" i="9"/>
  <c r="Y32" i="9" s="1" a="1"/>
  <c r="Y32" i="9" s="1"/>
  <c r="J110" i="9"/>
  <c r="Y31" i="9" s="1" a="1"/>
  <c r="Y31" i="9" s="1"/>
  <c r="K109" i="9"/>
  <c r="Z30" i="9" s="1" a="1"/>
  <c r="Z30" i="9" s="1"/>
  <c r="M108" i="9"/>
  <c r="AB29" i="9" s="1" a="1"/>
  <c r="AB29" i="9" s="1"/>
  <c r="O107" i="9"/>
  <c r="C107" i="9"/>
  <c r="R28" i="9" s="1" a="1"/>
  <c r="R28" i="9" s="1"/>
  <c r="C106" i="9"/>
  <c r="R27" i="9" s="1" a="1"/>
  <c r="R27" i="9" s="1"/>
  <c r="C105" i="9"/>
  <c r="R26" i="9" s="1" a="1"/>
  <c r="R26" i="9" s="1"/>
  <c r="C104" i="9"/>
  <c r="R25" i="9" s="1" a="1"/>
  <c r="R25" i="9" s="1"/>
  <c r="D103" i="9"/>
  <c r="S24" i="9" s="1" a="1"/>
  <c r="S24" i="9" s="1"/>
  <c r="F102" i="9"/>
  <c r="U23" i="9" s="1" a="1"/>
  <c r="U23" i="9" s="1"/>
  <c r="H101" i="9"/>
  <c r="W22" i="9" s="1" a="1"/>
  <c r="W22" i="9" s="1"/>
  <c r="H100" i="9"/>
  <c r="W21" i="9" s="1" a="1"/>
  <c r="W21" i="9" s="1"/>
  <c r="H99" i="9"/>
  <c r="W20" i="9" s="1" a="1"/>
  <c r="W20" i="9" s="1"/>
  <c r="H98" i="9"/>
  <c r="W19" i="9" s="1" a="1"/>
  <c r="W19" i="9" s="1"/>
  <c r="I97" i="9"/>
  <c r="X18" i="9" s="1" a="1"/>
  <c r="X18" i="9" s="1"/>
  <c r="K96" i="9"/>
  <c r="Z17" i="9" s="1" a="1"/>
  <c r="Z17" i="9" s="1"/>
  <c r="M95" i="9"/>
  <c r="AB16" i="9" s="1" a="1"/>
  <c r="AB16" i="9" s="1"/>
  <c r="M94" i="9"/>
  <c r="AB15" i="9" s="1" a="1"/>
  <c r="AB15" i="9" s="1"/>
  <c r="M93" i="9"/>
  <c r="AB14" i="9" s="1" a="1"/>
  <c r="AB14" i="9" s="1"/>
  <c r="M92" i="9"/>
  <c r="AB13" i="9" s="1" a="1"/>
  <c r="AB13" i="9" s="1"/>
  <c r="D90" i="9"/>
  <c r="S11" i="9" s="1" a="1"/>
  <c r="S11" i="9" s="1"/>
  <c r="F89" i="9"/>
  <c r="U10" i="9" s="1" a="1"/>
  <c r="U10" i="9" s="1"/>
  <c r="F88" i="9"/>
  <c r="U9" i="9" s="1" a="1"/>
  <c r="U9" i="9" s="1"/>
  <c r="F87" i="9"/>
  <c r="U8" i="9" s="1" a="1"/>
  <c r="U8" i="9" s="1"/>
  <c r="F86" i="9"/>
  <c r="U7" i="9" s="1" a="1"/>
  <c r="U7" i="9" s="1"/>
  <c r="G85" i="9"/>
  <c r="V6" i="9" s="1" a="1"/>
  <c r="V6" i="9" s="1"/>
  <c r="G62" i="2"/>
  <c r="H47" i="2"/>
  <c r="I47" i="2" s="1"/>
  <c r="D47" i="2" s="1"/>
  <c r="H5" i="2"/>
  <c r="I5" i="2" s="1"/>
  <c r="D5" i="2" s="1"/>
  <c r="G78" i="2"/>
  <c r="H76" i="1" s="1"/>
  <c r="G30" i="2"/>
  <c r="G8" i="2"/>
  <c r="H63" i="1" s="1"/>
  <c r="G9" i="2"/>
  <c r="H77" i="1"/>
  <c r="G45" i="2"/>
  <c r="G50" i="2"/>
  <c r="G31" i="2"/>
  <c r="G43" i="2"/>
  <c r="C12" i="10"/>
  <c r="C106" i="17"/>
  <c r="K4" i="17" s="1"/>
  <c r="D106" i="17"/>
  <c r="K5" i="17" s="1"/>
  <c r="H61" i="1"/>
  <c r="H69" i="1"/>
  <c r="G13" i="2"/>
  <c r="H66" i="1" s="1"/>
  <c r="G36" i="2"/>
  <c r="G69" i="2"/>
  <c r="A15" i="20"/>
  <c r="A25" i="20"/>
  <c r="B14" i="9"/>
  <c r="E14" i="9" s="1"/>
  <c r="B15" i="9"/>
  <c r="C15" i="9" s="1"/>
  <c r="B6" i="9"/>
  <c r="C6" i="9" s="1"/>
  <c r="B9" i="9"/>
  <c r="C9" i="9" s="1"/>
  <c r="A9" i="20"/>
  <c r="A17" i="20"/>
  <c r="A26" i="20"/>
  <c r="A18" i="20"/>
  <c r="B10" i="9"/>
  <c r="E10" i="9" s="1"/>
  <c r="B8" i="9"/>
  <c r="B16" i="9"/>
  <c r="B7" i="9"/>
  <c r="B3" i="9"/>
  <c r="B18" i="9"/>
  <c r="B12" i="9"/>
  <c r="B11" i="9"/>
  <c r="B13" i="9"/>
  <c r="B17" i="9"/>
  <c r="B49" i="9"/>
  <c r="G49" i="9" s="1" a="1"/>
  <c r="G49" i="9" s="1"/>
  <c r="B5" i="9"/>
  <c r="E5" i="9" s="1"/>
  <c r="B4" i="9"/>
  <c r="A28" i="20"/>
  <c r="A5" i="20"/>
  <c r="A20" i="20"/>
  <c r="A3" i="20"/>
  <c r="A27" i="20"/>
  <c r="A4" i="20"/>
  <c r="A10" i="20"/>
  <c r="A23" i="20"/>
  <c r="A16" i="20"/>
  <c r="A21" i="20"/>
  <c r="A22" i="20"/>
  <c r="A14" i="20"/>
  <c r="Q5" i="9"/>
  <c r="A11" i="20"/>
  <c r="A7" i="20"/>
  <c r="A24" i="20"/>
  <c r="A8" i="20"/>
  <c r="A19" i="20"/>
  <c r="A6" i="20"/>
  <c r="AC36" i="9"/>
  <c r="A12" i="20"/>
  <c r="C16" i="10"/>
  <c r="C9" i="8"/>
  <c r="N5" i="17"/>
  <c r="N7" i="17" s="1"/>
  <c r="C19" i="10" s="1"/>
  <c r="E44" i="18"/>
  <c r="G14" i="15"/>
  <c r="C43" i="12"/>
  <c r="I37" i="12"/>
  <c r="J43" i="14"/>
  <c r="C12" i="8" s="1"/>
  <c r="D44" i="18"/>
  <c r="D42" i="14"/>
  <c r="C10" i="8" s="1"/>
  <c r="I122" i="6"/>
  <c r="H9" i="7"/>
  <c r="H9" i="15"/>
  <c r="H122" i="6"/>
  <c r="D2" i="2"/>
  <c r="H84" i="1" l="1"/>
  <c r="H85" i="1"/>
  <c r="H92" i="1"/>
  <c r="H93" i="1"/>
  <c r="H29" i="1"/>
  <c r="H80" i="1"/>
  <c r="H91" i="1"/>
  <c r="H89" i="1"/>
  <c r="H68" i="1"/>
  <c r="H97" i="1"/>
  <c r="H86" i="1"/>
  <c r="H82" i="1"/>
  <c r="H81" i="1"/>
  <c r="H60" i="1"/>
  <c r="N76" i="9"/>
  <c r="P76" i="9" s="1"/>
  <c r="N53" i="9"/>
  <c r="P53" i="9" s="1"/>
  <c r="N52" i="9"/>
  <c r="P52" i="9" s="1"/>
  <c r="N50" i="9"/>
  <c r="P50" i="9" s="1"/>
  <c r="N63" i="9"/>
  <c r="P63" i="9" s="1"/>
  <c r="N66" i="9"/>
  <c r="P66" i="9" s="1"/>
  <c r="N62" i="9"/>
  <c r="P62" i="9" s="1"/>
  <c r="N69" i="9"/>
  <c r="P69" i="9" s="1"/>
  <c r="N60" i="9"/>
  <c r="P60" i="9" s="1"/>
  <c r="N57" i="9"/>
  <c r="P57" i="9" s="1"/>
  <c r="N71" i="9"/>
  <c r="P71" i="9" s="1"/>
  <c r="N75" i="9"/>
  <c r="P75" i="9" s="1"/>
  <c r="N73" i="9"/>
  <c r="P73" i="9" s="1"/>
  <c r="N74" i="9"/>
  <c r="P74" i="9" s="1"/>
  <c r="N65" i="9"/>
  <c r="P65" i="9" s="1"/>
  <c r="N70" i="9"/>
  <c r="P70" i="9" s="1"/>
  <c r="N64" i="9"/>
  <c r="P64" i="9" s="1"/>
  <c r="N51" i="9"/>
  <c r="P51" i="9" s="1"/>
  <c r="N59" i="9"/>
  <c r="P59" i="9" s="1"/>
  <c r="N55" i="9"/>
  <c r="P55" i="9" s="1"/>
  <c r="L49" i="9" a="1"/>
  <c r="L49" i="9" s="1"/>
  <c r="J49" i="9" a="1"/>
  <c r="J49" i="9" s="1"/>
  <c r="I49" i="9" a="1"/>
  <c r="I49" i="9" s="1"/>
  <c r="M49" i="9" a="1"/>
  <c r="M49" i="9" s="1"/>
  <c r="K49" i="9" a="1"/>
  <c r="K49" i="9" s="1"/>
  <c r="N68" i="9"/>
  <c r="P68" i="9" s="1"/>
  <c r="N72" i="9"/>
  <c r="P72" i="9" s="1"/>
  <c r="N58" i="9"/>
  <c r="P58" i="9" s="1"/>
  <c r="N67" i="9"/>
  <c r="P67" i="9" s="1"/>
  <c r="N54" i="9"/>
  <c r="P54" i="9" s="1"/>
  <c r="N61" i="9"/>
  <c r="P61" i="9" s="1"/>
  <c r="H49" i="9" a="1"/>
  <c r="H49" i="9" s="1"/>
  <c r="AC6" i="9"/>
  <c r="N56" i="9"/>
  <c r="P56" i="9" s="1"/>
  <c r="K6" i="17"/>
  <c r="AC12" i="9"/>
  <c r="AD12" i="9"/>
  <c r="B9" i="20" s="1"/>
  <c r="AD11" i="9"/>
  <c r="B8" i="20" s="1"/>
  <c r="AC10" i="9"/>
  <c r="AD15" i="9"/>
  <c r="B12" i="20" s="1"/>
  <c r="AC24" i="9"/>
  <c r="AD22" i="9"/>
  <c r="B19" i="20" s="1"/>
  <c r="AC17" i="9"/>
  <c r="AD28" i="9"/>
  <c r="B25" i="20" s="1"/>
  <c r="AD20" i="9"/>
  <c r="B17" i="20" s="1"/>
  <c r="AC25" i="9"/>
  <c r="AD24" i="9"/>
  <c r="B21" i="20" s="1"/>
  <c r="AD13" i="9"/>
  <c r="B10" i="20" s="1"/>
  <c r="AC13" i="9"/>
  <c r="AD18" i="9"/>
  <c r="B15" i="20" s="1"/>
  <c r="AC31" i="9"/>
  <c r="AC15" i="9"/>
  <c r="AC11" i="9"/>
  <c r="AC14" i="9"/>
  <c r="AC32" i="9"/>
  <c r="AE32" i="9" s="1"/>
  <c r="AC18" i="9"/>
  <c r="AD25" i="9"/>
  <c r="B22" i="20" s="1"/>
  <c r="AD14" i="9"/>
  <c r="B11" i="20" s="1"/>
  <c r="AC8" i="9"/>
  <c r="AD16" i="9"/>
  <c r="B13" i="20" s="1"/>
  <c r="AC16" i="9"/>
  <c r="AC28" i="9"/>
  <c r="AD10" i="9"/>
  <c r="B7" i="20" s="1"/>
  <c r="AC19" i="9"/>
  <c r="AD6" i="9"/>
  <c r="AC22" i="9"/>
  <c r="AC9" i="9"/>
  <c r="AE9" i="9" s="1"/>
  <c r="C6" i="20" s="1"/>
  <c r="AC26" i="9"/>
  <c r="AD17" i="9"/>
  <c r="B14" i="20" s="1"/>
  <c r="AD26" i="9"/>
  <c r="B23" i="20" s="1"/>
  <c r="AC21" i="9"/>
  <c r="AE21" i="9" s="1"/>
  <c r="C18" i="20" s="1"/>
  <c r="AC7" i="9"/>
  <c r="AE7" i="9" s="1"/>
  <c r="C4" i="20" s="1"/>
  <c r="AD29" i="9"/>
  <c r="B26" i="20" s="1"/>
  <c r="AD19" i="9"/>
  <c r="B16" i="20" s="1"/>
  <c r="AC27" i="9"/>
  <c r="AE27" i="9" s="1"/>
  <c r="C24" i="20" s="1"/>
  <c r="AC29" i="9"/>
  <c r="AD23" i="9"/>
  <c r="B20" i="20" s="1"/>
  <c r="AC20" i="9"/>
  <c r="AC23" i="9"/>
  <c r="AD30" i="9"/>
  <c r="B27" i="20" s="1"/>
  <c r="AC30" i="9"/>
  <c r="AD31" i="9"/>
  <c r="B28" i="20" s="1"/>
  <c r="AD8" i="9"/>
  <c r="B5" i="20" s="1"/>
  <c r="F106" i="17"/>
  <c r="H75" i="1"/>
  <c r="H67" i="1"/>
  <c r="D12" i="19" a="1"/>
  <c r="D12" i="19" s="1"/>
  <c r="N88" i="9"/>
  <c r="P88" i="9" s="1"/>
  <c r="N91" i="9"/>
  <c r="P91" i="9" s="1"/>
  <c r="N89" i="9"/>
  <c r="P89" i="9" s="1"/>
  <c r="N108" i="9"/>
  <c r="N95" i="9"/>
  <c r="P95" i="9" s="1"/>
  <c r="N107" i="9"/>
  <c r="P107" i="9" s="1"/>
  <c r="N99" i="9"/>
  <c r="P99" i="9" s="1"/>
  <c r="N98" i="9"/>
  <c r="P98" i="9" s="1"/>
  <c r="N96" i="9"/>
  <c r="P96" i="9" s="1"/>
  <c r="N100" i="9"/>
  <c r="P100" i="9" s="1"/>
  <c r="N109" i="9"/>
  <c r="P109" i="9" s="1"/>
  <c r="N101" i="9"/>
  <c r="P101" i="9" s="1"/>
  <c r="N110" i="9"/>
  <c r="P110" i="9" s="1"/>
  <c r="N111" i="9"/>
  <c r="P111" i="9" s="1"/>
  <c r="N97" i="9"/>
  <c r="P97" i="9" s="1"/>
  <c r="E9" i="9"/>
  <c r="N93" i="9"/>
  <c r="P93" i="9" s="1"/>
  <c r="N104" i="9"/>
  <c r="P104" i="9" s="1"/>
  <c r="N86" i="9"/>
  <c r="P86" i="9" s="1"/>
  <c r="N92" i="9"/>
  <c r="P92" i="9" s="1"/>
  <c r="N105" i="9"/>
  <c r="P105" i="9" s="1"/>
  <c r="N87" i="9"/>
  <c r="P87" i="9" s="1"/>
  <c r="N94" i="9"/>
  <c r="P94" i="9" s="1"/>
  <c r="N90" i="9"/>
  <c r="P90" i="9" s="1"/>
  <c r="N103" i="9"/>
  <c r="P103" i="9" s="1"/>
  <c r="N106" i="9"/>
  <c r="P106" i="9" s="1"/>
  <c r="N102" i="9"/>
  <c r="P102" i="9" s="1"/>
  <c r="P108" i="9"/>
  <c r="E49" i="9" a="1"/>
  <c r="E49" i="9" s="1"/>
  <c r="L84" i="9"/>
  <c r="AA5" i="9" s="1" a="1"/>
  <c r="AA5" i="9" s="1"/>
  <c r="K84" i="9"/>
  <c r="Z5" i="9" s="1" a="1"/>
  <c r="Z5" i="9" s="1"/>
  <c r="F84" i="9"/>
  <c r="U5" i="9" s="1" a="1"/>
  <c r="U5" i="9" s="1"/>
  <c r="E84" i="9"/>
  <c r="T5" i="9" s="1" a="1"/>
  <c r="T5" i="9" s="1"/>
  <c r="J84" i="9"/>
  <c r="Y5" i="9" s="1" a="1"/>
  <c r="Y5" i="9" s="1"/>
  <c r="G84" i="9"/>
  <c r="V5" i="9" s="1" a="1"/>
  <c r="V5" i="9" s="1"/>
  <c r="I84" i="9"/>
  <c r="X5" i="9" s="1" a="1"/>
  <c r="X5" i="9" s="1"/>
  <c r="H84" i="9"/>
  <c r="W5" i="9" s="1" a="1"/>
  <c r="W5" i="9" s="1"/>
  <c r="D84" i="9"/>
  <c r="S5" i="9" s="1" a="1"/>
  <c r="S5" i="9" s="1"/>
  <c r="M84" i="9"/>
  <c r="AB5" i="9" s="1" a="1"/>
  <c r="AB5" i="9" s="1"/>
  <c r="C84" i="9"/>
  <c r="R5" i="9" s="1" a="1"/>
  <c r="R5" i="9" s="1"/>
  <c r="O84" i="9"/>
  <c r="AD5" i="9" s="1"/>
  <c r="B2" i="20" s="1"/>
  <c r="N85" i="9"/>
  <c r="P85" i="9" s="1"/>
  <c r="E15" i="9"/>
  <c r="H14" i="15"/>
  <c r="F49" i="9" a="1"/>
  <c r="F49" i="9" s="1"/>
  <c r="C12" i="19" a="1"/>
  <c r="C12" i="19" s="1"/>
  <c r="D49" i="9" a="1"/>
  <c r="D49" i="9" s="1"/>
  <c r="C10" i="9"/>
  <c r="C5" i="9"/>
  <c r="C14" i="9"/>
  <c r="E6" i="9"/>
  <c r="C14" i="19" a="1"/>
  <c r="C14" i="19" s="1"/>
  <c r="E16" i="9"/>
  <c r="C16" i="9"/>
  <c r="C8" i="9"/>
  <c r="E8" i="9"/>
  <c r="E11" i="9"/>
  <c r="C11" i="9"/>
  <c r="E7" i="9" a="1"/>
  <c r="E7" i="9" s="1"/>
  <c r="C7" i="9"/>
  <c r="C13" i="9"/>
  <c r="E13" i="9"/>
  <c r="A2" i="20"/>
  <c r="D10" i="19" a="1"/>
  <c r="D10" i="19" s="1"/>
  <c r="D8" i="19" a="1"/>
  <c r="D8" i="19" s="1"/>
  <c r="B2" i="9"/>
  <c r="O49" i="9"/>
  <c r="C49" i="9" a="1"/>
  <c r="C49" i="9" s="1"/>
  <c r="E12" i="9"/>
  <c r="C12" i="9"/>
  <c r="E18" i="9"/>
  <c r="C18" i="9"/>
  <c r="E17" i="9"/>
  <c r="C17" i="9"/>
  <c r="E4" i="9"/>
  <c r="C4" i="9"/>
  <c r="E3" i="9"/>
  <c r="C3" i="9"/>
  <c r="D14" i="19" a="1"/>
  <c r="D14" i="19" s="1"/>
  <c r="E4" i="8"/>
  <c r="E8" i="8"/>
  <c r="E5" i="8"/>
  <c r="E6" i="8"/>
  <c r="E9" i="8"/>
  <c r="E7" i="8"/>
  <c r="E12" i="8"/>
  <c r="E10" i="8"/>
  <c r="P7" i="17"/>
  <c r="F44" i="18"/>
  <c r="C11" i="8"/>
  <c r="AE6" i="9" l="1"/>
  <c r="C3" i="20" s="1"/>
  <c r="AE11" i="9"/>
  <c r="C8" i="20" s="1"/>
  <c r="AE13" i="9"/>
  <c r="C10" i="20" s="1"/>
  <c r="AE29" i="9"/>
  <c r="C26" i="20" s="1"/>
  <c r="AE18" i="9"/>
  <c r="C15" i="20" s="1"/>
  <c r="AE25" i="9"/>
  <c r="C22" i="20" s="1"/>
  <c r="AE20" i="9"/>
  <c r="C17" i="20" s="1"/>
  <c r="AE26" i="9"/>
  <c r="C23" i="20" s="1"/>
  <c r="E18" i="19" a="1"/>
  <c r="E18" i="19" s="1"/>
  <c r="AE24" i="9"/>
  <c r="C21" i="20" s="1"/>
  <c r="AE22" i="9"/>
  <c r="C19" i="20" s="1"/>
  <c r="B3" i="20"/>
  <c r="AE30" i="9"/>
  <c r="C27" i="20" s="1"/>
  <c r="AE19" i="9"/>
  <c r="C16" i="20" s="1"/>
  <c r="E12" i="19"/>
  <c r="AE10" i="9"/>
  <c r="C7" i="20" s="1"/>
  <c r="AE8" i="9"/>
  <c r="C5" i="20" s="1"/>
  <c r="AE14" i="9"/>
  <c r="C11" i="20" s="1"/>
  <c r="AE23" i="9"/>
  <c r="C20" i="20" s="1"/>
  <c r="AE28" i="9"/>
  <c r="C25" i="20" s="1"/>
  <c r="AE16" i="9"/>
  <c r="C13" i="20" s="1"/>
  <c r="AE15" i="9"/>
  <c r="C12" i="20" s="1"/>
  <c r="AE31" i="9"/>
  <c r="C28" i="20" s="1"/>
  <c r="AE17" i="9"/>
  <c r="C14" i="20" s="1"/>
  <c r="AE12" i="9"/>
  <c r="C9" i="20" s="1"/>
  <c r="E14" i="19"/>
  <c r="N49" i="9"/>
  <c r="C23" i="9" s="1"/>
  <c r="C3" i="10" s="1"/>
  <c r="C11" i="10" s="1"/>
  <c r="C13" i="10" s="1"/>
  <c r="N84" i="9"/>
  <c r="P84" i="9" s="1"/>
  <c r="AC5" i="9"/>
  <c r="AE5" i="9" s="1"/>
  <c r="C2" i="20" s="1"/>
  <c r="C2" i="9"/>
  <c r="E2" i="9"/>
  <c r="C14" i="8"/>
  <c r="C4" i="10" s="1"/>
  <c r="E11" i="8"/>
  <c r="E14" i="8" s="1"/>
  <c r="C21" i="9" l="1"/>
  <c r="E20" i="19" a="1"/>
  <c r="E20" i="19" s="1"/>
  <c r="E16" i="19"/>
  <c r="P49" i="9"/>
  <c r="C15" i="10"/>
  <c r="C17"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<sst xmlns="http://schemas.openxmlformats.org/spreadsheetml/2006/main" count="1063" uniqueCount="305">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</sst>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1">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9" formatCode="dd/mm/yyyy"/>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788051</xdr:colOff>
      <xdr:row>7</xdr:row>
      <xdr:rowOff>43181</xdr:rowOff>
    </xdr:from>
    <xdr:to>
      <xdr:col>13</xdr:col>
      <xdr:colOff>683139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486340</xdr:colOff>
      <xdr:row>12</xdr:row>
      <xdr:rowOff>138748</xdr:rowOff>
    </xdr:from>
    <xdr:to>
      <xdr:col>14</xdr:col>
      <xdr:colOff>818882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3848387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5555555" createdVersion="8" refreshedVersion="8" minRefreshableVersion="3" recordCount="99" xr:uid="{46CBB50D-3613-4E5B-8212-DD0313DCD05A}">
  <cacheSource type="worksheet">
    <worksheetSource name="Table1"/>
  </cacheSource>
  <cacheFields count="14">
    <cacheField name="Date" numFmtId="0">
      <sharedItems containsNonDate="0" containsDate="1" containsString="0" containsBlank="1" minDate="2026-01-20T00:00:00" maxDate="2026-01-25T00:00:00"/>
    </cacheField>
    <cacheField name="Party Name" numFmtId="0">
      <sharedItems containsBlank="1" count="34">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m/>
        <s v="Reject" u="1"/>
        <s v="YING" u="1"/>
        <s v="Meow" u="1"/>
        <s v="Umer Sb" u="1"/>
        <s v="-" u="1"/>
        <s v="Sajjad" u="1"/>
        <s v="Haji Ejaz" u="1"/>
      </sharedItems>
    </cacheField>
    <cacheField name="Bill Number" numFmtId="0">
      <sharedItems containsMixedTypes="1" containsNumber="1" containsInteger="1" minValue="1375" maxValue="1415"/>
    </cacheField>
    <cacheField name="Quality" numFmtId="0">
      <sharedItems containsBlank="1"/>
    </cacheField>
    <cacheField name="Shipment Number" numFmtId="164">
      <sharedItems containsBlank="1" containsMixedTypes="1" containsNumber="1" containsInteger="1" minValue="1558" maxValue="17000" count="398">
        <m/>
        <n v="2024"/>
        <n v="2023"/>
        <n v="2025"/>
        <n v="2039"/>
        <n v="2037"/>
        <n v="2026"/>
        <n v="2041"/>
        <n v="2006"/>
        <s v="2017-b"/>
        <n v="2035"/>
        <n v="2040"/>
        <n v="2020"/>
        <n v="2034"/>
        <n v="2046"/>
        <n v="2033"/>
        <n v="2032"/>
        <n v="2021"/>
        <n v="2052"/>
        <n v="1989"/>
        <s v="2035-b"/>
        <n v="2012"/>
        <n v="2015"/>
        <n v="206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6991" maxValue="100417"/>
    </cacheField>
    <cacheField name="Tiyaar/gaz" numFmtId="164">
      <sharedItems containsString="0" containsBlank="1" containsNumber="1" containsInteger="1" minValue="980" maxValue="49876"/>
    </cacheField>
    <cacheField name="shortage %" numFmtId="165">
      <sharedItems containsMixedTypes="1" containsNumber="1" minValue="9.7108603458096354E-2" maxValue="96.298236546371342"/>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36574"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6-01-20T00:00:00" maxDate="2026-01-27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71296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4">
        <d v="2026-01-20T00:00:00"/>
        <m/>
        <d v="2026-01-22T00:00:00"/>
        <d v="2026-01-26T00:00:00"/>
        <d v="2026-01-27T00:00:00"/>
        <d v="2026-01-28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2T00:00:00" u="1"/>
        <d v="2026-01-03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4" maxValue="237"/>
    </cacheField>
    <cacheField name="Rate" numFmtId="164">
      <sharedItems containsString="0" containsBlank="1" containsNumber="1" containsInteger="1" minValue="580" maxValue="820"/>
    </cacheField>
    <cacheField name="Rent" numFmtId="164">
      <sharedItems containsNonDate="0" containsString="0" containsBlank="1"/>
    </cacheField>
    <cacheField name="Total" numFmtId="164">
      <sharedItems containsString="0" containsBlank="1" containsNumber="1" containsInteger="1" minValue="0" maxValue="19434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216694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6828702" createdVersion="8" refreshedVersion="8" minRefreshableVersion="3" recordCount="7" xr:uid="{AC867DCC-CE64-4D1A-827D-F1F3EE10EE4E}">
  <cacheSource type="worksheet">
    <worksheetSource name="Table8"/>
  </cacheSource>
  <cacheFields count="9">
    <cacheField name="Date" numFmtId="0">
      <sharedItems containsNonDate="0" containsDate="1" containsString="0" containsBlank="1" minDate="2025-05-16T00:00:00" maxDate="2026-01-27T00:00:00" count="67">
        <d v="2025-12-17T00:00:00"/>
        <d v="2026-01-22T00:00:00"/>
        <d v="2026-01-26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9">
        <s v="Unicolour"/>
        <s v="madina dyes"/>
        <s v="General Dyes"/>
        <s v="Shafi Dyes"/>
        <m/>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729166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192519.20263350403"/>
    </cacheField>
    <cacheField name="Rate" numFmtId="0">
      <sharedItems containsString="0" containsBlank="1" containsNumber="1" minValue="10" maxValue="12"/>
    </cacheField>
    <cacheField name="Total" numFmtId="164">
      <sharedItems containsSemiMixedTypes="0" containsString="0" containsNumber="1" minValue="0" maxValue="2026132.040965618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94807638887" createdVersion="8" refreshedVersion="8" minRefreshableVersion="3" recordCount="104" xr:uid="{B5BDFB73-D93A-4A7A-8149-666BC190B09B}">
  <cacheSource type="worksheet">
    <worksheetSource name="Table14"/>
  </cacheSource>
  <cacheFields count="7">
    <cacheField name="Date" numFmtId="14">
      <sharedItems containsNonDate="0" containsDate="1" containsString="0" containsBlank="1" minDate="2025-12-23T00:00:00" maxDate="2026-01-29T00:00:00"/>
    </cacheField>
    <cacheField name="Party" numFmtId="0">
      <sharedItems containsBlank="1" count="80">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hafiz qureshi" u="1"/>
        <s v="Rafaqat" u="1"/>
        <s v="Azam" u="1"/>
        <s v="Electricity" u="1"/>
        <s v="Arshad" u="1"/>
        <s v="Rana babar" u="1"/>
        <s v="Badshah Fabrics" u="1"/>
        <s v="Faysal Akraam" u="1"/>
        <s v="Usman shafiq dyes" u="1"/>
        <s v="shehzad kamoki" u="1"/>
        <s v="sufi nawaz sahab" u="1"/>
        <s v="temp" u="1"/>
        <s v="Raaz Fabrics" u="1"/>
        <s v="Amjad sohail" u="1"/>
        <s v="Dyes" u="1"/>
        <s v="Gauhar Kashif" u="1"/>
        <s v="finish" u="1"/>
        <s v="abid ghafoor" u="1"/>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384838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19"/>
    <s v="December Closing CF"/>
    <s v="Black-Chamki"/>
    <x v="0"/>
    <m/>
    <m/>
    <e v="#DIV/0!"/>
    <m/>
    <n v="161653.2553035845"/>
    <m/>
  </r>
  <r>
    <d v="2026-01-20T00:00:00"/>
    <x v="20"/>
    <s v="December Closing CF"/>
    <s v="Kataan"/>
    <x v="0"/>
    <m/>
    <m/>
    <e v="#DIV/0!"/>
    <m/>
    <n v="523143.74542794435"/>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96.298236546371342"/>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92.334302316436819"/>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6.045204008428968"/>
    <n v="3971.2874908558892"/>
    <n v="39712.874908558893"/>
    <m/>
  </r>
  <r>
    <d v="2026-01-24T00:00:00"/>
    <x v="7"/>
    <n v="1392"/>
    <s v="Chamki"/>
    <x v="13"/>
    <n v="50630"/>
    <n v="4298"/>
    <n v="2.1581908479854519"/>
    <n v="3930.1389904901248"/>
    <n v="39301.389904901247"/>
    <m/>
  </r>
  <r>
    <d v="2026-01-24T00:00:00"/>
    <x v="7"/>
    <n v="1393"/>
    <s v="Chamki"/>
    <x v="15"/>
    <n v="26970"/>
    <n v="18078"/>
    <n v="38.706992163120354"/>
    <n v="16530.724213606438"/>
    <n v="165307.24213606439"/>
    <m/>
  </r>
  <r>
    <d v="2026-01-24T00:00:00"/>
    <x v="7"/>
    <n v="1394"/>
    <s v="Chamki"/>
    <x v="16"/>
    <n v="25205"/>
    <n v="27004"/>
    <s v="NF"/>
    <m/>
    <m/>
    <m/>
  </r>
  <r>
    <d v="2026-01-24T00:00:00"/>
    <x v="7"/>
    <n v="1395"/>
    <s v="Chamki"/>
    <x v="15"/>
    <n v="26970"/>
    <n v="10989"/>
    <n v="38.706992163120354"/>
    <m/>
    <m/>
    <m/>
  </r>
  <r>
    <d v="2026-01-24T00:00:00"/>
    <x v="5"/>
    <n v="1396"/>
    <s v="Chamki"/>
    <x v="12"/>
    <n v="22557"/>
    <n v="12689"/>
    <n v="92.334302316436819"/>
    <m/>
    <m/>
    <m/>
  </r>
  <r>
    <d v="2026-01-24T00:00:00"/>
    <x v="5"/>
    <n v="1397"/>
    <s v="Chamki"/>
    <x v="12"/>
    <n v="22557"/>
    <n v="10069"/>
    <n v="92.334302316436819"/>
    <m/>
    <m/>
    <m/>
  </r>
  <r>
    <d v="2026-01-24T00:00:00"/>
    <x v="5"/>
    <n v="1398"/>
    <s v="Chamki"/>
    <x v="17"/>
    <n v="24970"/>
    <n v="26890"/>
    <s v="NF"/>
    <m/>
    <m/>
    <m/>
  </r>
  <r>
    <d v="2026-01-24T00:00:00"/>
    <x v="12"/>
    <n v="1399"/>
    <s v="Chamki"/>
    <x v="18"/>
    <n v="72275"/>
    <n v="6894"/>
    <s v="NF"/>
    <m/>
    <m/>
    <m/>
  </r>
  <r>
    <d v="2026-01-24T00:00:00"/>
    <x v="12"/>
    <n v="1400"/>
    <s v="Chamki"/>
    <x v="18"/>
    <n v="72275"/>
    <n v="29817"/>
    <s v="NF"/>
    <m/>
    <m/>
    <m/>
  </r>
  <r>
    <d v="2026-01-24T00:00:00"/>
    <x v="10"/>
    <n v="1401"/>
    <s v="Chamki"/>
    <x v="19"/>
    <n v="61388"/>
    <n v="4389"/>
    <s v="NF"/>
    <m/>
    <m/>
    <m/>
  </r>
  <r>
    <d v="2026-01-24T00:00:00"/>
    <x v="0"/>
    <n v="1402"/>
    <s v="Chamki"/>
    <x v="20"/>
    <n v="61388"/>
    <n v="4114"/>
    <s v="NF"/>
    <m/>
    <m/>
    <m/>
  </r>
  <r>
    <d v="2026-01-24T00:00:00"/>
    <x v="0"/>
    <n v="1403"/>
    <s v="Chamki"/>
    <x v="14"/>
    <n v="100417"/>
    <n v="2361"/>
    <n v="96.045204008428968"/>
    <m/>
    <m/>
    <m/>
  </r>
  <r>
    <d v="2026-01-24T00:00:00"/>
    <x v="19"/>
    <n v="1404"/>
    <s v="Kataan"/>
    <x v="21"/>
    <n v="28546"/>
    <n v="5143"/>
    <s v="NF"/>
    <m/>
    <m/>
    <m/>
  </r>
  <r>
    <d v="2026-01-24T00:00:00"/>
    <x v="19"/>
    <n v="1405"/>
    <s v="Kataan"/>
    <x v="22"/>
    <n v="29087"/>
    <n v="31183"/>
    <s v="NF"/>
    <m/>
    <m/>
    <m/>
  </r>
  <r>
    <d v="2026-01-24T00:00:00"/>
    <x v="19"/>
    <n v="1406"/>
    <s v="Kataan"/>
    <x v="21"/>
    <n v="28546"/>
    <n v="10124"/>
    <s v="NF"/>
    <m/>
    <m/>
    <m/>
  </r>
  <r>
    <d v="2026-01-24T00:00:00"/>
    <x v="12"/>
    <n v="1407"/>
    <s v="Chamki"/>
    <x v="18"/>
    <n v="72275"/>
    <n v="19318"/>
    <s v="NF"/>
    <m/>
    <m/>
    <m/>
  </r>
  <r>
    <d v="2026-01-24T00:00:00"/>
    <x v="12"/>
    <n v="1408"/>
    <s v="Chamki"/>
    <x v="18"/>
    <n v="72275"/>
    <n v="21614"/>
    <s v="NF"/>
    <m/>
    <m/>
    <m/>
  </r>
  <r>
    <d v="2026-01-24T00:00:00"/>
    <x v="0"/>
    <n v="1409"/>
    <s v="Chamki"/>
    <x v="23"/>
    <n v="9163"/>
    <n v="4740"/>
    <s v="NF"/>
    <m/>
    <m/>
    <m/>
  </r>
  <r>
    <m/>
    <x v="0"/>
    <n v="1410"/>
    <s v="Chamki"/>
    <x v="20"/>
    <n v="38006"/>
    <n v="24832"/>
    <s v="NF"/>
    <m/>
    <m/>
    <m/>
  </r>
  <r>
    <m/>
    <x v="0"/>
    <n v="1411"/>
    <s v="Chamki"/>
    <x v="20"/>
    <n v="38006"/>
    <n v="22178"/>
    <s v="NF"/>
    <m/>
    <m/>
    <m/>
  </r>
  <r>
    <m/>
    <x v="10"/>
    <n v="1412"/>
    <s v="Chamki"/>
    <x v="19"/>
    <n v="61388"/>
    <n v="16954"/>
    <s v="NF"/>
    <m/>
    <m/>
    <m/>
  </r>
  <r>
    <m/>
    <x v="26"/>
    <n v="1413"/>
    <m/>
    <x v="0"/>
    <m/>
    <m/>
    <e v="#DIV/0!"/>
    <m/>
    <m/>
    <m/>
  </r>
  <r>
    <m/>
    <x v="26"/>
    <n v="1414"/>
    <m/>
    <x v="0"/>
    <m/>
    <m/>
    <e v="#DIV/0!"/>
    <m/>
    <m/>
    <m/>
  </r>
  <r>
    <m/>
    <x v="26"/>
    <n v="1415"/>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2166945"/>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2"/>
    <n v="580"/>
    <m/>
    <n v="76560"/>
    <m/>
    <n v="76560"/>
  </r>
  <r>
    <x v="4"/>
    <x v="4"/>
    <x v="1"/>
    <n v="133"/>
    <n v="775"/>
    <m/>
    <n v="103075"/>
    <m/>
    <n v="103075"/>
  </r>
  <r>
    <x v="5"/>
    <x v="4"/>
    <x v="1"/>
    <n v="24"/>
    <n v="775"/>
    <m/>
    <n v="18600"/>
    <m/>
    <n v="18600"/>
  </r>
  <r>
    <x v="5"/>
    <x v="4"/>
    <x v="1"/>
    <n v="48"/>
    <n v="580"/>
    <m/>
    <n v="27840"/>
    <m/>
    <n v="27840"/>
  </r>
  <r>
    <x v="5"/>
    <x v="4"/>
    <x v="1"/>
    <n v="85"/>
    <n v="580"/>
    <m/>
    <n v="49300"/>
    <m/>
    <n v="49300"/>
  </r>
  <r>
    <x v="5"/>
    <x v="4"/>
    <x v="1"/>
    <n v="47"/>
    <n v="775"/>
    <m/>
    <n v="36425"/>
    <m/>
    <n v="36425"/>
  </r>
  <r>
    <x v="4"/>
    <x v="7"/>
    <x v="1"/>
    <n v="237"/>
    <n v="820"/>
    <m/>
    <n v="194340"/>
    <m/>
    <n v="19434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2519.20263350403"/>
    <n v="10"/>
    <n v="2026132.0409656183"/>
  </r>
  <r>
    <x v="1"/>
    <n v="0"/>
    <n v="10"/>
    <n v="0"/>
  </r>
  <r>
    <x v="2"/>
    <n v="0"/>
    <n v="10"/>
    <n v="0"/>
  </r>
  <r>
    <x v="3"/>
    <n v="0"/>
    <n v="10.5"/>
    <n v="0"/>
  </r>
  <r>
    <x v="4"/>
    <n v="0"/>
    <n v="10"/>
    <n v="0"/>
  </r>
  <r>
    <x v="5"/>
    <n v="47127.834674469646"/>
    <n v="10"/>
    <n v="471278.34674469649"/>
  </r>
  <r>
    <x v="6"/>
    <n v="0"/>
    <n v="10"/>
    <n v="0"/>
  </r>
  <r>
    <x v="7"/>
    <n v="142052.85296269204"/>
    <n v="10"/>
    <n v="1503015.7278712511"/>
  </r>
  <r>
    <x v="8"/>
    <n v="15384.967081199709"/>
    <n v="10"/>
    <n v="184619.60497439653"/>
  </r>
  <r>
    <x v="9"/>
    <n v="0"/>
    <n v="12"/>
    <n v="0"/>
  </r>
  <r>
    <x v="10"/>
    <n v="19516.276517922459"/>
    <m/>
    <n v="195162.7651792246"/>
  </r>
  <r>
    <x v="11"/>
    <n v="0"/>
    <m/>
    <n v="0"/>
  </r>
  <r>
    <x v="12"/>
    <n v="70997.62253108999"/>
    <m/>
    <n v="709976.2253108999"/>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d v="2026-01-20T00:00:00"/>
    <x v="0"/>
    <m/>
    <n v="384838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8T00:00:00"/>
    <x v="14"/>
    <m/>
    <m/>
    <m/>
    <m/>
    <m/>
  </r>
  <r>
    <d v="2026-01-28T00:00:00"/>
    <x v="14"/>
    <m/>
    <m/>
    <m/>
    <m/>
    <m/>
  </r>
  <r>
    <d v="2026-01-28T00:00:00"/>
    <x v="14"/>
    <m/>
    <m/>
    <m/>
    <m/>
    <m/>
  </r>
  <r>
    <d v="2026-01-28T00:00:00"/>
    <x v="14"/>
    <m/>
    <m/>
    <m/>
    <m/>
    <m/>
  </r>
  <r>
    <d v="2026-01-28T00:00:00"/>
    <x v="14"/>
    <m/>
    <m/>
    <m/>
    <m/>
    <m/>
  </r>
  <r>
    <d v="2026-01-28T00:00:00"/>
    <x v="14"/>
    <m/>
    <m/>
    <m/>
    <m/>
    <m/>
  </r>
  <r>
    <d v="2026-01-28T00:00:00"/>
    <x v="1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1" firstHeaderRow="0" firstDataRow="1" firstDataCol="1" rowPageCount="1" colPageCount="1"/>
  <pivotFields count="9">
    <pivotField axis="axisRow" numFmtId="14" showAll="0">
      <items count="175">
        <item m="1" x="158"/>
        <item m="1" x="159"/>
        <item m="1" x="160"/>
        <item m="1" x="161"/>
        <item m="1" x="162"/>
        <item m="1" x="163"/>
        <item m="1" x="164"/>
        <item m="1" x="173"/>
        <item m="1" x="154"/>
        <item m="1" x="165"/>
        <item m="1" x="166"/>
        <item m="1" x="167"/>
        <item m="1" x="168"/>
        <item m="1" x="169"/>
        <item m="1" x="170"/>
        <item m="1" x="171"/>
        <item m="1" x="125"/>
        <item m="1" x="126"/>
        <item m="1" x="172"/>
        <item m="1" x="127"/>
        <item m="1" x="124"/>
        <item m="1" x="128"/>
        <item m="1" x="130"/>
        <item m="1" x="131"/>
        <item m="1" x="132"/>
        <item m="1" x="134"/>
        <item m="1" x="135"/>
        <item m="1" x="136"/>
        <item m="1" x="129"/>
        <item m="1" x="133"/>
        <item m="1" x="137"/>
        <item m="1" x="138"/>
        <item m="1" x="139"/>
        <item m="1" x="140"/>
        <item m="1" x="123"/>
        <item m="1" x="141"/>
        <item m="1" x="155"/>
        <item m="1" x="156"/>
        <item m="1" x="157"/>
        <item m="1" x="142"/>
        <item m="1" x="143"/>
        <item m="1" x="144"/>
        <item m="1" x="145"/>
        <item m="1" x="146"/>
        <item m="1" x="147"/>
        <item m="1" x="148"/>
        <item m="1" x="149"/>
        <item m="1" x="150"/>
        <item m="1" x="151"/>
        <item m="1" x="152"/>
        <item m="1" x="153"/>
        <item m="1" x="94"/>
        <item m="1" x="95"/>
        <item m="1" x="96"/>
        <item m="1" x="97"/>
        <item m="1" x="98"/>
        <item m="1" x="99"/>
        <item m="1" x="100"/>
        <item m="1" x="101"/>
        <item m="1" x="103"/>
        <item m="1" x="104"/>
        <item m="1" x="105"/>
        <item m="1" x="102"/>
        <item m="1" x="106"/>
        <item m="1" x="107"/>
        <item m="1" x="108"/>
        <item m="1" x="109"/>
        <item m="1" x="110"/>
        <item m="1" x="111"/>
        <item m="1" x="112"/>
        <item m="1" x="113"/>
        <item m="1" x="114"/>
        <item m="1" x="115"/>
        <item m="1" x="116"/>
        <item m="1" x="117"/>
        <item m="1" x="118"/>
        <item m="1" x="119"/>
        <item m="1" x="120"/>
        <item m="1" x="121"/>
        <item m="1" x="122"/>
        <item m="1" x="40"/>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41"/>
        <item m="1" x="44"/>
        <item m="1" x="42"/>
        <item m="1" x="43"/>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
        <item m="1" x="7"/>
        <item m="1" x="8"/>
        <item m="1" x="9"/>
        <item m="1" x="10"/>
        <item m="1" x="11"/>
        <item m="1" x="12"/>
        <item m="1" x="13"/>
        <item x="1"/>
        <item m="1" x="14"/>
        <item m="1" x="15"/>
        <item m="1" x="16"/>
        <item m="1" x="17"/>
        <item m="1" x="18"/>
        <item m="1" x="19"/>
        <item m="1" x="39"/>
        <item m="1" x="20"/>
        <item m="1" x="21"/>
        <item m="1" x="22"/>
        <item m="1" x="23"/>
        <item m="1" x="24"/>
        <item m="1" x="25"/>
        <item m="1" x="26"/>
        <item m="1" x="27"/>
        <item m="1" x="28"/>
        <item m="1" x="29"/>
        <item m="1" x="30"/>
        <item m="1" x="31"/>
        <item m="1" x="32"/>
        <item m="1" x="33"/>
        <item m="1" x="34"/>
        <item m="1" x="35"/>
        <item m="1" x="36"/>
        <item m="1" x="37"/>
        <item m="1" x="38"/>
        <item x="0"/>
        <item x="2"/>
        <item x="3"/>
        <item x="4"/>
        <item x="5"/>
        <item t="default"/>
      </items>
    </pivotField>
    <pivotField axis="axisPage" showAll="0">
      <items count="14">
        <item x="0"/>
        <item x="1"/>
        <item x="10"/>
        <item m="1" x="12"/>
        <item x="3"/>
        <item x="4"/>
        <item x="5"/>
        <item m="1" x="11"/>
        <item x="6"/>
        <item x="7"/>
        <item x="8"/>
        <item x="9"/>
        <item x="2"/>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3">
    <i>
      <x v="142"/>
    </i>
    <i r="1">
      <x v="54"/>
    </i>
    <i>
      <x v="169"/>
    </i>
    <i r="1">
      <x v="20"/>
    </i>
    <i>
      <x v="170"/>
    </i>
    <i r="1">
      <x v="54"/>
    </i>
    <i>
      <x v="171"/>
    </i>
    <i r="1">
      <x v="54"/>
    </i>
    <i>
      <x v="172"/>
    </i>
    <i r="1">
      <x v="54"/>
    </i>
    <i>
      <x v="17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3">
      <pivotArea dataOnly="0" labelOnly="1" outline="0" fieldPosition="0">
        <references count="1">
          <reference field="1" count="1">
            <x v="1"/>
          </reference>
        </references>
      </pivotArea>
    </format>
    <format dxfId="12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81">
        <item x="6"/>
        <item m="1" x="27"/>
        <item m="1" x="43"/>
        <item m="1" x="66"/>
        <item m="1" x="70"/>
        <item m="1" x="39"/>
        <item x="15"/>
        <item x="11"/>
        <item x="4"/>
        <item x="7"/>
        <item x="12"/>
        <item m="1" x="78"/>
        <item m="1" x="32"/>
        <item x="5"/>
        <item m="1" x="30"/>
        <item m="1" x="76"/>
        <item x="2"/>
        <item m="1" x="34"/>
        <item x="3"/>
        <item x="21"/>
        <item x="14"/>
        <item x="22"/>
        <item m="1" x="79"/>
        <item m="1" x="33"/>
        <item m="1" x="23"/>
        <item m="1" x="77"/>
        <item m="1" x="69"/>
        <item m="1" x="50"/>
        <item m="1" x="71"/>
        <item m="1" x="72"/>
        <item m="1" x="73"/>
        <item m="1" x="74"/>
        <item x="10"/>
        <item m="1" x="75"/>
        <item m="1" x="35"/>
        <item m="1" x="24"/>
        <item m="1" x="37"/>
        <item m="1" x="25"/>
        <item m="1" x="65"/>
        <item m="1" x="61"/>
        <item m="1" x="29"/>
        <item x="17"/>
        <item m="1" x="49"/>
        <item m="1" x="67"/>
        <item x="1"/>
        <item m="1" x="68"/>
        <item m="1" x="56"/>
        <item m="1" x="47"/>
        <item x="8"/>
        <item m="1" x="57"/>
        <item m="1" x="58"/>
        <item m="1" x="59"/>
        <item m="1" x="60"/>
        <item m="1" x="62"/>
        <item m="1" x="36"/>
        <item m="1" x="44"/>
        <item m="1" x="63"/>
        <item m="1" x="64"/>
        <item m="1" x="42"/>
        <item m="1" x="46"/>
        <item m="1" x="41"/>
        <item m="1" x="26"/>
        <item m="1" x="45"/>
        <item m="1" x="40"/>
        <item m="1" x="55"/>
        <item x="13"/>
        <item m="1" x="51"/>
        <item m="1" x="52"/>
        <item x="16"/>
        <item m="1" x="48"/>
        <item x="18"/>
        <item m="1" x="53"/>
        <item x="20"/>
        <item m="1" x="54"/>
        <item x="0"/>
        <item m="1" x="28"/>
        <item x="9"/>
        <item m="1" x="31"/>
        <item x="19"/>
        <item m="1" x="38"/>
        <item t="default"/>
      </items>
    </pivotField>
    <pivotField dataField="1" showAll="0"/>
    <pivotField dataField="1" showAll="0"/>
    <pivotField showAll="0"/>
    <pivotField showAll="0"/>
    <pivotField showAll="0"/>
  </pivotFields>
  <rowFields count="1">
    <field x="1"/>
  </rowFields>
  <rowItems count="24">
    <i>
      <x/>
    </i>
    <i>
      <x v="6"/>
    </i>
    <i>
      <x v="7"/>
    </i>
    <i>
      <x v="8"/>
    </i>
    <i>
      <x v="9"/>
    </i>
    <i>
      <x v="10"/>
    </i>
    <i>
      <x v="13"/>
    </i>
    <i>
      <x v="16"/>
    </i>
    <i>
      <x v="18"/>
    </i>
    <i>
      <x v="19"/>
    </i>
    <i>
      <x v="20"/>
    </i>
    <i>
      <x v="21"/>
    </i>
    <i>
      <x v="32"/>
    </i>
    <i>
      <x v="41"/>
    </i>
    <i>
      <x v="44"/>
    </i>
    <i>
      <x v="48"/>
    </i>
    <i>
      <x v="65"/>
    </i>
    <i>
      <x v="68"/>
    </i>
    <i>
      <x v="70"/>
    </i>
    <i>
      <x v="72"/>
    </i>
    <i>
      <x v="74"/>
    </i>
    <i>
      <x v="76"/>
    </i>
    <i>
      <x v="78"/>
    </i>
    <i t="grand">
      <x/>
    </i>
  </rowItems>
  <colFields count="1">
    <field x="-2"/>
  </colFields>
  <colItems count="2">
    <i>
      <x/>
    </i>
    <i i="1">
      <x v="1"/>
    </i>
  </colItems>
  <dataFields count="2">
    <dataField name="Sum of Credit" fld="3" baseField="0" baseItem="0"/>
    <dataField name="Sum of Debit" fld="2" baseField="0" baseItem="0"/>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68">
        <item m="1" x="62"/>
        <item m="1" x="63"/>
        <item m="1" x="64"/>
        <item m="1" x="65"/>
        <item m="1" x="66"/>
        <item m="1" x="61"/>
        <item m="1" x="49"/>
        <item m="1" x="50"/>
        <item m="1" x="54"/>
        <item m="1" x="55"/>
        <item m="1" x="51"/>
        <item m="1" x="56"/>
        <item m="1" x="57"/>
        <item m="1" x="58"/>
        <item m="1" x="59"/>
        <item m="1" x="60"/>
        <item m="1" x="48"/>
        <item m="1" x="52"/>
        <item m="1" x="53"/>
        <item m="1" x="41"/>
        <item m="1" x="42"/>
        <item m="1" x="43"/>
        <item m="1" x="44"/>
        <item m="1" x="45"/>
        <item m="1" x="46"/>
        <item m="1" x="47"/>
        <item m="1" x="17"/>
        <item m="1" x="33"/>
        <item m="1" x="34"/>
        <item m="1" x="35"/>
        <item m="1" x="36"/>
        <item m="1" x="37"/>
        <item m="1" x="38"/>
        <item m="1" x="39"/>
        <item m="1" x="40"/>
        <item m="1" x="18"/>
        <item m="1" x="19"/>
        <item m="1" x="20"/>
        <item m="1" x="21"/>
        <item m="1" x="22"/>
        <item m="1" x="23"/>
        <item m="1" x="24"/>
        <item m="1" x="26"/>
        <item m="1" x="27"/>
        <item m="1" x="25"/>
        <item m="1" x="28"/>
        <item m="1" x="29"/>
        <item m="1" x="30"/>
        <item m="1" x="31"/>
        <item m="1" x="32"/>
        <item x="0"/>
        <item m="1" x="4"/>
        <item m="1" x="5"/>
        <item m="1" x="6"/>
        <item m="1" x="7"/>
        <item m="1" x="8"/>
        <item m="1" x="9"/>
        <item m="1" x="10"/>
        <item m="1" x="11"/>
        <item m="1" x="12"/>
        <item m="1" x="13"/>
        <item m="1" x="14"/>
        <item m="1" x="15"/>
        <item x="3"/>
        <item m="1" x="16"/>
        <item x="1"/>
        <item x="2"/>
        <item t="default"/>
      </items>
    </pivotField>
    <pivotField showAll="0"/>
    <pivotField showAll="0"/>
    <pivotField showAll="0"/>
    <pivotField dataField="1" showAll="0"/>
    <pivotField axis="axisPage" showAll="0">
      <items count="10">
        <item x="0"/>
        <item x="4"/>
        <item m="1" x="8"/>
        <item m="1" x="7"/>
        <item x="1"/>
        <item x="2"/>
        <item x="3"/>
        <item m="1" x="5"/>
        <item m="1" x="6"/>
        <item t="default"/>
      </items>
    </pivotField>
    <pivotField showAll="0"/>
    <pivotField dataField="1" showAll="0"/>
    <pivotField showAll="0"/>
  </pivotFields>
  <rowFields count="1">
    <field x="0"/>
  </rowFields>
  <rowItems count="5">
    <i>
      <x v="50"/>
    </i>
    <i>
      <x v="63"/>
    </i>
    <i>
      <x v="65"/>
    </i>
    <i>
      <x v="6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8"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6"/>
        <item x="5"/>
        <item x="10"/>
        <item x="8"/>
        <item x="9"/>
        <item x="7"/>
        <item x="11"/>
        <item m="1" x="27"/>
        <item x="13"/>
        <item x="14"/>
        <item x="15"/>
        <item x="16"/>
        <item x="17"/>
        <item x="18"/>
        <item x="19"/>
        <item x="20"/>
        <item x="21"/>
        <item x="22"/>
        <item x="23"/>
        <item x="24"/>
        <item x="25"/>
        <item x="12"/>
        <item t="default"/>
      </items>
    </pivotField>
    <pivotField showAll="0"/>
    <pivotField showAll="0"/>
    <pivotField axis="axisRow" showAll="0">
      <items count="399">
        <item m="1" x="381"/>
        <item m="1" x="382"/>
        <item m="1" x="380"/>
        <item m="1" x="379"/>
        <item m="1" x="383"/>
        <item m="1" x="385"/>
        <item m="1" x="384"/>
        <item m="1" x="386"/>
        <item m="1" x="387"/>
        <item m="1" x="388"/>
        <item m="1" x="389"/>
        <item m="1" x="390"/>
        <item m="1" x="391"/>
        <item m="1" x="392"/>
        <item m="1" x="317"/>
        <item m="1" x="339"/>
        <item m="1" x="393"/>
        <item m="1" x="394"/>
        <item m="1" x="395"/>
        <item m="1" x="347"/>
        <item m="1" x="346"/>
        <item m="1" x="396"/>
        <item m="1" x="397"/>
        <item m="1" x="356"/>
        <item m="1" x="348"/>
        <item m="1" x="349"/>
        <item m="1" x="350"/>
        <item m="1" x="351"/>
        <item m="1" x="352"/>
        <item m="1" x="353"/>
        <item m="1" x="354"/>
        <item m="1" x="355"/>
        <item m="1" x="357"/>
        <item m="1" x="377"/>
        <item m="1" x="358"/>
        <item m="1" x="378"/>
        <item m="1" x="359"/>
        <item m="1" x="360"/>
        <item m="1" x="361"/>
        <item m="1" x="362"/>
        <item m="1" x="363"/>
        <item m="1" x="294"/>
        <item m="1" x="364"/>
        <item m="1" x="365"/>
        <item m="1" x="366"/>
        <item m="1" x="367"/>
        <item m="1" x="368"/>
        <item m="1" x="369"/>
        <item m="1" x="370"/>
        <item m="1" x="371"/>
        <item m="1" x="372"/>
        <item m="1" x="373"/>
        <item m="1" x="374"/>
        <item m="1" x="375"/>
        <item m="1" x="376"/>
        <item x="0"/>
        <item m="1" x="293"/>
        <item m="1" x="295"/>
        <item m="1" x="296"/>
        <item m="1" x="297"/>
        <item m="1" x="298"/>
        <item m="1" x="299"/>
        <item m="1" x="300"/>
        <item m="1" x="301"/>
        <item m="1" x="302"/>
        <item m="1" x="303"/>
        <item m="1" x="304"/>
        <item m="1" x="305"/>
        <item m="1" x="306"/>
        <item m="1" x="307"/>
        <item m="1" x="29"/>
        <item m="1" x="308"/>
        <item m="1" x="309"/>
        <item m="1" x="310"/>
        <item m="1" x="311"/>
        <item m="1" x="312"/>
        <item m="1" x="313"/>
        <item m="1" x="314"/>
        <item m="1" x="315"/>
        <item m="1" x="316"/>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40"/>
        <item m="1" x="341"/>
        <item m="1" x="342"/>
        <item m="1" x="343"/>
        <item m="1" x="344"/>
        <item m="1" x="345"/>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46"/>
        <item m="1" x="262"/>
        <item m="1" x="263"/>
        <item m="1" x="264"/>
        <item m="1" x="265"/>
        <item m="1" x="266"/>
        <item m="1" x="267"/>
        <item m="1" x="268"/>
        <item m="1" x="269"/>
        <item m="1" x="270"/>
        <item m="1" x="271"/>
        <item m="1" x="272"/>
        <item m="1" x="292"/>
        <item m="1" x="273"/>
        <item m="1" x="274"/>
        <item m="1" x="275"/>
        <item m="1" x="276"/>
        <item m="1" x="277"/>
        <item m="1" x="278"/>
        <item m="1" x="279"/>
        <item m="1" x="280"/>
        <item m="1" x="281"/>
        <item m="1" x="282"/>
        <item m="1" x="283"/>
        <item m="1" x="284"/>
        <item m="1" x="285"/>
        <item m="1" x="286"/>
        <item m="1" x="287"/>
        <item m="1" x="288"/>
        <item m="1" x="289"/>
        <item m="1" x="290"/>
        <item m="1" x="291"/>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88"/>
        <item m="1" x="211"/>
        <item m="1" x="79"/>
        <item m="1" x="80"/>
        <item m="1" x="81"/>
        <item m="1" x="82"/>
        <item m="1" x="83"/>
        <item m="1" x="84"/>
        <item m="1" x="85"/>
        <item m="1" x="86"/>
        <item m="1" x="87"/>
        <item m="1" x="89"/>
        <item m="1" x="90"/>
        <item m="1" x="91"/>
        <item m="1" x="92"/>
        <item m="1" x="93"/>
        <item m="1" x="94"/>
        <item m="1" x="95"/>
        <item m="1" x="96"/>
        <item m="1" x="97"/>
        <item m="1" x="98"/>
        <item m="1" x="99"/>
        <item m="1" x="100"/>
        <item m="1" x="101"/>
        <item m="1" x="102"/>
        <item m="1" x="26"/>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30"/>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27"/>
        <item m="1" x="154"/>
        <item m="1" x="155"/>
        <item m="1" x="24"/>
        <item m="1" x="33"/>
        <item m="1" x="25"/>
        <item m="1" x="28"/>
        <item m="1" x="31"/>
        <item m="1" x="32"/>
        <item m="1" x="34"/>
        <item m="1" x="35"/>
        <item m="1" x="36"/>
        <item m="1" x="37"/>
        <item m="1" x="38"/>
        <item m="1" x="39"/>
        <item m="1" x="40"/>
        <item m="1" x="41"/>
        <item m="1" x="42"/>
        <item m="1" x="43"/>
        <item m="1" x="44"/>
        <item m="1" x="45"/>
        <item m="1" x="47"/>
        <item m="1" x="48"/>
        <item m="1" x="49"/>
        <item m="1" x="50"/>
        <item x="19"/>
        <item m="1" x="51"/>
        <item m="1" x="52"/>
        <item m="1" x="53"/>
        <item x="8"/>
        <item m="1" x="54"/>
        <item m="1" x="55"/>
        <item m="1" x="56"/>
        <item m="1" x="57"/>
        <item m="1" x="58"/>
        <item m="1" x="59"/>
        <item m="1" x="60"/>
        <item m="1" x="61"/>
        <item m="1" x="62"/>
        <item m="1" x="63"/>
        <item m="1" x="64"/>
        <item m="1" x="65"/>
        <item m="1" x="66"/>
        <item m="1" x="67"/>
        <item m="1" x="68"/>
        <item m="1" x="69"/>
        <item m="1" x="70"/>
        <item m="1" x="78"/>
        <item m="1" x="71"/>
        <item m="1" x="72"/>
        <item x="5"/>
        <item x="6"/>
        <item m="1" x="73"/>
        <item x="21"/>
        <item m="1" x="74"/>
        <item m="1" x="75"/>
        <item m="1" x="76"/>
        <item m="1" x="77"/>
        <item x="4"/>
        <item x="2"/>
        <item x="9"/>
        <item x="1"/>
        <item x="3"/>
        <item x="7"/>
        <item x="10"/>
        <item x="11"/>
        <item x="12"/>
        <item x="13"/>
        <item x="14"/>
        <item x="15"/>
        <item x="16"/>
        <item x="17"/>
        <item x="18"/>
        <item x="20"/>
        <item x="22"/>
        <item x="2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5">
    <i>
      <x v="55"/>
    </i>
    <i>
      <x v="347"/>
    </i>
    <i>
      <x v="351"/>
    </i>
    <i>
      <x v="372"/>
    </i>
    <i>
      <x v="373"/>
    </i>
    <i>
      <x v="375"/>
    </i>
    <i>
      <x v="380"/>
    </i>
    <i>
      <x v="381"/>
    </i>
    <i>
      <x v="382"/>
    </i>
    <i>
      <x v="383"/>
    </i>
    <i>
      <x v="384"/>
    </i>
    <i>
      <x v="385"/>
    </i>
    <i>
      <x v="386"/>
    </i>
    <i>
      <x v="387"/>
    </i>
    <i>
      <x v="388"/>
    </i>
    <i>
      <x v="389"/>
    </i>
    <i>
      <x v="390"/>
    </i>
    <i>
      <x v="391"/>
    </i>
    <i>
      <x v="392"/>
    </i>
    <i>
      <x v="393"/>
    </i>
    <i>
      <x v="394"/>
    </i>
    <i>
      <x v="395"/>
    </i>
    <i>
      <x v="396"/>
    </i>
    <i>
      <x v="39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1">
      <pivotArea type="all" dataOnly="0" outline="0" fieldPosition="0"/>
    </format>
    <format dxfId="70">
      <pivotArea outline="0" collapsedLevelsAreSubtotals="1" fieldPosition="0"/>
    </format>
    <format dxfId="69">
      <pivotArea field="4" type="button" dataOnly="0" labelOnly="1" outline="0" axis="axisRow" fieldPosition="0"/>
    </format>
    <format dxfId="68">
      <pivotArea dataOnly="0" labelOnly="1" fieldPosition="0">
        <references count="1">
          <reference field="4" count="0"/>
        </references>
      </pivotArea>
    </format>
    <format dxfId="67">
      <pivotArea dataOnly="0" labelOnly="1" grandRow="1" outline="0" fieldPosition="0"/>
    </format>
    <format dxfId="66">
      <pivotArea dataOnly="0" labelOnly="1" outline="0" fieldPosition="0">
        <references count="1">
          <reference field="4294967294" count="2">
            <x v="0"/>
            <x v="1"/>
          </reference>
        </references>
      </pivotArea>
    </format>
    <format dxfId="65">
      <pivotArea grandRow="1" outline="0" collapsedLevelsAreSubtotals="1" fieldPosition="0"/>
    </format>
    <format dxfId="64">
      <pivotArea field="4" type="button" dataOnly="0" labelOnly="1" outline="0" axis="axisRow" fieldPosition="0"/>
    </format>
    <format dxfId="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8">
        <i x="19" s="1"/>
        <i x="8" s="1"/>
        <i x="21" s="1"/>
        <i x="22" s="1"/>
        <i x="12" s="1"/>
        <i x="17" s="1"/>
        <i x="2" s="1"/>
        <i x="1" s="1"/>
        <i x="3" s="1"/>
        <i x="6" s="1"/>
        <i x="16" s="1"/>
        <i x="15" s="1"/>
        <i x="13" s="1"/>
        <i x="10" s="1"/>
        <i x="5" s="1"/>
        <i x="4" s="1"/>
        <i x="11" s="1"/>
        <i x="7" s="1"/>
        <i x="14" s="1"/>
        <i x="18" s="1"/>
        <i x="23" s="1"/>
        <i x="9" s="1"/>
        <i x="20" s="1"/>
        <i x="352" s="1" nd="1"/>
        <i x="381" s="1" nd="1"/>
        <i x="382" s="1" nd="1"/>
        <i x="390" s="1" nd="1"/>
        <i x="380" s="1" nd="1"/>
        <i x="379" s="1" nd="1"/>
        <i x="383" s="1" nd="1"/>
        <i x="394" s="1" nd="1"/>
        <i x="386" s="1" nd="1"/>
        <i x="387" s="1" nd="1"/>
        <i x="384" s="1" nd="1"/>
        <i x="385" s="1" nd="1"/>
        <i x="395" s="1" nd="1"/>
        <i x="388" s="1" nd="1"/>
        <i x="389" s="1" nd="1"/>
        <i x="392" s="1" nd="1"/>
        <i x="393" s="1" nd="1"/>
        <i x="391" s="1" nd="1"/>
        <i x="347" s="1" nd="1"/>
        <i x="397" s="1" nd="1"/>
        <i x="346" s="1" nd="1"/>
        <i x="396" s="1" nd="1"/>
        <i x="349" s="1" nd="1"/>
        <i x="310" s="1" nd="1"/>
        <i x="348" s="1" nd="1"/>
        <i x="350" s="1" nd="1"/>
        <i x="356" s="1" nd="1"/>
        <i x="351" s="1" nd="1"/>
        <i x="353" s="1" nd="1"/>
        <i x="369" s="1" nd="1"/>
        <i x="293" s="1" nd="1"/>
        <i x="357" s="1" nd="1"/>
        <i x="298" s="1" nd="1"/>
        <i x="363" s="1" nd="1"/>
        <i x="358" s="1" nd="1"/>
        <i x="361" s="1" nd="1"/>
        <i x="366" s="1" nd="1"/>
        <i x="377" s="1" nd="1"/>
        <i x="359" s="1" nd="1"/>
        <i x="371" s="1" nd="1"/>
        <i x="374" s="1" nd="1"/>
        <i x="365" s="1" nd="1"/>
        <i x="354" s="1" nd="1"/>
        <i x="362" s="1" nd="1"/>
        <i x="355" s="1" nd="1"/>
        <i x="360" s="1" nd="1"/>
        <i x="294" s="1" nd="1"/>
        <i x="364" s="1" nd="1"/>
        <i x="370" s="1" nd="1"/>
        <i x="29" s="1" nd="1"/>
        <i x="367" s="1" nd="1"/>
        <i x="372" s="1" nd="1"/>
        <i x="368" s="1" nd="1"/>
        <i x="334" s="1" nd="1"/>
        <i x="373" s="1" nd="1"/>
        <i x="375" s="1" nd="1"/>
        <i x="296" s="1" nd="1"/>
        <i x="303" s="1" nd="1"/>
        <i x="376" s="1" nd="1"/>
        <i x="300" s="1" nd="1"/>
        <i x="301" s="1" nd="1"/>
        <i x="295" s="1" nd="1"/>
        <i x="299" s="1" nd="1"/>
        <i x="187" s="1" nd="1"/>
        <i x="297" s="1" nd="1"/>
        <i x="306" s="1" nd="1"/>
        <i x="302" s="1" nd="1"/>
        <i x="304" s="1" nd="1"/>
        <i x="307" s="1" nd="1"/>
        <i x="314" s="1" nd="1"/>
        <i x="305" s="1" nd="1"/>
        <i x="313" s="1" nd="1"/>
        <i x="318" s="1" nd="1"/>
        <i x="312" s="1" nd="1"/>
        <i x="315" s="1" nd="1"/>
        <i x="325" s="1" nd="1"/>
        <i x="311" s="1" nd="1"/>
        <i x="308" s="1" nd="1"/>
        <i x="309" s="1" nd="1"/>
        <i x="324" s="1" nd="1"/>
        <i x="183" s="1" nd="1"/>
        <i x="317" s="1" nd="1"/>
        <i x="328" s="1" nd="1"/>
        <i x="323" s="1" nd="1"/>
        <i x="316" s="1" nd="1"/>
        <i x="340" s="1" nd="1"/>
        <i x="321" s="1" nd="1"/>
        <i x="331" s="1" nd="1"/>
        <i x="329" s="1" nd="1"/>
        <i x="319" s="1" nd="1"/>
        <i x="327" s="1" nd="1"/>
        <i x="326" s="1" nd="1"/>
        <i x="322" s="1" nd="1"/>
        <i x="332" s="1" nd="1"/>
        <i x="330" s="1" nd="1"/>
        <i x="333" s="1" nd="1"/>
        <i x="320" s="1" nd="1"/>
        <i x="262" s="1" nd="1"/>
        <i x="335" s="1" nd="1"/>
        <i x="336" s="1" nd="1"/>
        <i x="221" s="1" nd="1"/>
        <i x="223" s="1" nd="1"/>
        <i x="343" s="1" nd="1"/>
        <i x="217" s="1" nd="1"/>
        <i x="263" s="1" nd="1"/>
        <i x="337" s="1" nd="1"/>
        <i x="338" s="1" nd="1"/>
        <i x="220" s="1" nd="1"/>
        <i x="345" s="1" nd="1"/>
        <i x="219" s="1" nd="1"/>
        <i x="234" s="1" nd="1"/>
        <i x="344" s="1" nd="1"/>
        <i x="339" s="1" nd="1"/>
        <i x="238" s="1" nd="1"/>
        <i x="342" s="1" nd="1"/>
        <i x="341" s="1" nd="1"/>
        <i x="259" s="1" nd="1"/>
        <i x="212" s="1" nd="1"/>
        <i x="224" s="1" nd="1"/>
        <i x="260" s="1" nd="1"/>
        <i x="258" s="1" nd="1"/>
        <i x="216" s="1" nd="1"/>
        <i x="218" s="1" nd="1"/>
        <i x="49" s="1" nd="1"/>
        <i x="222" s="1" nd="1"/>
        <i x="213" s="1" nd="1"/>
        <i x="248" s="1" nd="1"/>
        <i x="253" s="1" nd="1"/>
        <i x="214" s="1" nd="1"/>
        <i x="215" s="1" nd="1"/>
        <i x="225" s="1" nd="1"/>
        <i x="228" s="1" nd="1"/>
        <i x="235" s="1" nd="1"/>
        <i x="227" s="1" nd="1"/>
        <i x="230" s="1" nd="1"/>
        <i x="229" s="1" nd="1"/>
        <i x="271" s="1" nd="1"/>
        <i x="226" s="1" nd="1"/>
        <i x="251" s="1" nd="1"/>
        <i x="266" s="1" nd="1"/>
        <i x="231" s="1" nd="1"/>
        <i x="256" s="1" nd="1"/>
        <i x="268" s="1" nd="1"/>
        <i x="240" s="1" nd="1"/>
        <i x="280" s="1" nd="1"/>
        <i x="239" s="1" nd="1"/>
        <i x="236" s="1" nd="1"/>
        <i x="232" s="1" nd="1"/>
        <i x="233" s="1" nd="1"/>
        <i x="252" s="1" nd="1"/>
        <i x="241" s="1" nd="1"/>
        <i x="164" s="1" nd="1"/>
        <i x="242" s="1" nd="1"/>
        <i x="237" s="1" nd="1"/>
        <i x="244" s="1" nd="1"/>
        <i x="245" s="1" nd="1"/>
        <i x="273" s="1" nd="1"/>
        <i x="243" s="1" nd="1"/>
        <i x="261" s="1" nd="1"/>
        <i x="249" s="1" nd="1"/>
        <i x="246" s="1" nd="1"/>
        <i x="250" s="1" nd="1"/>
        <i x="247" s="1" nd="1"/>
        <i x="254" s="1" nd="1"/>
        <i x="44" s="1" nd="1"/>
        <i x="272" s="1" nd="1"/>
        <i x="267" s="1" nd="1"/>
        <i x="286" s="1" nd="1"/>
        <i x="255" s="1" nd="1"/>
        <i x="157" s="1" nd="1"/>
        <i x="265" s="1" nd="1"/>
        <i x="257" s="1" nd="1"/>
        <i x="281" s="1" nd="1"/>
        <i x="264" s="1" nd="1"/>
        <i x="279" s="1" nd="1"/>
        <i x="165" s="1" nd="1"/>
        <i x="270" s="1" nd="1"/>
        <i x="269" s="1" nd="1"/>
        <i x="285" s="1" nd="1"/>
        <i x="282" s="1" nd="1"/>
        <i x="176" s="1" nd="1"/>
        <i x="290" s="1" nd="1"/>
        <i x="274" s="1" nd="1"/>
        <i x="283" s="1" nd="1"/>
        <i x="288" s="1" nd="1"/>
        <i x="167" s="1" nd="1"/>
        <i x="193" s="1" nd="1"/>
        <i x="292" s="1" nd="1"/>
        <i x="289" s="1" nd="1"/>
        <i x="158" s="1" nd="1"/>
        <i x="178" s="1" nd="1"/>
        <i x="284" s="1" nd="1"/>
        <i x="160" s="1" nd="1"/>
        <i x="275" s="1" nd="1"/>
        <i x="278" s="1" nd="1"/>
        <i x="175" s="1" nd="1"/>
        <i x="287" s="1" nd="1"/>
        <i x="276" s="1" nd="1"/>
        <i x="277" s="1" nd="1"/>
        <i x="162" s="1" nd="1"/>
        <i x="180" s="1" nd="1"/>
        <i x="181" s="1" nd="1"/>
        <i x="194" s="1" nd="1"/>
        <i x="291" s="1" nd="1"/>
        <i x="156" s="1" nd="1"/>
        <i x="179" s="1" nd="1"/>
        <i x="172" s="1" nd="1"/>
        <i x="159" s="1" nd="1"/>
        <i x="163" s="1" nd="1"/>
        <i x="169" s="1" nd="1"/>
        <i x="161" s="1" nd="1"/>
        <i x="185" s="1" nd="1"/>
        <i x="189" s="1" nd="1"/>
        <i x="190" s="1" nd="1"/>
        <i x="182" s="1" nd="1"/>
        <i x="166" s="1" nd="1"/>
        <i x="28" s="1" nd="1"/>
        <i x="168" s="1" nd="1"/>
        <i x="170" s="1" nd="1"/>
        <i x="173" s="1" nd="1"/>
        <i x="186" s="1" nd="1"/>
        <i x="171" s="1" nd="1"/>
        <i x="192" s="1" nd="1"/>
        <i x="124" s="1" nd="1"/>
        <i x="103" s="1" nd="1"/>
        <i x="207" s="1" nd="1"/>
        <i x="174" s="1" nd="1"/>
        <i x="195" s="1" nd="1"/>
        <i x="191" s="1" nd="1"/>
        <i x="177" s="1" nd="1"/>
        <i x="199" s="1" nd="1"/>
        <i x="135" s="1" nd="1"/>
        <i x="98" s="1" nd="1"/>
        <i x="184" s="1" nd="1"/>
        <i x="208" s="1" nd="1"/>
        <i x="188" s="1" nd="1"/>
        <i x="211" s="1" nd="1"/>
        <i x="198" s="1" nd="1"/>
        <i x="203" s="1" nd="1"/>
        <i x="80" s="1" nd="1"/>
        <i x="200" s="1" nd="1"/>
        <i x="202" s="1" nd="1"/>
        <i x="120" s="1" nd="1"/>
        <i x="88" s="1" nd="1"/>
        <i x="197" s="1" nd="1"/>
        <i x="85" s="1" nd="1"/>
        <i x="196" s="1" nd="1"/>
        <i x="97" s="1" nd="1"/>
        <i x="81" s="1" nd="1"/>
        <i x="79" s="1" nd="1"/>
        <i x="201" s="1" nd="1"/>
        <i x="95" s="1" nd="1"/>
        <i x="89" s="1" nd="1"/>
        <i x="100" s="1" nd="1"/>
        <i x="117" s="1" nd="1"/>
        <i x="94" s="1" nd="1"/>
        <i x="105" s="1" nd="1"/>
        <i x="99" s="1" nd="1"/>
        <i x="96" s="1" nd="1"/>
        <i x="209" s="1" nd="1"/>
        <i x="153" s="1" nd="1"/>
        <i x="107" s="1" nd="1"/>
        <i x="108" s="1" nd="1"/>
        <i x="205" s="1" nd="1"/>
        <i x="204" s="1" nd="1"/>
        <i x="82" s="1" nd="1"/>
        <i x="84" s="1" nd="1"/>
        <i x="115" s="1" nd="1"/>
        <i x="91" s="1" nd="1"/>
        <i x="210" s="1" nd="1"/>
        <i x="149" s="1" nd="1"/>
        <i x="140" s="1" nd="1"/>
        <i x="128" s="1" nd="1"/>
        <i x="102" s="1" nd="1"/>
        <i x="87" s="1" nd="1"/>
        <i x="118" s="1" nd="1"/>
        <i x="137" s="1" nd="1"/>
        <i x="129" s="1" nd="1"/>
        <i x="125" s="1" nd="1"/>
        <i x="93" s="1" nd="1"/>
        <i x="113" s="1" nd="1"/>
        <i x="112" s="1" nd="1"/>
        <i x="127" s="1" nd="1"/>
        <i x="114" s="1" nd="1"/>
        <i x="206" s="1" nd="1"/>
        <i x="90" s="1" nd="1"/>
        <i x="86" s="1" nd="1"/>
        <i x="116" s="1" nd="1"/>
        <i x="83" s="1" nd="1"/>
        <i x="121" s="1" nd="1"/>
        <i x="122" s="1" nd="1"/>
        <i x="126" s="1" nd="1"/>
        <i x="27" s="1" nd="1"/>
        <i x="106" s="1" nd="1"/>
        <i x="101" s="1" nd="1"/>
        <i x="134" s="1" nd="1"/>
        <i x="133" s="1" nd="1"/>
        <i x="138" s="1" nd="1"/>
        <i x="92" s="1" nd="1"/>
        <i x="136" s="1" nd="1"/>
        <i x="123" s="1" nd="1"/>
        <i x="26" s="1" nd="1"/>
        <i x="104" s="1" nd="1"/>
        <i x="109" s="1" nd="1"/>
        <i x="110" s="1" nd="1"/>
        <i x="119" s="1" nd="1"/>
        <i x="111" s="1" nd="1"/>
        <i x="130" s="1" nd="1"/>
        <i x="45" s="1" nd="1"/>
        <i x="141" s="1" nd="1"/>
        <i x="131" s="1" nd="1"/>
        <i x="147" s="1" nd="1"/>
        <i x="144" s="1" nd="1"/>
        <i x="142" s="1" nd="1"/>
        <i x="39" s="1" nd="1"/>
        <i x="38" s="1" nd="1"/>
        <i x="154" s="1" nd="1"/>
        <i x="25" s="1" nd="1"/>
        <i x="37" s="1" nd="1"/>
        <i x="148" s="1" nd="1"/>
        <i x="155" s="1" nd="1"/>
        <i x="30" s="1" nd="1"/>
        <i x="150" s="1" nd="1"/>
        <i x="151" s="1" nd="1"/>
        <i x="132" s="1" nd="1"/>
        <i x="145" s="1" nd="1"/>
        <i x="152" s="1" nd="1"/>
        <i x="143" s="1" nd="1"/>
        <i x="63" s="1" nd="1"/>
        <i x="146" s="1" nd="1"/>
        <i x="24" s="1" nd="1"/>
        <i x="33" s="1" nd="1"/>
        <i x="32" s="1" nd="1"/>
        <i x="139" s="1" nd="1"/>
        <i x="58" s="1" nd="1"/>
        <i x="36" s="1" nd="1"/>
        <i x="34" s="1" nd="1"/>
        <i x="41" s="1" nd="1"/>
        <i x="42" s="1" nd="1"/>
        <i x="40" s="1" nd="1"/>
        <i x="35" s="1" nd="1"/>
        <i x="31" s="1" nd="1"/>
        <i x="50" s="1" nd="1"/>
        <i x="60" s="1" nd="1"/>
        <i x="48" s="1" nd="1"/>
        <i x="43" s="1" nd="1"/>
        <i x="64" s="1" nd="1"/>
        <i x="47" s="1" nd="1"/>
        <i x="59" s="1" nd="1"/>
        <i x="61" s="1" nd="1"/>
        <i x="46" s="1" nd="1"/>
        <i x="51" s="1" nd="1"/>
        <i x="62" s="1" nd="1"/>
        <i x="54" s="1" nd="1"/>
        <i x="52" s="1" nd="1"/>
        <i x="53" s="1" nd="1"/>
        <i x="57" s="1" nd="1"/>
        <i x="55" s="1" nd="1"/>
        <i x="56" s="1" nd="1"/>
        <i x="66" s="1" nd="1"/>
        <i x="65" s="1" nd="1"/>
        <i x="75" s="1" nd="1"/>
        <i x="74" s="1" nd="1"/>
        <i x="73" s="1" nd="1"/>
        <i x="78" s="1" nd="1"/>
        <i x="71" s="1" nd="1"/>
        <i x="77" s="1" nd="1"/>
        <i x="67" s="1" nd="1"/>
        <i x="68" s="1" nd="1"/>
        <i x="69" s="1" nd="1"/>
        <i x="70" s="1" nd="1"/>
        <i x="72" s="1" nd="1"/>
        <i x="76" s="1" nd="1"/>
        <i x="37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B49</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7" totalsRowDxfId="136" dataCellStyle="Comma">
      <totalsRowFormula>SUM(Table12[Amount])</totalsRowFormula>
    </tableColumn>
    <tableColumn id="3" xr3:uid="{12F975D1-A51D-47BD-82DF-F0C35A709016}" name="Description"/>
    <tableColumn id="4" xr3:uid="{96712812-B120-49C2-B905-59FC86A743E8}" name="cost per meter" totalsRowFunction="custom" dataDxfId="135" totalsRowDxfId="13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7" totalsRowDxfId="4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8" totalsRowCount="1" headerRowDxfId="125" dataDxfId="124" headerRowCellStyle="Comma" dataCellStyle="Comma">
  <autoFilter ref="A1:K97" xr:uid="{11DACEC6-751B-4B1D-817F-5C5BCD38EF6D}"/>
  <tableColumns count="11">
    <tableColumn id="1" xr3:uid="{2FCE3FA8-A48C-4685-8919-AE44C6C71FD9}" name="Date" dataDxfId="22" dataCellStyle="Comma"/>
    <tableColumn id="2" xr3:uid="{5780FD5F-0890-44E6-B59C-8E37A559FE36}" name="Party Name" dataDxfId="21" dataCellStyle="Comma"/>
    <tableColumn id="3" xr3:uid="{5B3ECD85-9174-40AC-BFBD-49CAC97A83D3}" name="Bill Number" dataDxfId="20" dataCellStyle="Comma"/>
    <tableColumn id="4" xr3:uid="{11B50761-04B6-4262-AD4D-7182450037D1}" name="Quality" dataDxfId="19" dataCellStyle="Comma"/>
    <tableColumn id="5" xr3:uid="{2C556969-B713-4967-BD24-466AACCBE5F5}" name="Shipment Number" dataDxfId="18" totalsRowDxfId="11" dataCellStyle="Comma"/>
    <tableColumn id="6" xr3:uid="{F4E1FD2B-9017-4DEB-B772-BF447ECE56F7}" name="Kora/metre" dataDxfId="17" totalsRowDxfId="10" dataCellStyle="Comma"/>
    <tableColumn id="7" xr3:uid="{52ACC1DA-7A76-4A90-B809-3A1AE728E7EA}" name="Tiyaar/gaz" dataDxfId="16" totalsRowDxfId="9" dataCellStyle="Comma"/>
    <tableColumn id="8" xr3:uid="{31A0FF5E-56F0-44D1-9865-73256B964660}" name="shortage %" dataDxfId="15" totalsRowDxfId="8" dataCellStyle="Comma">
      <calculatedColumnFormula>_xlfn.XLOOKUP(Table1[[#This Row],[Shipment Number]], 'pivot '!A:A,'pivot '!G:G, "NF")</calculatedColumnFormula>
    </tableColumn>
    <tableColumn id="9" xr3:uid="{F99075E0-AC8E-094D-BB85-272AD2C6C568}" name="tiyar/meters" totalsRowFunction="custom" dataDxfId="14" totalsRowDxfId="7"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3" totalsRowDxfId="6"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2" totalsRowDxfId="5"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21" headerRowBorderDxfId="120" tableBorderDxfId="119">
  <autoFilter ref="A1:I121" xr:uid="{F8E8C957-ABE7-4E4F-8D4E-7D44E26B334F}"/>
  <tableColumns count="9">
    <tableColumn id="1" xr3:uid="{C2E817D6-AB98-4DDD-8890-736B27F261CD}" name="Date" dataDxfId="118" totalsRowDxfId="54"/>
    <tableColumn id="2" xr3:uid="{CFB51890-CCDC-463C-81C9-3F8BD7469CB9}" name="Party Name"/>
    <tableColumn id="3" xr3:uid="{A113D971-1C9D-4733-99C4-BD0CC4333209}" name="Vehicle Number"/>
    <tableColumn id="4" xr3:uid="{49780304-3DD1-4AE9-98EE-2BC7EB8F3B57}" name="Weight" dataDxfId="117" totalsRowDxfId="53" dataCellStyle="Comma"/>
    <tableColumn id="5" xr3:uid="{FCAF1BC6-1D8C-42AD-8BBC-F924BF2DC7FE}" name="Rate" dataDxfId="116" totalsRowDxfId="52" dataCellStyle="Comma"/>
    <tableColumn id="6" xr3:uid="{8C70A624-4134-410C-9C45-9FDEB51D51BF}" name="Rent" dataDxfId="115" totalsRowDxfId="51" dataCellStyle="Comma"/>
    <tableColumn id="7" xr3:uid="{EBCE10AE-9634-4982-9C95-37ABC8A7078C}" name="Total" totalsRowFunction="sum" dataDxfId="114" totalsRowDxfId="50" dataCellStyle="Comma">
      <calculatedColumnFormula>D2*E2</calculatedColumnFormula>
    </tableColumn>
    <tableColumn id="9" xr3:uid="{D4788559-C94A-44D9-B9AE-E72B214355AC}" name="Paid" totalsRowFunction="sum" dataDxfId="113" totalsRowDxfId="49" dataCellStyle="Comma"/>
    <tableColumn id="8" xr3:uid="{E26F5BF0-1875-4FC6-994D-49F202ED562B}" name="balance" totalsRowFunction="sum" dataDxfId="112" totalsRowDxfId="4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6" totalsRowCount="1">
  <autoFilter ref="A1:G105" xr:uid="{CB032221-B416-47A8-9A76-693DE76CFD04}"/>
  <tableColumns count="7">
    <tableColumn id="1" xr3:uid="{554B1EED-65B6-4E9A-B646-82727FAC40DE}" name="Date" dataDxfId="110" totalsRowDxfId="46"/>
    <tableColumn id="2" xr3:uid="{32259059-42CF-4947-83DE-115AA430BE2B}" name="Party"/>
    <tableColumn id="3" xr3:uid="{A1320223-D55D-483C-91C3-AB19B95CC9D8}" name="Debit" totalsRowFunction="sum" dataDxfId="109" totalsRowDxfId="45" dataCellStyle="Comma"/>
    <tableColumn id="4" xr3:uid="{E9745767-9FF0-4B1C-9052-FF335D1D7588}" name="Credit" totalsRowFunction="sum" dataDxfId="108" totalsRowDxfId="44" dataCellStyle="Comma"/>
    <tableColumn id="5" xr3:uid="{5C88A48E-2467-4E6D-B626-2442B7FD0BE4}" name="Description"/>
    <tableColumn id="6" xr3:uid="{63CA4666-144E-4BE6-8B7C-7CB992BD3041}" name="Mode" totalsRowFunction="custom" dataDxfId="107" totalsRowDxfId="4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6" tableBorderDxfId="105" totalsRowBorderDxfId="104">
  <autoFilter ref="J3:K6" xr:uid="{DCE01694-23ED-48BF-8B92-4186B9ED10A8}"/>
  <tableColumns count="2">
    <tableColumn id="1" xr3:uid="{C8484DAF-2989-4C2F-9AEC-A6917E1C57F6}" name="Type" dataDxfId="103"/>
    <tableColumn id="2" xr3:uid="{B07B7A2A-4D4E-4654-BED6-FE2F0A7BEC34}" name="Amount" dataDxfId="10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1" headerRowBorderDxfId="100" tableBorderDxfId="99" totalsRowBorderDxfId="98">
  <autoFilter ref="M3:O6" xr:uid="{D166BDD1-ACD7-45D7-8AE9-7350373F8CEB}"/>
  <tableColumns count="3">
    <tableColumn id="1" xr3:uid="{64F0205E-DEA7-4571-BA86-E4374A5FEE28}" name="Type" totalsRowLabel="Total" dataDxfId="97" totalsRowDxfId="96"/>
    <tableColumn id="2" xr3:uid="{15FA05F9-789C-4459-9BE0-5C1EC84D3365}" name="amount" totalsRowFunction="custom" dataDxfId="95" totalsRowDxfId="94">
      <totalsRowFormula>SUM(N5:N6)</totalsRowFormula>
    </tableColumn>
    <tableColumn id="3" xr3:uid="{3681D409-90C6-44D0-BDE2-4B5943A516F0}" name="Actual" totalsRowFunction="custom" totalsRowDxfId="9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2" totalsRowDxfId="91"/>
    <tableColumn id="2" xr3:uid="{5B9D0FEE-4304-4C5C-A05C-5B27CF7841D3}" name="Type"/>
    <tableColumn id="3" xr3:uid="{6A91CA0D-C802-4C6F-9F39-CA53687E8EDE}" name="Description"/>
    <tableColumn id="4" xr3:uid="{A251D40C-AB87-4BB4-85F8-444B20E32FDF}" name="Total" totalsRowFunction="custom" dataDxfId="90" totalsRowDxfId="8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9" totalsRowCount="1" headerRowDxfId="88" headerRowBorderDxfId="87">
  <autoFilter ref="A1:I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6"/>
    <tableColumn id="4" xr3:uid="{1889A312-9B41-4EC4-BD8F-05252F27084A}" name="Price" totalsRowFunction="sum"/>
    <tableColumn id="6" xr3:uid="{8B974B20-F003-4E67-8660-024FA4F324A9}" name="Party"/>
    <tableColumn id="7" xr3:uid="{0A5A5C21-FD61-47DA-9F54-66A6479FA557}" name="Paid" dataDxfId="85">
      <calculatedColumnFormula>SUMIFS(Table14[Debit], Table14[Date], Table8[[#This Row],[Date]], Table14[Party], Table8[[#This Row],[Party]])</calculatedColumnFormula>
    </tableColumn>
    <tableColumn id="8" xr3:uid="{8DCB3B43-2161-4081-82EC-CDB0F4DE4E6F}" name="Balance" totalsRowFunction="sum" dataDxfId="8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83" headerRowBorderDxfId="82">
  <autoFilter ref="A4:H13" xr:uid="{A4C80688-A8BA-4BA7-90B4-791CD99446B4}"/>
  <sortState xmlns:xlrd2="http://schemas.microsoft.com/office/spreadsheetml/2017/richdata2" ref="A5:H6">
    <sortCondition ref="A4:A6"/>
  </sortState>
  <tableColumns count="8">
    <tableColumn id="1" xr3:uid="{4A818912-918E-4111-ACFC-BC93FEF7C1AD}" name="Date" dataDxfId="81" totalsRowDxfId="47"/>
    <tableColumn id="8" xr3:uid="{477ACFD5-62AF-4F69-974B-E9B974C11D7D}" name="Party Name" dataDxfId="8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9">
      <calculatedColumnFormula>Table2[[#This Row],[Quantity]]*200*Table2[[#This Row],[Boxes]]</calculatedColumnFormula>
    </tableColumn>
    <tableColumn id="6" xr3:uid="{30432929-CBD4-4BA8-B63F-CD0F6CF6405F}" name="Paid" totalsRowFunction="sum" dataDxfId="78">
      <calculatedColumnFormula>SUMIFS(Table14[Debit], Table14[Date], Table2[[#This Row],[Date]], Table14[Party], Table2[[#This Row],[Party Name]])</calculatedColumnFormula>
    </tableColumn>
    <tableColumn id="7" xr3:uid="{BB689DF2-5D1E-436D-84C4-9745D88E8F3D}" name="Balance" totalsRowFunction="sum" dataDxfId="7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6" totalsRowDxfId="7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4" totalsRowDxfId="41"/>
    <tableColumn id="2" xr3:uid="{053BFC14-4828-417C-9F9F-95B6E232A945}" name="Amount" totalsRowFunction="custom" dataDxfId="73"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2"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62" totalsRowDxfId="6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60" totalsRowDxfId="5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8">
      <calculatedColumnFormula>Billing!Q5</calculatedColumnFormula>
    </tableColumn>
    <tableColumn id="2" xr3:uid="{7093A59E-B58F-487D-888A-9AA8156B5F9A}" name="Amount Paid" dataDxfId="5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56"/>
    <tableColumn id="2" xr3:uid="{F72CFEEB-BA11-4A49-BD19-88592EB6A27C}" name="Credit" dataDxfId="5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9" zoomScale="109" zoomScaleNormal="80" workbookViewId="0">
      <selection activeCell="AG17" sqref="AG1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192519.20263350403</v>
      </c>
      <c r="D2">
        <v>10</v>
      </c>
      <c r="E2" s="14">
        <f>(SUMIFS(ledger!G:G, ledger!B:B, B2, ledger!E:E, "&lt;&gt;*RD*",ledger!D:D, "Silky") / 1.0936)*12 + (SUMIFS(ledger!G:G, ledger!B:B, B2, ledger!E:E, "&lt;&gt;*RD*",ledger!D:D, "Chamki") / 1.0936)*10</f>
        <v>2026132.0409656183</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3325111.8824</v>
      </c>
      <c r="S5" s="22" cm="1">
        <f t="array" ref="S5">_xlfn.BYROW(B49, _xlfn.LAMBDA(_xlpm.party, SUMIFS(ledger!G:G, ledger!B:B, _xlpm.party, ledger!E:E, "&lt;&gt;*RD*") / 1.0936 ))+_xlfn.IFNA(D84,0)</f>
        <v>3040519.2779809805</v>
      </c>
      <c r="T5" s="22" cm="1">
        <f t="array" ref="T5">(_xlfn.BYROW(B49,_xlfn.LAMBDA(_xlpm.party,SUMIFS(ledger!G:G,ledger!B:B,_xlpm.party,ledger!E:E,"&lt;&gt;*RD*",ledger!D:D,"Chamki")+SUMIFS(ledger!G:G, ledger!B:B, _xlpm.party, ledger!E:E, "&lt;&gt;*RD*", ledger!D:D, "Crinkle")))/1.0936)+_xlfn.IFNA(E84,0)</f>
        <v>2610116.022677396</v>
      </c>
      <c r="U5" s="70" cm="1">
        <f t="array" ref="U5">(_xlfn.BYROW(B49,_xlfn.LAMBDA(_xlpm.party,SUMIFS(ledger!G:G,ledger!B:B,_xlpm.party,ledger!E:E,"&lt;&gt;*RD*",ledger!D:D,"Silky")))/1.0936)+_xlfn.IFNA(F84,0)</f>
        <v>430403.2553035845</v>
      </c>
      <c r="V5" s="22" cm="1">
        <f t="array" ref="V5">(_xlfn.BYROW(B49,_xlfn.LAMBDA(_xlpm.party,
(SUMIFS(ledger!J:J,ledger!B:B,_xlpm.party,ledger!E:E,"&lt;&gt;*RD*",ledger!D:D,"Chamki",ledger!C:C,"&lt;&gt;December Closing CF")+
SUMIFS(ledger!J:J,ledger!B:B,_xlpm.party,ledger!E:E,"&lt;&gt;*RD*",ledger!D:D,"Crinkle",ledger!C:C,"&lt;&gt;December Closing CF")
)+_xlfn.IFNA(G84,0))))</f>
        <v>26101160.226773962</v>
      </c>
      <c r="W5" s="70" cm="1">
        <f t="array" ref="W5">_xlfn.BYROW(B49, _xlfn.LAMBDA(_xlpm.party,
   SUMIFS(ledger!J:J, ledger!B:B, _xlpm.party, ledger!E:E, "&lt;&gt;*RD*", ledger!D:D, "Silky", ledger!C:C, "&lt;&gt;December Closing CF")
)) + _xlfn.IFNA(H84, 0)</f>
        <v>5506886.4301389912</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0</v>
      </c>
      <c r="AB5" s="70" cm="1">
        <f t="array" ref="AB5">_xlfn.BYROW(B49, _xlfn.LAMBDA(_xlpm.party,
   SUMIFS(ledger!J:J, ledger!B:B, _xlpm.party, ledger!E:E, "&lt;&gt;*RD*", ledger!D:D, "Munaar", ledger!C:C, "&lt;&gt;December Closing CF")
))+ _xlfn.IFNA(M84, 0)</f>
        <v>0</v>
      </c>
      <c r="AC5" s="39">
        <f>V5+W5+X5+Y5+Z5+AA5+AB5</f>
        <v>31608046.656912953</v>
      </c>
      <c r="AD5" s="22">
        <f>(SUMIF(Table14[Party],Q5,Table14[Credit]))+_xlfn.IFNA(O84,0)</f>
        <v>19750734</v>
      </c>
      <c r="AE5" s="33">
        <f>AC5-AD5</f>
        <v>11857312.656912953</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3713863.386978786</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5195319.1294806153</v>
      </c>
      <c r="AD6" s="22">
        <f>(SUMIF(Table14[Party],Q6,Table14[Credit]))+_xlfn.IFNA(O85,0)</f>
        <v>5420319</v>
      </c>
      <c r="AE6" s="33">
        <f t="shared" ref="AE6:AE35" si="2">AC6-AD6</f>
        <v>-224999.87051938474</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6263880.7607900519</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15384.967081199709</v>
      </c>
      <c r="D10">
        <v>10</v>
      </c>
      <c r="E10" s="14">
        <f>(SUMIFS(ledger!G:G, ledger!B:B, B10, ledger!E:E, "&lt;&gt;*RD*",ledger!D:D, "Silky") / 1.0936)*12 + (SUMIFS(ledger!G:G, ledger!B:B, B10, ledger!E:E, "&lt;&gt;*RD*",ledger!D:D, "Chamki") / 1.0936)*10</f>
        <v>184619.60497439653</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8297871</v>
      </c>
      <c r="AE10" s="33">
        <f t="shared" si="2"/>
        <v>623333.27944403701</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19516.276517922459</v>
      </c>
      <c r="E12" s="14">
        <f>(SUMIFS(ledger!G:G, ledger!B:B, B12, ledger!E:E, "&lt;&gt;*RD*",ledger!D:D, "Silky") / 1.0936)*12 + (SUMIFS(ledger!G:G, ledger!B:B, B12, ledger!E:E, "&lt;&gt;*RD*",ledger!D:D, "Chamki") / 1.0936)*10</f>
        <v>195162.7651792246</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143273</v>
      </c>
      <c r="S13" s="22" cm="1">
        <f t="array" ref="S13">_xlfn.BYROW(B57, _xlfn.LAMBDA(_xlpm.party, SUMIFS(ledger!G:G, ledger!B:B, _xlpm.party, ledger!E:E, "&lt;&gt;*RD*") / 1.0936 ))+_xlfn.IFNA(D92,0)</f>
        <v>131010.42428675933</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84877.468910021955</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1088411.6678858814</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1549741.2216532552</v>
      </c>
      <c r="AD13" s="22">
        <f>(SUMIF(Table14[Party],Q13,Table14[Credit]))+_xlfn.IFNA(O92,0)</f>
        <v>1490190</v>
      </c>
      <c r="AE13" s="33">
        <f t="shared" si="2"/>
        <v>59551.221653255168</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336267</v>
      </c>
      <c r="S15" s="22" cm="1">
        <f t="array" ref="S15">_xlfn.BYROW(B59, _xlfn.LAMBDA(_xlpm.party, SUMIFS(ledger!G:G, ledger!B:B, _xlpm.party, ledger!E:E, "&lt;&gt;*RD*") / 1.0936 ))+_xlfn.IFNA(D94,0)</f>
        <v>307486.28383321146</v>
      </c>
      <c r="T15" s="22" cm="1">
        <f t="array" ref="T15">(_xlfn.BYROW(B59,_xlfn.LAMBDA(_xlpm.party,SUMIFS(ledger!G:G,ledger!B:B,_xlpm.party,ledger!E:E,"&lt;&gt;*RD*",ledger!D:D,"Chamki")+SUMIFS(ledger!G:G, ledger!B:B, _xlpm.party, ledger!E:E, "&lt;&gt;*RD*", ledger!D:D, "Crinkle")))/1.0936)+_xlfn.IFNA(E94,0)</f>
        <v>307486.28383321146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3074862.8383321147</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3074862.8383321147</v>
      </c>
      <c r="AD15" s="22">
        <f>(SUMIF(Table14[Party],Q15,Table14[Credit]))+_xlfn.IFNA(O94,0)</f>
        <v>2869679</v>
      </c>
      <c r="AE15" s="33">
        <f t="shared" si="2"/>
        <v>205183.83833211474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5622027.2494513541</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5622027.2494513541</v>
      </c>
      <c r="D23" t="s">
        <v>32</v>
      </c>
      <c r="I23" t="s">
        <v>193</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(SUMIFS(ledger!J:J,ledger!B:B,_xlpm.party,ledger!E:E,"&lt;&gt;*RD*",ledger!D:D,"Chamki",ledger!C:C,"&lt;&gt;December Closing CF")+
SUMIFS(ledger!J:J,ledger!B:B,_xlpm.party,ledger!E:E,"&lt;&gt;*RD*",ledger!D:D,"Crinkle",ledger!C:C,"&lt;&gt;December Closing CF")
)+_xlfn.IFNA(G102,0))))</f>
        <v>2493333.9429407464</v>
      </c>
      <c r="W23" s="70" cm="1">
        <f t="array" ref="W23">_xlfn.BYROW(B67, _xlfn.LAMBDA(_xlpm.party,
   SUMIFS(ledger!J:J, ledger!B:B, _xlpm.party, ledger!E:E, "&lt;&gt;*RD*", ledger!D:D, "Silky", ledger!C:C, "&lt;&gt;December Closing CF")
)) + _xlfn.IFNA(H102, 0)</f>
        <v>569843.63569861022</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192</v>
      </c>
      <c r="Q24" t="str">
        <v>Salman Zaffar</v>
      </c>
      <c r="R24" s="22" cm="1">
        <f t="array" ref="R24">_xlfn.BYROW(B68,_xlfn.LAMBDA(_xlpm.party,SUMIFS(ledger!G:G,ledger!B:B,_xlpm.party,ledger!E:E,"&lt;&gt;*RD*")))+_xlfn.IFNA(C103,0)</f>
        <v>322106</v>
      </c>
      <c r="S24" s="22" cm="1">
        <f t="array" ref="S24">_xlfn.BYROW(B68, _xlfn.LAMBDA(_xlpm.party, SUMIFS(ledger!G:G, ledger!B:B, _xlpm.party, ledger!E:E, "&lt;&gt;*RD*") / 1.0936 ))+_xlfn.IFNA(D103,0)</f>
        <v>294537.30797366501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526161.30212143378</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3066542.611558157</v>
      </c>
      <c r="AD24" s="22">
        <f>(SUMIF(Table14[Party],Q24,Table14[Credit]))+_xlfn.IFNA(O103,0)</f>
        <v>2786025</v>
      </c>
      <c r="AE24" s="33">
        <f t="shared" si="2"/>
        <v>280517.61155815702</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792945.31821506959</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0</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0</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0</v>
      </c>
      <c r="AD32" s="22">
        <f>(SUMIF(Table14[Party],Q32,Table14[Credit]))+_xlfn.IFNA(O111,0)</f>
        <v>0</v>
      </c>
      <c r="AE32" s="33">
        <f t="shared" si="2"/>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210539</v>
      </c>
      <c r="D49" s="22" cm="1">
        <f t="array" ref="D49:D74">_xlfn.BYROW(_xlfn.ANCHORARRAY(B49), _xlfn.LAMBDA(_xlpm.party, SUMIFS(ledger!G:G, ledger!B:B, _xlpm.party, ledger!E:E, "&lt;&gt;*RD*") / 1.0936 ))</f>
        <v>192519.20263350403</v>
      </c>
      <c r="E49" s="63" cm="1">
        <f t="array" ref="E49:E74">(_xlfn.BYROW(_xlfn.ANCHORARRAY(B49),_xlfn.LAMBDA(_xlpm.party,SUMIFS(ledger!G:G,ledger!B:B,_xlpm.party,ledger!E:E,"&lt;&gt;*RD*",ledger!D:D,"Chamki")+SUMIFS(ledger!G:G, ledger!B:B, _xlpm.party, ledger!E:E, "&lt;&gt;*RD*", ledger!D:D, "Crinkle")))/1.0936)</f>
        <v>142049.19531821509</v>
      </c>
      <c r="F49" s="63" cm="1">
        <f t="array" ref="F49:F74">(_xlfn.BYROW(_xlfn.ANCHORARRAY(B49),_xlfn.LAMBDA(_xlpm.party,SUMIFS(ledger!G:G,ledger!B:B,_xlpm.party,ledger!E:E,"&lt;&gt;*RD*",ledger!D:D,"Silky")))/1.0936)</f>
        <v>50470.00731528896</v>
      </c>
      <c r="G49" s="22" cm="1">
        <f t="array" ref="G49">(_xlfn.BYROW(B49,_xlfn.LAMBDA(_xlpm.party,
(SUMIFS(ledger!J:J,ledger!B:B,_xlpm.party,ledger!E:E,"&lt;&gt;*RD*",ledger!D:D,"Chamki",ledger!C:C,"&lt;&gt;December Closing CF")+
SUMIFS(ledger!J:J,ledger!B:B,_xlpm.party,ledger!E:E,"&lt;&gt;*RD*",ledger!D:D,"Crinkle",ledger!C:C,"&lt;&gt;December Closing CF")
))))</f>
        <v>1420491.9531821511</v>
      </c>
      <c r="H49" s="22" cm="1">
        <f t="array" ref="H49">_xlfn.BYROW(B49, _xlfn.LAMBDA(_xlpm.party,
   SUMIFS(ledger!J:J, ledger!B:B, _xlpm.party, ledger!E:E, "&lt;&gt;*RD*", ledger!D:D, "Silky", ledger!C:C, "&lt;&gt;December Closing CF")
))</f>
        <v>656110.09509875649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0</v>
      </c>
      <c r="M49" s="70" cm="1">
        <f t="array" ref="M49">_xlfn.BYROW(B49, _xlfn.LAMBDA(_xlpm.party,
   SUMIFS(ledger!J:J, ledger!B:B, _xlpm.party, ledger!E:E, "&lt;&gt;*RD*", ledger!D:D, "Munaar", ledger!C:C, "&lt;&gt;December Closing CF")
))</f>
        <v>0</v>
      </c>
      <c r="N49" s="39">
        <f>SUM(G49:M49)</f>
        <v>2076602.0482809076</v>
      </c>
      <c r="O49" s="22">
        <f>(SUMIF(Table14[Party],B49,Table14[Credit]))</f>
        <v>0</v>
      </c>
      <c r="P49" s="37">
        <f>N49-O49</f>
        <v>2076602.0482809076</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0</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0</v>
      </c>
      <c r="O50" s="22">
        <f>(SUMIF(Table14[Party],B50,Table14[Credit]))</f>
        <v>225000</v>
      </c>
      <c r="P50" s="37">
        <f t="shared" ref="P50:P75" si="5">N50-O50</f>
        <v>-225000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(SUMIFS(ledger!J:J,ledger!B:B,_xlpm.party,ledger!E:E,"&lt;&gt;*RD*",ledger!D:D,"Chamki",ledger!C:C,"&lt;&gt;December Closing CF")+
SUMIFS(ledger!J:J,ledger!B:B,_xlpm.party,ledger!E:E,"&lt;&gt;*RD*",ledger!D:D,"Crinkle",ledger!C:C,"&lt;&gt;December Closing CF")
))))</f>
        <v>0</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0</v>
      </c>
      <c r="O51" s="22">
        <f>(SUMIF(Table14[Party],B51,Table14[Credit]))</f>
        <v>0</v>
      </c>
      <c r="P51" s="37">
        <f t="shared" si="5"/>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300000</v>
      </c>
      <c r="P54" s="37">
        <f t="shared" si="5"/>
        <v>171278.34674469649</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16825</v>
      </c>
      <c r="D57" s="22">
        <v>15384.967081199709</v>
      </c>
      <c r="E57" s="63">
        <v>0</v>
      </c>
      <c r="F57" s="63">
        <v>15384.967081199709</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200004.57205559622</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200004.57205559622</v>
      </c>
      <c r="O57" s="22">
        <f>(SUMIF(Table14[Party],B57,Table14[Credit]))</f>
        <v>100000</v>
      </c>
      <c r="P57" s="37">
        <f t="shared" si="5"/>
        <v>100004.57205559622</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192519.20263350403</v>
      </c>
      <c r="W58" s="18">
        <v>2026132.0409656183</v>
      </c>
    </row>
    <row r="59" spans="1:23" x14ac:dyDescent="0.3">
      <c r="B59" s="24" t="str">
        <v>Hafiz Qureshi</v>
      </c>
      <c r="C59" s="22">
        <v>21343</v>
      </c>
      <c r="D59" s="22">
        <v>19516.276517922459</v>
      </c>
      <c r="E59" s="63">
        <v>19516.276517922459</v>
      </c>
      <c r="F59" s="63">
        <v>0</v>
      </c>
      <c r="G59" s="22" cm="1">
        <f t="array" ref="G59">(_xlfn.BYROW(B59,_xlfn.LAMBDA(_xlpm.party,
(SUMIFS(ledger!J:J,ledger!B:B,_xlpm.party,ledger!E:E,"&lt;&gt;*RD*",ledger!D:D,"Chamki",ledger!C:C,"&lt;&gt;December Closing CF")+
SUMIFS(ledger!J:J,ledger!B:B,_xlpm.party,ledger!E:E,"&lt;&gt;*RD*",ledger!D:D,"Crinkle",ledger!C:C,"&lt;&gt;December Closing CF")
))))</f>
        <v>195162.7651792246</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195162.7651792246</v>
      </c>
      <c r="O59" s="22">
        <f>(SUMIF(Table14[Party],B59,Table14[Credit]))</f>
        <v>0</v>
      </c>
      <c r="P59" s="37">
        <f t="shared" si="5"/>
        <v>195162.7651792246</v>
      </c>
      <c r="Q59" s="21">
        <v>10</v>
      </c>
      <c r="R59" s="21">
        <v>12</v>
      </c>
      <c r="U59" s="4" t="s">
        <v>22</v>
      </c>
      <c r="V59" s="5">
        <v>0</v>
      </c>
      <c r="W59" s="18">
        <v>0</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0</v>
      </c>
      <c r="W60" s="18">
        <v>0</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0</v>
      </c>
      <c r="P65" s="37">
        <f t="shared" si="5"/>
        <v>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15384.967081199709</v>
      </c>
      <c r="W66" s="18">
        <v>184619.60497439653</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(SUMIFS(ledger!J:J,ledger!B:B,_xlpm.party,ledger!E:E,"&lt;&gt;*RD*",ledger!D:D,"Chamki",ledger!C:C,"&lt;&gt;December Closing CF")+
SUMIFS(ledger!J:J,ledger!B:B,_xlpm.party,ledger!E:E,"&lt;&gt;*RD*",ledger!D:D,"Crinkle",ledger!C:C,"&lt;&gt;December Closing CF")
))))</f>
        <v>0</v>
      </c>
      <c r="H67" s="22" cm="1">
        <f t="array" ref="H67">_xlfn.BYROW(B67, _xlfn.LAMBDA(_xlpm.party,
   SUMIFS(ledger!J:J, ledger!B:B, _xlpm.party, ledger!E:E, "&lt;&gt;*RD*", ledger!D:D, "Silky", ledger!C:C, "&lt;&gt;December Closing CF")
))</f>
        <v>0</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46450</v>
      </c>
      <c r="D68" s="22">
        <v>42474.396488661303</v>
      </c>
      <c r="E68" s="63">
        <v>0</v>
      </c>
      <c r="F68" s="63">
        <v>0</v>
      </c>
      <c r="G68" s="22" cm="1">
        <f t="array" ref="G68">(_xlfn.BYROW(B68,_xlfn.LAMBDA(_xlpm.party,
(SUMIFS(ledger!J:J,ledger!B:B,_xlpm.party,ledger!E:E,"&lt;&gt;*RD*",ledger!D:D,"Chamki",ledger!C:C,"&lt;&gt;December Closing CF")+
SUMIFS(ledger!J:J,ledger!B:B,_xlpm.party,ledger!E:E,"&lt;&gt;*RD*",ledger!D:D,"Crinkle",ledger!C:C,"&lt;&gt;December Closing CF")
))))</f>
        <v>0</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424743.96488661307</v>
      </c>
      <c r="O68" s="22">
        <f>(SUMIF(Table14[Party],B68,Table14[Credit]))</f>
        <v>640000</v>
      </c>
      <c r="P68" s="37">
        <f t="shared" si="5"/>
        <v>-215256.03511338693</v>
      </c>
      <c r="Q68" s="21">
        <v>10</v>
      </c>
      <c r="R68" s="21">
        <v>12</v>
      </c>
      <c r="U68" s="4" t="s">
        <v>27</v>
      </c>
      <c r="V68" s="5">
        <v>19516.276517922459</v>
      </c>
      <c r="W68" s="18">
        <v>195162.7651792246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0</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0</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0</v>
      </c>
      <c r="O75" s="22">
        <f>(SUMIF(Table14[Party],B75,Table14[Credit]))</f>
        <v>0</v>
      </c>
      <c r="P75" s="37">
        <f t="shared" si="5"/>
        <v>0</v>
      </c>
      <c r="U75" s="4" t="s">
        <v>28</v>
      </c>
      <c r="V75" s="14">
        <v>487598.75640087784</v>
      </c>
      <c r="W75" s="14">
        <v>5090184.7110460866</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0</v>
      </c>
      <c r="O76" s="22">
        <f>SUMIF(Table14[Party], B76, Table14[Credit])</f>
        <v>0</v>
      </c>
      <c r="P76" s="37">
        <f t="shared" ref="P76:P78" si="7">N76-O76</f>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8"/>
        <v>0</v>
      </c>
      <c r="O110" s="22">
        <f>_xlfn.XLOOKUP($B75,[1]Billing!$Q$5:$Q$40,[1]Billing!$AD$5:$AD$40)</f>
        <v>0</v>
      </c>
      <c r="P110" s="37">
        <f t="shared" si="9"/>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8"/>
        <v>0</v>
      </c>
      <c r="O111" s="22">
        <f>_xlfn.XLOOKUP($B76,[1]Billing!$Q$5:$Q$40,[1]Billing!$AD$5:$AD$40)</f>
        <v>0</v>
      </c>
      <c r="P111" s="37">
        <f t="shared" si="9"/>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2" zoomScale="105" workbookViewId="0">
      <selection activeCell="G12" sqref="G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300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973822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890473.66495976609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884984.45501097303</v>
      </c>
      <c r="E12" s="92">
        <f ca="1">Table21[[#This Row],[gazana]]*Table21[[#This Row],[Rate]]</f>
        <v>8849844.550109731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8849844.550109731</v>
      </c>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8297871</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623333.27944403701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-259680</v>
      </c>
      <c r="D4" t="s">
        <v>189</v>
      </c>
      <c r="E4" s="43">
        <f ca="1">Table12[[#This Row],[Amount]]/Table1[[#Totals],[tiyar/meters]]</f>
        <v>-0.48989464677550681</v>
      </c>
    </row>
    <row r="5" spans="1:5" x14ac:dyDescent="0.3">
      <c r="B5" t="s">
        <v>48</v>
      </c>
      <c r="C5" s="11">
        <f>SUM(Table8[Price])+Dyes!P56-(291000)</f>
        <v>208910</v>
      </c>
      <c r="E5" s="43">
        <f ca="1">Table12[[#This Row],[Amount]]/Table1[[#Totals],[tiyar/meters]]</f>
        <v>0.39411541380880749</v>
      </c>
    </row>
    <row r="6" spans="1:5" x14ac:dyDescent="0.3">
      <c r="B6" t="s">
        <v>49</v>
      </c>
      <c r="C6" s="11">
        <f>SUM(Table2[Price])+Finish!K30-38750</f>
        <v>588050</v>
      </c>
      <c r="D6" t="s">
        <v>188</v>
      </c>
      <c r="E6" s="43">
        <f ca="1">Table12[[#This Row],[Amount]]/Table1[[#Totals],[tiyar/meters]]</f>
        <v>1.1093751811319192</v>
      </c>
    </row>
    <row r="7" spans="1:5" x14ac:dyDescent="0.3">
      <c r="B7" t="s">
        <v>50</v>
      </c>
      <c r="C7" s="11">
        <f>SUMIFS(Table14[Debit], Table14[Party],Table12[[#This Row],[Type]])</f>
        <v>21430</v>
      </c>
      <c r="E7" s="43">
        <f ca="1">Table12[[#This Row],[Amount]]/Table1[[#Totals],[tiyar/meters]]</f>
        <v>4.0428382164198674E-2</v>
      </c>
    </row>
    <row r="8" spans="1:5" x14ac:dyDescent="0.3">
      <c r="B8" t="s">
        <v>51</v>
      </c>
      <c r="C8" s="11">
        <f>Electricity!E3</f>
        <v>2185118</v>
      </c>
      <c r="E8" s="43">
        <f ca="1">Table12[[#This Row],[Amount]]/Table1[[#Totals],[tiyar/meters]]</f>
        <v>4.1222951739556448</v>
      </c>
    </row>
    <row r="9" spans="1:5" x14ac:dyDescent="0.3">
      <c r="B9" t="s">
        <v>52</v>
      </c>
      <c r="C9" s="11">
        <f>SUMIFS(Table14[Debit], Table14[Party],Table12[[#This Row],[Type]])+SUMIFS(Table14[Debit], Table14[Party],"Advance Salary")</f>
        <v>290500</v>
      </c>
      <c r="E9" s="43">
        <f ca="1">Table12[[#This Row],[Amount]]/Table1[[#Totals],[tiyar/meters]]</f>
        <v>0.54803756503498435</v>
      </c>
    </row>
    <row r="10" spans="1:5" x14ac:dyDescent="0.3">
      <c r="B10" t="s">
        <v>53</v>
      </c>
      <c r="C10" s="11">
        <f>Table5[[#Totals],[Amount]]</f>
        <v>45950</v>
      </c>
      <c r="E10" s="43">
        <f ca="1">Table12[[#This Row],[Amount]]/Table1[[#Totals],[tiyar/meters]]</f>
        <v>8.6686148410869301E-2</v>
      </c>
    </row>
    <row r="11" spans="1:5" x14ac:dyDescent="0.3">
      <c r="B11" t="s">
        <v>54</v>
      </c>
      <c r="C11" s="11">
        <f>Table13[[#Totals],[Debit]]</f>
        <v>61700</v>
      </c>
      <c r="E11" s="43">
        <f ca="1">Table12[[#This Row],[Amount]]/Table1[[#Totals],[tiyar/meters]]</f>
        <v>0.11639902844288652</v>
      </c>
    </row>
    <row r="12" spans="1:5" x14ac:dyDescent="0.3">
      <c r="B12" t="s">
        <v>55</v>
      </c>
      <c r="C12" s="11">
        <f>Table15[[#Totals],[Amount]]</f>
        <v>49413</v>
      </c>
      <c r="E12" s="43">
        <f ca="1">Table12[[#This Row],[Amount]]/Table1[[#Totals],[tiyar/meters]]</f>
        <v>9.3219208953782037E-2</v>
      </c>
    </row>
    <row r="13" spans="1:5" x14ac:dyDescent="0.3">
      <c r="C13" s="11"/>
      <c r="E13" s="43">
        <f ca="1">Table12[[#This Row],[Amount]]/Table1[[#Totals],[tiyar/meters]]</f>
        <v>0</v>
      </c>
    </row>
    <row r="14" spans="1:5" x14ac:dyDescent="0.3">
      <c r="C14" s="14">
        <f>SUM(Table12[Amount])</f>
        <v>3191391</v>
      </c>
      <c r="E14" s="43">
        <f ca="1">SUM(Table12[cost per meter])</f>
        <v>6.020661455127585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5622027.2494513541</v>
      </c>
    </row>
    <row r="4" spans="1:3" x14ac:dyDescent="0.3">
      <c r="B4" s="11" t="s">
        <v>44</v>
      </c>
      <c r="C4" s="11">
        <f>Table12[[#Totals],[Amount]]</f>
        <v>3191391</v>
      </c>
    </row>
    <row r="5" spans="1:3" x14ac:dyDescent="0.3">
      <c r="A5" s="6"/>
      <c r="B5" s="15" t="s">
        <v>68</v>
      </c>
      <c r="C5" s="15">
        <f>C3-C4</f>
        <v>2430636.2494513541</v>
      </c>
    </row>
    <row r="10" spans="1:3" ht="15" thickBot="1" x14ac:dyDescent="0.35">
      <c r="B10" t="s">
        <v>66</v>
      </c>
      <c r="C10" s="14" t="s">
        <v>67</v>
      </c>
    </row>
    <row r="11" spans="1:3" x14ac:dyDescent="0.3">
      <c r="B11" s="56" t="s">
        <v>0</v>
      </c>
      <c r="C11" s="57">
        <f>C3</f>
        <v>5622027.2494513541</v>
      </c>
    </row>
    <row r="12" spans="1:3" x14ac:dyDescent="0.3">
      <c r="B12" s="58" t="s">
        <v>69</v>
      </c>
      <c r="C12" s="59">
        <f>SUM(Table14[Credit])</f>
        <v>6550762</v>
      </c>
    </row>
    <row r="13" spans="1:3" ht="15" thickBot="1" x14ac:dyDescent="0.35">
      <c r="B13" s="74" t="s">
        <v>93</v>
      </c>
      <c r="C13" s="73">
        <f>(C11-C12)</f>
        <v>-928734.75054864585</v>
      </c>
    </row>
    <row r="14" spans="1:3" ht="15" thickBot="1" x14ac:dyDescent="0.35">
      <c r="B14" s="58"/>
      <c r="C14" s="59"/>
    </row>
    <row r="15" spans="1:3" x14ac:dyDescent="0.3">
      <c r="B15" s="56" t="s">
        <v>44</v>
      </c>
      <c r="C15" s="57">
        <f>C4</f>
        <v>3191391</v>
      </c>
    </row>
    <row r="16" spans="1:3" x14ac:dyDescent="0.3">
      <c r="B16" s="58" t="s">
        <v>70</v>
      </c>
      <c r="C16" s="59">
        <f>SUM(Table14[Debit])</f>
        <v>6026701</v>
      </c>
    </row>
    <row r="17" spans="2:6" ht="15" thickBot="1" x14ac:dyDescent="0.35">
      <c r="B17" s="74" t="s">
        <v>71</v>
      </c>
      <c r="C17" s="73">
        <f>C15-C16</f>
        <v>-2835310</v>
      </c>
    </row>
    <row r="18" spans="2:6" ht="15" thickBot="1" x14ac:dyDescent="0.35">
      <c r="B18" s="58"/>
      <c r="C18" s="59"/>
    </row>
    <row r="19" spans="2:6" ht="15" thickBot="1" x14ac:dyDescent="0.35">
      <c r="B19" s="75" t="s">
        <v>72</v>
      </c>
      <c r="C19" s="76">
        <f>Table18[[#Totals],[amount]]</f>
        <v>524061</v>
      </c>
    </row>
    <row r="20" spans="2:6" ht="15" thickBot="1" x14ac:dyDescent="0.35">
      <c r="B20" s="71"/>
      <c r="C20" s="72"/>
    </row>
    <row r="21" spans="2:6" ht="15" thickBot="1" x14ac:dyDescent="0.35">
      <c r="B21" s="60" t="s">
        <v>73</v>
      </c>
      <c r="C21" s="61">
        <f>(C13-C17)+C19</f>
        <v>2430636.2494513541</v>
      </c>
      <c r="E21" s="79" t="s">
        <v>74</v>
      </c>
      <c r="F21" s="80">
        <f>C5*0.05</f>
        <v>121531.81247256772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0</v>
      </c>
      <c r="E14">
        <f>SUMIFS(Table14[Credit], Table14[Date], Table13[[#This Row],[Date]], Table14[Party], "Transport")</f>
        <v>0</v>
      </c>
    </row>
    <row r="15" spans="2:6" x14ac:dyDescent="0.3">
      <c r="B15" s="1">
        <v>46052</v>
      </c>
      <c r="D15">
        <f>SUMIFS(Table14[Debit], Table14[Date], Table13[[#This Row],[Date]], Table14[Party], "Transport")</f>
        <v>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61700</v>
      </c>
      <c r="E44">
        <f>SUBTOTAL(109,Table13[Credit])</f>
        <v>0</v>
      </c>
      <c r="F44">
        <f>Table13[[#Totals],[Debit]]-Table13[[#Totals],[Credit]]</f>
        <v>61700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78" zoomScale="107" zoomScaleNormal="115" workbookViewId="0">
      <selection activeCell="F102" sqref="F10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7">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24" t="s">
        <v>183</v>
      </c>
      <c r="C57" s="108" t="s">
        <v>221</v>
      </c>
      <c r="D57" s="108" t="s">
        <v>199</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46042</v>
      </c>
      <c r="B58" s="24" t="s">
        <v>190</v>
      </c>
      <c r="C58" s="108" t="s">
        <v>221</v>
      </c>
      <c r="D58" s="108" t="s">
        <v>207</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46042</v>
      </c>
      <c r="B59" s="24" t="s">
        <v>204</v>
      </c>
      <c r="C59" s="108" t="s">
        <v>221</v>
      </c>
      <c r="D59" s="108" t="s">
        <v>205</v>
      </c>
      <c r="E59" s="37"/>
      <c r="F59" s="37"/>
      <c r="G59" s="37"/>
      <c r="H59" s="110" t="e">
        <f>_xlfn.XLOOKUP(Table1[[#This Row],[Shipment Number]], 'pivot '!A:A,'pivot '!G:G, "NF")</f>
        <v>#DIV/0!</v>
      </c>
      <c r="I59" s="110"/>
      <c r="J59" s="110">
        <f>_xlfn.XLOOKUP(Table1[[#This Row],[Party Name]],
[1]Billing!$Q$5:$Q$40,
[1]Billing!$AB$5:$AB$40)</f>
        <v>151504.2062911485</v>
      </c>
      <c r="K59" s="108"/>
      <c r="P59"/>
      <c r="Q59"/>
      <c r="R59"/>
      <c r="S59"/>
      <c r="T59"/>
      <c r="U59"/>
    </row>
    <row r="60" spans="1:25" x14ac:dyDescent="0.3">
      <c r="A60" s="124">
        <v>46043</v>
      </c>
      <c r="B60" s="125" t="s">
        <v>152</v>
      </c>
      <c r="C60" s="126">
        <v>1375</v>
      </c>
      <c r="D60" s="126" t="s">
        <v>86</v>
      </c>
      <c r="E60" s="127">
        <v>2024</v>
      </c>
      <c r="F60" s="127">
        <v>16895</v>
      </c>
      <c r="G60" s="127">
        <v>18197</v>
      </c>
      <c r="H60" s="128">
        <f>_xlfn.XLOOKUP(Table1[[#This Row],[Shipment Number]], 'pivot '!A:A,'pivot '!G:G, "NF")</f>
        <v>1.5120500929511422</v>
      </c>
      <c r="I60" s="129">
        <f>Table1[[#This Row],[Tiyaar/gaz]]/1.0936</f>
        <v>16639.539136795906</v>
      </c>
      <c r="J60" s="129" cm="1">
        <f t="array" ref="J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0" s="126"/>
      <c r="M60"/>
      <c r="P60"/>
      <c r="Q60"/>
      <c r="R60"/>
      <c r="S60"/>
      <c r="T60"/>
      <c r="U60"/>
    </row>
    <row r="61" spans="1:25" x14ac:dyDescent="0.3">
      <c r="A61" s="121">
        <v>46043</v>
      </c>
      <c r="B61" s="122" t="s">
        <v>152</v>
      </c>
      <c r="C61" s="118">
        <v>1376</v>
      </c>
      <c r="D61" s="118" t="s">
        <v>86</v>
      </c>
      <c r="E61" s="11">
        <v>2023</v>
      </c>
      <c r="F61" s="11">
        <v>20503</v>
      </c>
      <c r="G61" s="11">
        <v>10968</v>
      </c>
      <c r="H61" s="119">
        <f>_xlfn.XLOOKUP(Table1[[#This Row],[Shipment Number]], 'pivot '!A:A,'pivot '!G:G, "NF")</f>
        <v>51.083933298465325</v>
      </c>
      <c r="I61" s="120">
        <f>Table1[[#This Row],[Tiyaar/gaz]]/1.0936</f>
        <v>10029.261155815655</v>
      </c>
      <c r="J61" s="120" cm="1">
        <f t="array" ref="J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1" s="118"/>
      <c r="M61"/>
      <c r="P61"/>
      <c r="Q61"/>
      <c r="R61"/>
      <c r="S61"/>
    </row>
    <row r="62" spans="1:25" x14ac:dyDescent="0.3">
      <c r="A62" s="121">
        <v>46043</v>
      </c>
      <c r="B62" s="122" t="s">
        <v>152</v>
      </c>
      <c r="C62" s="118">
        <v>1377</v>
      </c>
      <c r="D62" s="118" t="s">
        <v>86</v>
      </c>
      <c r="E62" s="11">
        <v>2025</v>
      </c>
      <c r="F62" s="11">
        <v>6991</v>
      </c>
      <c r="G62" s="11">
        <v>7531</v>
      </c>
      <c r="H62" s="119">
        <f>_xlfn.XLOOKUP(Table1[[#This Row],[Shipment Number]], 'pivot '!A:A,'pivot '!G:G, "NF")</f>
        <v>1.4957783008083112</v>
      </c>
      <c r="I62" s="120">
        <f>Table1[[#This Row],[Tiyaar/gaz]]/1.0936</f>
        <v>6886.4301389904904</v>
      </c>
      <c r="J62" s="120" cm="1">
        <f t="array" ref="J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2" s="118"/>
      <c r="M62"/>
      <c r="P62"/>
      <c r="Q62"/>
      <c r="R62"/>
      <c r="S62"/>
    </row>
    <row r="63" spans="1:25" x14ac:dyDescent="0.3">
      <c r="A63" s="121">
        <v>46043</v>
      </c>
      <c r="B63" s="122" t="s">
        <v>35</v>
      </c>
      <c r="C63" s="118">
        <v>1378</v>
      </c>
      <c r="D63" s="118" t="s">
        <v>86</v>
      </c>
      <c r="E63" s="11">
        <v>2039</v>
      </c>
      <c r="F63" s="11">
        <v>31746</v>
      </c>
      <c r="G63" s="11">
        <v>15139</v>
      </c>
      <c r="H63" s="119">
        <f>_xlfn.XLOOKUP(Table1[[#This Row],[Shipment Number]], 'pivot '!A:A,'pivot '!G:G, "NF")</f>
        <v>56.393656101044535</v>
      </c>
      <c r="I63" s="120">
        <f>Table1[[#This Row],[Tiyaar/gaz]]/1.0936</f>
        <v>13843.269934162401</v>
      </c>
      <c r="J63" s="120"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3" s="118"/>
      <c r="S63"/>
    </row>
    <row r="64" spans="1:25" x14ac:dyDescent="0.3">
      <c r="A64" s="121">
        <v>46043</v>
      </c>
      <c r="B64" s="122" t="s">
        <v>35</v>
      </c>
      <c r="C64" s="118">
        <v>1379</v>
      </c>
      <c r="D64" s="118" t="s">
        <v>86</v>
      </c>
      <c r="E64" s="11">
        <v>2037</v>
      </c>
      <c r="F64" s="11">
        <v>14961</v>
      </c>
      <c r="G64" s="11">
        <v>1686</v>
      </c>
      <c r="H64" s="119">
        <f>_xlfn.XLOOKUP(Table1[[#This Row],[Shipment Number]], 'pivot '!A:A,'pivot '!G:G, "NF")</f>
        <v>89.695226608934504</v>
      </c>
      <c r="I64" s="120">
        <f>Table1[[#This Row],[Tiyaar/gaz]]/1.0936</f>
        <v>1541.697147037308</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4" s="118"/>
      <c r="S64"/>
    </row>
    <row r="65" spans="1:19" x14ac:dyDescent="0.3">
      <c r="A65" s="121">
        <v>46044</v>
      </c>
      <c r="B65" s="122" t="s">
        <v>152</v>
      </c>
      <c r="C65" s="118">
        <v>1380</v>
      </c>
      <c r="D65" s="118" t="s">
        <v>86</v>
      </c>
      <c r="E65" s="11">
        <v>2026</v>
      </c>
      <c r="F65" s="11">
        <v>70035</v>
      </c>
      <c r="G65" s="11">
        <v>8408</v>
      </c>
      <c r="H65" s="119">
        <f>_xlfn.XLOOKUP(Table1[[#This Row],[Shipment Number]], 'pivot '!A:A,'pivot '!G:G, "NF")</f>
        <v>89.022105103786288</v>
      </c>
      <c r="I65" s="120">
        <f>Table1[[#This Row],[Tiyaar/gaz]]/1.0936</f>
        <v>7688.3686905632776</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5" s="118"/>
      <c r="S65"/>
    </row>
    <row r="66" spans="1:19" x14ac:dyDescent="0.3">
      <c r="A66" s="121">
        <v>46044</v>
      </c>
      <c r="B66" s="122" t="s">
        <v>21</v>
      </c>
      <c r="C66" s="118">
        <v>1381</v>
      </c>
      <c r="D66" s="118" t="s">
        <v>86</v>
      </c>
      <c r="E66" s="11">
        <v>2041</v>
      </c>
      <c r="F66" s="11">
        <v>50350</v>
      </c>
      <c r="G66" s="11">
        <v>38195</v>
      </c>
      <c r="H66" s="119">
        <f>_xlfn.XLOOKUP(Table1[[#This Row],[Shipment Number]], 'pivot '!A:A,'pivot '!G:G, "NF")</f>
        <v>1.5414410756017247</v>
      </c>
      <c r="I66" s="120">
        <f>Table1[[#This Row],[Tiyaar/gaz]]/1.0936</f>
        <v>34925.932699341625</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6" s="118"/>
      <c r="S66"/>
    </row>
    <row r="67" spans="1:19" x14ac:dyDescent="0.3">
      <c r="A67" s="121">
        <v>46044</v>
      </c>
      <c r="B67" s="122" t="s">
        <v>21</v>
      </c>
      <c r="C67" s="118">
        <v>1382</v>
      </c>
      <c r="D67" s="118" t="s">
        <v>86</v>
      </c>
      <c r="E67" s="11">
        <v>2041</v>
      </c>
      <c r="F67" s="11">
        <v>50350</v>
      </c>
      <c r="G67" s="11">
        <v>16019</v>
      </c>
      <c r="H67" s="119">
        <f>_xlfn.XLOOKUP(Table1[[#This Row],[Shipment Number]], 'pivot '!A:A,'pivot '!G:G, "NF")</f>
        <v>1.5414410756017247</v>
      </c>
      <c r="I67" s="120">
        <f>Table1[[#This Row],[Tiyaar/gaz]]/1.0936</f>
        <v>14647.951719092905</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67" s="118"/>
      <c r="S67"/>
    </row>
    <row r="68" spans="1:19" x14ac:dyDescent="0.3">
      <c r="A68" s="121">
        <v>46044</v>
      </c>
      <c r="B68" s="122" t="s">
        <v>21</v>
      </c>
      <c r="C68" s="118">
        <v>1383</v>
      </c>
      <c r="D68" s="118" t="s">
        <v>86</v>
      </c>
      <c r="E68" s="11">
        <v>2006</v>
      </c>
      <c r="F68" s="11">
        <v>24208</v>
      </c>
      <c r="G68" s="11">
        <v>980</v>
      </c>
      <c r="H68" s="119">
        <f>_xlfn.XLOOKUP(Table1[[#This Row],[Shipment Number]], 'pivot '!A:A,'pivot '!G:G, "NF")</f>
        <v>96.298236546371342</v>
      </c>
      <c r="I68" s="120">
        <f>Table1[[#This Row],[Tiyaar/gaz]]/1.0936</f>
        <v>896.12289685442579</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68" s="118"/>
      <c r="S68"/>
    </row>
    <row r="69" spans="1:19" x14ac:dyDescent="0.3">
      <c r="A69" s="121">
        <v>46044</v>
      </c>
      <c r="B69" s="122" t="s">
        <v>21</v>
      </c>
      <c r="C69" s="118">
        <v>1384</v>
      </c>
      <c r="D69" s="118" t="s">
        <v>85</v>
      </c>
      <c r="E69" s="11" t="s">
        <v>220</v>
      </c>
      <c r="F69" s="11">
        <v>57352</v>
      </c>
      <c r="G69" s="11">
        <v>34000</v>
      </c>
      <c r="H69" s="119">
        <f>_xlfn.XLOOKUP(Table1[[#This Row],[Shipment Number]], 'pivot '!A:A,'pivot '!G:G, "NF")</f>
        <v>25.245711158024818</v>
      </c>
      <c r="I69" s="120">
        <f>Table1[[#This Row],[Tiyaar/gaz]]/1.0936</f>
        <v>31089.978054133142</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69" s="118"/>
      <c r="S69"/>
    </row>
    <row r="70" spans="1:19" x14ac:dyDescent="0.3">
      <c r="A70" s="121">
        <v>46045</v>
      </c>
      <c r="B70" s="122" t="s">
        <v>21</v>
      </c>
      <c r="C70" s="118">
        <v>1385</v>
      </c>
      <c r="D70" s="118" t="s">
        <v>85</v>
      </c>
      <c r="E70" s="11" t="s">
        <v>220</v>
      </c>
      <c r="F70" s="11">
        <v>57352</v>
      </c>
      <c r="G70" s="11">
        <v>12886</v>
      </c>
      <c r="H70" s="119">
        <f>_xlfn.XLOOKUP(Table1[[#This Row],[Shipment Number]], 'pivot '!A:A,'pivot '!G:G, "NF")</f>
        <v>25.245711158024818</v>
      </c>
      <c r="I70" s="120">
        <f>Table1[[#This Row],[Tiyaar/gaz]]/1.0936</f>
        <v>11783.101682516461</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0" s="118"/>
      <c r="S70"/>
    </row>
    <row r="71" spans="1:19" x14ac:dyDescent="0.3">
      <c r="A71" s="121">
        <v>46045</v>
      </c>
      <c r="B71" s="122" t="s">
        <v>21</v>
      </c>
      <c r="C71" s="118">
        <v>1386</v>
      </c>
      <c r="D71" s="118" t="s">
        <v>85</v>
      </c>
      <c r="E71" s="11">
        <v>2035</v>
      </c>
      <c r="F71" s="11">
        <v>38006</v>
      </c>
      <c r="G71" s="11">
        <v>28436</v>
      </c>
      <c r="H71" s="119">
        <f>_xlfn.XLOOKUP(Table1[[#This Row],[Shipment Number]], 'pivot '!A:A,'pivot '!G:G, "NF")</f>
        <v>9.7108603458096354E-2</v>
      </c>
      <c r="I71" s="120">
        <f>Table1[[#This Row],[Tiyaar/gaz]]/1.0936</f>
        <v>26002.194586686175</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1" s="118"/>
      <c r="S71"/>
    </row>
    <row r="72" spans="1:19" x14ac:dyDescent="0.3">
      <c r="A72" s="121">
        <v>46045</v>
      </c>
      <c r="B72" s="122" t="s">
        <v>21</v>
      </c>
      <c r="C72" s="118">
        <v>1387</v>
      </c>
      <c r="D72" s="118" t="s">
        <v>85</v>
      </c>
      <c r="E72" s="11">
        <v>2040</v>
      </c>
      <c r="F72" s="11">
        <v>13976</v>
      </c>
      <c r="G72" s="11">
        <v>4368</v>
      </c>
      <c r="H72" s="119">
        <f>_xlfn.XLOOKUP(Table1[[#This Row],[Shipment Number]], 'pivot '!A:A,'pivot '!G:G, "NF")</f>
        <v>71.421381161728178</v>
      </c>
      <c r="I72" s="120">
        <f>Table1[[#This Row],[Tiyaar/gaz]]/1.0936</f>
        <v>3994.1477688368695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2" s="118"/>
      <c r="S72"/>
    </row>
    <row r="73" spans="1:19" x14ac:dyDescent="0.3">
      <c r="A73" s="121">
        <v>46045</v>
      </c>
      <c r="B73" s="122" t="s">
        <v>25</v>
      </c>
      <c r="C73" s="118">
        <v>1388</v>
      </c>
      <c r="D73" s="118" t="s">
        <v>85</v>
      </c>
      <c r="E73" s="11">
        <v>2020</v>
      </c>
      <c r="F73" s="11">
        <v>22557</v>
      </c>
      <c r="G73" s="11">
        <v>1891</v>
      </c>
      <c r="H73" s="119">
        <f>_xlfn.XLOOKUP(Table1[[#This Row],[Shipment Number]], 'pivot '!A:A,'pivot '!G:G, "NF")</f>
        <v>7.8380644024960588E-2</v>
      </c>
      <c r="I73" s="120">
        <f>Table1[[#This Row],[Tiyaar/gaz]]/1.0936</f>
        <v>1729.1514264813461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3" s="118"/>
    </row>
    <row r="74" spans="1:19" x14ac:dyDescent="0.3">
      <c r="A74" s="121">
        <v>46046</v>
      </c>
      <c r="B74" s="122" t="s">
        <v>152</v>
      </c>
      <c r="C74" s="118">
        <v>1389</v>
      </c>
      <c r="D74" s="118" t="s">
        <v>85</v>
      </c>
      <c r="E74" s="11">
        <v>2034</v>
      </c>
      <c r="F74" s="11">
        <v>50630</v>
      </c>
      <c r="G74" s="11">
        <v>49876</v>
      </c>
      <c r="H74" s="119">
        <f>_xlfn.XLOOKUP(Table1[[#This Row],[Shipment Number]], 'pivot '!A:A,'pivot '!G:G, "NF")</f>
        <v>2.1581908479854519</v>
      </c>
      <c r="I74" s="120">
        <f>Table1[[#This Row],[Tiyaar/gaz]]/1.0936</f>
        <v>45607.168983174837</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4" s="118"/>
    </row>
    <row r="75" spans="1:19" x14ac:dyDescent="0.3">
      <c r="A75" s="121">
        <v>46046</v>
      </c>
      <c r="B75" s="122" t="s">
        <v>21</v>
      </c>
      <c r="C75" s="118">
        <v>1390</v>
      </c>
      <c r="D75" s="118" t="s">
        <v>85</v>
      </c>
      <c r="E75" s="11">
        <v>2035</v>
      </c>
      <c r="F75" s="11">
        <v>38006</v>
      </c>
      <c r="G75" s="11">
        <v>13087</v>
      </c>
      <c r="H75" s="119">
        <f>_xlfn.XLOOKUP(Table1[[#This Row],[Shipment Number]], 'pivot '!A:A,'pivot '!G:G, "NF")</f>
        <v>9.7108603458096354E-2</v>
      </c>
      <c r="I75" s="120">
        <f>Table1[[#This Row],[Tiyaar/gaz]]/1.0936</f>
        <v>11966.898317483541</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5" s="118"/>
    </row>
    <row r="76" spans="1:19" x14ac:dyDescent="0.3">
      <c r="A76" s="121">
        <v>46046</v>
      </c>
      <c r="B76" s="122" t="s">
        <v>21</v>
      </c>
      <c r="C76" s="118">
        <v>1391</v>
      </c>
      <c r="D76" s="118" t="s">
        <v>85</v>
      </c>
      <c r="E76" s="11">
        <v>2046</v>
      </c>
      <c r="F76" s="11">
        <v>100417</v>
      </c>
      <c r="G76" s="11">
        <v>4343</v>
      </c>
      <c r="H76" s="119">
        <f>_xlfn.XLOOKUP(Table1[[#This Row],[Shipment Number]], 'pivot '!A:A,'pivot '!G:G, "NF")</f>
        <v>93.895244686278559</v>
      </c>
      <c r="I76" s="120">
        <f>Table1[[#This Row],[Tiyaar/gaz]]/1.0936</f>
        <v>3971.2874908558892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6" s="118"/>
    </row>
    <row r="77" spans="1:19" x14ac:dyDescent="0.3">
      <c r="A77" s="121">
        <v>46046</v>
      </c>
      <c r="B77" s="122" t="s">
        <v>152</v>
      </c>
      <c r="C77" s="118">
        <v>1392</v>
      </c>
      <c r="D77" s="118" t="s">
        <v>85</v>
      </c>
      <c r="E77" s="11">
        <v>2034</v>
      </c>
      <c r="F77" s="11">
        <v>50630</v>
      </c>
      <c r="G77" s="11">
        <v>4298</v>
      </c>
      <c r="H77" s="119">
        <f>_xlfn.XLOOKUP(Table1[[#This Row],[Shipment Number]], 'pivot '!A:A,'pivot '!G:G, "NF")</f>
        <v>2.1581908479854519</v>
      </c>
      <c r="I77" s="120">
        <f>Table1[[#This Row],[Tiyaar/gaz]]/1.0936</f>
        <v>3930.1389904901248</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77" s="118"/>
    </row>
    <row r="78" spans="1:19" x14ac:dyDescent="0.3">
      <c r="A78" s="121">
        <v>46048</v>
      </c>
      <c r="B78" s="122" t="s">
        <v>152</v>
      </c>
      <c r="C78" s="118">
        <v>1393</v>
      </c>
      <c r="D78" s="118" t="s">
        <v>85</v>
      </c>
      <c r="E78" s="11">
        <v>2033</v>
      </c>
      <c r="F78" s="11">
        <v>26970</v>
      </c>
      <c r="G78" s="11">
        <v>18078</v>
      </c>
      <c r="H78" s="119">
        <f>_xlfn.XLOOKUP(Table1[[#This Row],[Shipment Number]], 'pivot '!A:A,'pivot '!G:G, "NF")</f>
        <v>1.4490619098030351</v>
      </c>
      <c r="I78" s="120">
        <f>Table1[[#This Row],[Tiyaar/gaz]]/1.0936</f>
        <v>16530.724213606438</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78" s="118"/>
    </row>
    <row r="79" spans="1:19" x14ac:dyDescent="0.3">
      <c r="A79" s="121">
        <v>46048</v>
      </c>
      <c r="B79" s="122" t="s">
        <v>152</v>
      </c>
      <c r="C79" s="118">
        <v>1394</v>
      </c>
      <c r="D79" s="118" t="s">
        <v>85</v>
      </c>
      <c r="E79" s="11">
        <v>2032</v>
      </c>
      <c r="F79" s="11">
        <v>25205</v>
      </c>
      <c r="G79" s="11">
        <v>27004</v>
      </c>
      <c r="H79" s="119">
        <f>_xlfn.XLOOKUP(Table1[[#This Row],[Shipment Number]], 'pivot '!A:A,'pivot '!G:G, "NF")</f>
        <v>2.0323036542923063</v>
      </c>
      <c r="I79" s="120">
        <f>Table1[[#This Row],[Tiyaar/gaz]]/1.0936</f>
        <v>24692.757863935629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79" s="118"/>
    </row>
    <row r="80" spans="1:19" x14ac:dyDescent="0.3">
      <c r="A80" s="121">
        <v>46048</v>
      </c>
      <c r="B80" s="122" t="s">
        <v>152</v>
      </c>
      <c r="C80" s="118">
        <v>1395</v>
      </c>
      <c r="D80" s="118" t="s">
        <v>85</v>
      </c>
      <c r="E80" s="11">
        <v>2033</v>
      </c>
      <c r="F80" s="11">
        <v>26970</v>
      </c>
      <c r="G80" s="11">
        <v>10989</v>
      </c>
      <c r="H80" s="119">
        <f>_xlfn.XLOOKUP(Table1[[#This Row],[Shipment Number]], 'pivot '!A:A,'pivot '!G:G, "NF")</f>
        <v>1.4490619098030351</v>
      </c>
      <c r="I80" s="120">
        <f>Table1[[#This Row],[Tiyaar/gaz]]/1.0936</f>
        <v>10048.46378931968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0" s="118"/>
    </row>
    <row r="81" spans="1:17" x14ac:dyDescent="0.3">
      <c r="A81" s="121">
        <v>46048</v>
      </c>
      <c r="B81" s="122" t="s">
        <v>25</v>
      </c>
      <c r="C81" s="118">
        <v>1396</v>
      </c>
      <c r="D81" s="118" t="s">
        <v>85</v>
      </c>
      <c r="E81" s="11">
        <v>2020</v>
      </c>
      <c r="F81" s="11">
        <v>22557</v>
      </c>
      <c r="G81" s="11">
        <v>12689</v>
      </c>
      <c r="H81" s="119">
        <f>_xlfn.XLOOKUP(Table1[[#This Row],[Shipment Number]], 'pivot '!A:A,'pivot '!G:G, "NF")</f>
        <v>7.8380644024960588E-2</v>
      </c>
      <c r="I81" s="120">
        <f>Table1[[#This Row],[Tiyaar/gaz]]/1.0936</f>
        <v>11602.962692026336</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1" s="118"/>
    </row>
    <row r="82" spans="1:17" x14ac:dyDescent="0.3">
      <c r="A82" s="121">
        <v>46048</v>
      </c>
      <c r="B82" s="122" t="s">
        <v>25</v>
      </c>
      <c r="C82" s="118">
        <v>1397</v>
      </c>
      <c r="D82" s="118" t="s">
        <v>85</v>
      </c>
      <c r="E82" s="11">
        <v>2020</v>
      </c>
      <c r="F82" s="11">
        <v>22557</v>
      </c>
      <c r="G82" s="11">
        <v>10069</v>
      </c>
      <c r="H82" s="119">
        <f>_xlfn.XLOOKUP(Table1[[#This Row],[Shipment Number]], 'pivot '!A:A,'pivot '!G:G, "NF")</f>
        <v>7.8380644024960588E-2</v>
      </c>
      <c r="I82" s="120">
        <f>Table1[[#This Row],[Tiyaar/gaz]]/1.0936</f>
        <v>9207.205559619606</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2" s="118"/>
    </row>
    <row r="83" spans="1:17" x14ac:dyDescent="0.3">
      <c r="A83" s="121">
        <v>46048</v>
      </c>
      <c r="B83" s="122" t="s">
        <v>25</v>
      </c>
      <c r="C83" s="118">
        <v>1398</v>
      </c>
      <c r="D83" s="118" t="s">
        <v>85</v>
      </c>
      <c r="E83" s="11">
        <v>2021</v>
      </c>
      <c r="F83" s="11">
        <v>24970</v>
      </c>
      <c r="G83" s="11">
        <v>26890</v>
      </c>
      <c r="H83" s="119">
        <f>_xlfn.XLOOKUP(Table1[[#This Row],[Shipment Number]], 'pivot '!A:A,'pivot '!G:G, "NF")</f>
        <v>1.5277733426417512</v>
      </c>
      <c r="I83" s="120">
        <f>Table1[[#This Row],[Tiyaar/gaz]]/1.0936</f>
        <v>24588.514996342357</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3" s="118"/>
    </row>
    <row r="84" spans="1:17" x14ac:dyDescent="0.3">
      <c r="A84" s="121">
        <v>46049</v>
      </c>
      <c r="B84" s="122" t="s">
        <v>219</v>
      </c>
      <c r="C84" s="118">
        <v>1399</v>
      </c>
      <c r="D84" s="118" t="s">
        <v>85</v>
      </c>
      <c r="E84" s="11">
        <v>2052</v>
      </c>
      <c r="F84" s="11">
        <v>72275</v>
      </c>
      <c r="G84" s="11">
        <v>6894</v>
      </c>
      <c r="H84" s="119">
        <f>_xlfn.XLOOKUP(Table1[[#This Row],[Shipment Number]], 'pivot '!A:A,'pivot '!G:G, "NF")</f>
        <v>1.7673849448772216</v>
      </c>
      <c r="I84" s="120">
        <f>Table1[[#This Row],[Tiyaar/gaz]]/1.0936</f>
        <v>6303.9502560351139</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4" s="118"/>
    </row>
    <row r="85" spans="1:17" x14ac:dyDescent="0.3">
      <c r="A85" s="121">
        <v>46049</v>
      </c>
      <c r="B85" s="122" t="s">
        <v>219</v>
      </c>
      <c r="C85" s="118">
        <v>1400</v>
      </c>
      <c r="D85" s="118" t="s">
        <v>85</v>
      </c>
      <c r="E85" s="11">
        <v>2052</v>
      </c>
      <c r="F85" s="11">
        <v>72275</v>
      </c>
      <c r="G85" s="11">
        <v>29817</v>
      </c>
      <c r="H85" s="119">
        <f>_xlfn.XLOOKUP(Table1[[#This Row],[Shipment Number]], 'pivot '!A:A,'pivot '!G:G, "NF")</f>
        <v>1.7673849448772216</v>
      </c>
      <c r="I85" s="120">
        <f>Table1[[#This Row],[Tiyaar/gaz]]/1.0936</f>
        <v>27264.996342355524</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5" s="118"/>
    </row>
    <row r="86" spans="1:17" x14ac:dyDescent="0.3">
      <c r="A86" s="121">
        <v>46049</v>
      </c>
      <c r="B86" s="122" t="s">
        <v>27</v>
      </c>
      <c r="C86" s="118">
        <v>1401</v>
      </c>
      <c r="D86" s="118" t="s">
        <v>85</v>
      </c>
      <c r="E86" s="11">
        <v>1989</v>
      </c>
      <c r="F86" s="11">
        <v>61388</v>
      </c>
      <c r="G86" s="11">
        <v>4389</v>
      </c>
      <c r="H86" s="119">
        <f>_xlfn.XLOOKUP(Table1[[#This Row],[Shipment Number]], 'pivot '!A:A,'pivot '!G:G, "NF")</f>
        <v>68.208320000777903</v>
      </c>
      <c r="I86" s="120">
        <f>Table1[[#This Row],[Tiyaar/gaz]]/1.0936</f>
        <v>4013.3504023408927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6" s="118"/>
    </row>
    <row r="87" spans="1:17" x14ac:dyDescent="0.3">
      <c r="A87" s="121">
        <v>46049</v>
      </c>
      <c r="B87" s="122" t="s">
        <v>21</v>
      </c>
      <c r="C87" s="118">
        <v>1402</v>
      </c>
      <c r="D87" s="118" t="s">
        <v>85</v>
      </c>
      <c r="E87" s="11" t="s">
        <v>304</v>
      </c>
      <c r="F87" s="11">
        <v>61388</v>
      </c>
      <c r="G87" s="11">
        <v>4114</v>
      </c>
      <c r="H87" s="119">
        <f>_xlfn.XLOOKUP(Table1[[#This Row],[Shipment Number]], 'pivot '!A:A,'pivot '!G:G, "NF")</f>
        <v>23.84773235813941</v>
      </c>
      <c r="I87" s="120">
        <f>Table1[[#This Row],[Tiyaar/gaz]]/1.0936</f>
        <v>3761.8873445501099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87" s="118"/>
    </row>
    <row r="88" spans="1:17" x14ac:dyDescent="0.3">
      <c r="A88" s="121">
        <v>46049</v>
      </c>
      <c r="B88" s="122" t="s">
        <v>21</v>
      </c>
      <c r="C88" s="118">
        <v>1403</v>
      </c>
      <c r="D88" s="118" t="s">
        <v>85</v>
      </c>
      <c r="E88" s="11">
        <v>2046</v>
      </c>
      <c r="F88" s="11">
        <v>100417</v>
      </c>
      <c r="G88" s="11">
        <v>2361</v>
      </c>
      <c r="H88" s="119">
        <f>_xlfn.XLOOKUP(Table1[[#This Row],[Shipment Number]], 'pivot '!A:A,'pivot '!G:G, "NF")</f>
        <v>93.895244686278559</v>
      </c>
      <c r="I88" s="120">
        <f>Table1[[#This Row],[Tiyaar/gaz]]/1.0936</f>
        <v>2158.924652523775</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88" s="118"/>
    </row>
    <row r="89" spans="1:17" x14ac:dyDescent="0.3">
      <c r="A89" s="121">
        <v>46049</v>
      </c>
      <c r="B89" s="122" t="s">
        <v>183</v>
      </c>
      <c r="C89" s="118">
        <v>1404</v>
      </c>
      <c r="D89" s="118" t="s">
        <v>207</v>
      </c>
      <c r="E89" s="11">
        <v>2012</v>
      </c>
      <c r="F89" s="11">
        <v>28546</v>
      </c>
      <c r="G89" s="11">
        <v>5143</v>
      </c>
      <c r="H89" s="119">
        <f>_xlfn.XLOOKUP(Table1[[#This Row],[Shipment Number]], 'pivot '!A:A,'pivot '!G:G, "NF")</f>
        <v>51.095373931811743</v>
      </c>
      <c r="I89" s="120">
        <f>Table1[[#This Row],[Tiyaar/gaz]]/1.0936</f>
        <v>4702.8163862472575</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89" s="118"/>
    </row>
    <row r="90" spans="1:17" x14ac:dyDescent="0.3">
      <c r="A90" s="121">
        <v>46049</v>
      </c>
      <c r="B90" s="122" t="s">
        <v>183</v>
      </c>
      <c r="C90" s="118">
        <v>1405</v>
      </c>
      <c r="D90" s="118" t="s">
        <v>207</v>
      </c>
      <c r="E90" s="11">
        <v>2015</v>
      </c>
      <c r="F90" s="11">
        <v>29087</v>
      </c>
      <c r="G90" s="11">
        <v>31183</v>
      </c>
      <c r="H90" s="119">
        <f>_xlfn.XLOOKUP(Table1[[#This Row],[Shipment Number]], 'pivot '!A:A,'pivot '!G:G, "NF")</f>
        <v>1.969670535853524</v>
      </c>
      <c r="I90" s="120">
        <f>Table1[[#This Row],[Tiyaar/gaz]]/1.0936</f>
        <v>28514.081931236287</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0" s="118"/>
    </row>
    <row r="91" spans="1:17" x14ac:dyDescent="0.3">
      <c r="A91" s="121">
        <v>46049</v>
      </c>
      <c r="B91" s="122" t="s">
        <v>183</v>
      </c>
      <c r="C91" s="118">
        <v>1406</v>
      </c>
      <c r="D91" s="118" t="s">
        <v>207</v>
      </c>
      <c r="E91" s="11">
        <v>2012</v>
      </c>
      <c r="F91" s="11">
        <v>28546</v>
      </c>
      <c r="G91" s="11">
        <v>10124</v>
      </c>
      <c r="H91" s="119">
        <f>_xlfn.XLOOKUP(Table1[[#This Row],[Shipment Number]], 'pivot '!A:A,'pivot '!G:G, "NF")</f>
        <v>51.095373931811743</v>
      </c>
      <c r="I91" s="120">
        <f>Table1[[#This Row],[Tiyaar/gaz]]/1.0936</f>
        <v>9257.4981711777618</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1" s="118"/>
    </row>
    <row r="92" spans="1:17" x14ac:dyDescent="0.3">
      <c r="A92" s="121">
        <v>46050</v>
      </c>
      <c r="B92" s="122" t="s">
        <v>219</v>
      </c>
      <c r="C92" s="118">
        <v>1407</v>
      </c>
      <c r="D92" s="118" t="s">
        <v>85</v>
      </c>
      <c r="E92" s="11">
        <v>2052</v>
      </c>
      <c r="F92" s="11">
        <v>72275</v>
      </c>
      <c r="G92" s="11">
        <v>19318</v>
      </c>
      <c r="H92" s="119">
        <f>_xlfn.XLOOKUP(Table1[[#This Row],[Shipment Number]], 'pivot '!A:A,'pivot '!G:G, "NF")</f>
        <v>1.7673849448772216</v>
      </c>
      <c r="I92" s="120">
        <f>Table1[[#This Row],[Tiyaar/gaz]]/1.0936</f>
        <v>17664.594001463058</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2" s="118"/>
    </row>
    <row r="93" spans="1:17" x14ac:dyDescent="0.3">
      <c r="A93" s="121">
        <v>46050</v>
      </c>
      <c r="B93" s="122" t="s">
        <v>219</v>
      </c>
      <c r="C93" s="118">
        <v>1408</v>
      </c>
      <c r="D93" s="118" t="s">
        <v>85</v>
      </c>
      <c r="E93" s="11">
        <v>2052</v>
      </c>
      <c r="F93" s="11">
        <v>72275</v>
      </c>
      <c r="G93" s="11">
        <v>21614</v>
      </c>
      <c r="H93" s="119">
        <f>_xlfn.XLOOKUP(Table1[[#This Row],[Shipment Number]], 'pivot '!A:A,'pivot '!G:G, "NF")</f>
        <v>1.7673849448772216</v>
      </c>
      <c r="I93" s="120">
        <f>Table1[[#This Row],[Tiyaar/gaz]]/1.0936</f>
        <v>19764.081931236287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3" s="118"/>
    </row>
    <row r="94" spans="1:17" x14ac:dyDescent="0.3">
      <c r="A94" s="121">
        <v>46050</v>
      </c>
      <c r="B94" s="122" t="s">
        <v>21</v>
      </c>
      <c r="C94" s="118">
        <v>1409</v>
      </c>
      <c r="D94" s="118" t="s">
        <v>85</v>
      </c>
      <c r="E94" s="11">
        <v>2061</v>
      </c>
      <c r="F94" s="11">
        <v>9163</v>
      </c>
      <c r="G94" s="11">
        <v>4740</v>
      </c>
      <c r="H94" s="119">
        <f>_xlfn.XLOOKUP(Table1[[#This Row],[Shipment Number]], 'pivot '!A:A,'pivot '!G:G, "NF")</f>
        <v>52.697711391532728</v>
      </c>
      <c r="I94" s="120">
        <f>Table1[[#This Row],[Tiyaar/gaz]]/1.0936</f>
        <v>4334.3087051938555</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4" s="118"/>
    </row>
    <row r="95" spans="1:17" x14ac:dyDescent="0.3">
      <c r="A95" s="121">
        <v>46050</v>
      </c>
      <c r="B95" s="122" t="s">
        <v>21</v>
      </c>
      <c r="C95" s="118">
        <v>1410</v>
      </c>
      <c r="D95" s="118" t="s">
        <v>85</v>
      </c>
      <c r="E95" s="11" t="s">
        <v>304</v>
      </c>
      <c r="F95" s="11">
        <v>38006</v>
      </c>
      <c r="G95" s="11">
        <v>24832</v>
      </c>
      <c r="H95" s="119">
        <f>_xlfn.XLOOKUP(Table1[[#This Row],[Shipment Number]], 'pivot '!A:A,'pivot '!G:G, "NF")</f>
        <v>23.84773235813941</v>
      </c>
      <c r="I95" s="120">
        <f>Table1[[#This Row],[Tiyaar/gaz]]/1.0936</f>
        <v>22706.656912948063</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5" s="118"/>
    </row>
    <row r="96" spans="1:17" x14ac:dyDescent="0.3">
      <c r="A96" s="121">
        <v>46050</v>
      </c>
      <c r="B96" s="122" t="s">
        <v>21</v>
      </c>
      <c r="C96" s="118">
        <v>1411</v>
      </c>
      <c r="D96" s="118" t="s">
        <v>85</v>
      </c>
      <c r="E96" s="11" t="s">
        <v>304</v>
      </c>
      <c r="F96" s="11">
        <v>38006</v>
      </c>
      <c r="G96" s="11">
        <v>22178</v>
      </c>
      <c r="H96" s="119">
        <f>_xlfn.XLOOKUP(Table1[[#This Row],[Shipment Number]], 'pivot '!A:A,'pivot '!G:G, "NF")</f>
        <v>23.84773235813941</v>
      </c>
      <c r="I96" s="120">
        <f>Table1[[#This Row],[Tiyaar/gaz]]/1.0936</f>
        <v>20279.809802487202</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6" s="118"/>
      <c r="O96"/>
      <c r="P96"/>
      <c r="Q96"/>
    </row>
    <row r="97" spans="1:18" x14ac:dyDescent="0.3">
      <c r="A97" s="121">
        <v>46050</v>
      </c>
      <c r="B97" s="122" t="s">
        <v>27</v>
      </c>
      <c r="C97" s="118">
        <v>1412</v>
      </c>
      <c r="D97" s="118" t="s">
        <v>85</v>
      </c>
      <c r="E97" s="11">
        <v>1989</v>
      </c>
      <c r="F97" s="11">
        <v>61388</v>
      </c>
      <c r="G97" s="11">
        <v>16954</v>
      </c>
      <c r="H97" s="119">
        <f>_xlfn.XLOOKUP(Table1[[#This Row],[Shipment Number]], 'pivot '!A:A,'pivot '!G:G, "NF")</f>
        <v>68.208320000777903</v>
      </c>
      <c r="I97" s="120">
        <f>Table1[[#This Row],[Tiyaar/gaz]]/1.0936</f>
        <v>15502.926115581568</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97" s="118"/>
      <c r="O97"/>
      <c r="P97"/>
      <c r="Q97"/>
    </row>
    <row r="98" spans="1:18" x14ac:dyDescent="0.3">
      <c r="A98"/>
      <c r="B98"/>
      <c r="C98"/>
      <c r="D98"/>
      <c r="E98" s="14"/>
      <c r="F98" s="14"/>
      <c r="G98" s="14"/>
      <c r="H98" s="43"/>
      <c r="I98" s="94" cm="1">
        <f t="array" aca="1" ref="I98" ca="1">SUMPRODUCT( SUBTOTAL(109, OFFSET(Table1[tiyar/meters], ROW(Table1[tiyar/meters])-MIN(ROW(Table1[tiyar/meters])), 0, 1)), --(Table1[Bill Number]&lt;&gt;"December Closing CF") )</f>
        <v>530073.15288953914</v>
      </c>
      <c r="J98" s="43" cm="1">
        <f t="array" aca="1" ref="J98" ca="1">SUMPRODUCT( SUBTOTAL(109, OFFSET(Table1[billing], ROW(Table1[billing])-MIN(ROW(Table1[billing])), 0, 1)), --(Table1[Bill Number]&lt;&gt;"December Closing CF") )</f>
        <v>5622027.2494513551</v>
      </c>
      <c r="K98" s="14">
        <f>SUMIFS(Table1[billing], Table1[Bill Number], "&lt;&gt;December Closing CF")</f>
        <v>5622027.2494513551</v>
      </c>
      <c r="L98"/>
      <c r="M98"/>
      <c r="O98"/>
      <c r="P98"/>
      <c r="Q98"/>
    </row>
    <row r="99" spans="1:18" x14ac:dyDescent="0.3">
      <c r="M99"/>
      <c r="P99"/>
      <c r="Q99"/>
      <c r="R99"/>
    </row>
    <row r="100" spans="1:18" x14ac:dyDescent="0.3">
      <c r="M100"/>
      <c r="P100"/>
      <c r="Q100"/>
      <c r="R100"/>
    </row>
    <row r="101" spans="1:18" x14ac:dyDescent="0.3">
      <c r="M101"/>
      <c r="P101"/>
      <c r="Q101"/>
      <c r="R101"/>
    </row>
    <row r="102" spans="1:18" x14ac:dyDescent="0.3">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9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6" zoomScale="145" zoomScaleNormal="90" workbookViewId="0">
      <selection activeCell="I12" sqref="I1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2166945</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788220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c r="O9" s="14"/>
      <c r="P9" s="14"/>
    </row>
    <row r="10" spans="1:16" x14ac:dyDescent="0.3">
      <c r="A10" s="85">
        <v>46042</v>
      </c>
      <c r="B10" s="4" t="s">
        <v>198</v>
      </c>
      <c r="C10" s="82" t="s">
        <v>95</v>
      </c>
      <c r="D10" s="11"/>
      <c r="E10" s="11"/>
      <c r="F10" s="11"/>
      <c r="G10" s="11"/>
      <c r="H10" s="11"/>
      <c r="I10" s="84">
        <v>81306</v>
      </c>
      <c r="K10" s="11"/>
      <c r="L10" s="42" t="s">
        <v>103</v>
      </c>
      <c r="M10" s="14"/>
      <c r="N10" s="14"/>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5324409</v>
      </c>
    </row>
    <row r="12" spans="1:16" x14ac:dyDescent="0.3">
      <c r="A12" s="1"/>
      <c r="B12" s="4"/>
      <c r="D12" s="11"/>
      <c r="E12" s="11"/>
      <c r="F12" s="11"/>
      <c r="G12" s="11"/>
      <c r="H12" s="11"/>
      <c r="I12" s="11"/>
      <c r="K12" s="11"/>
      <c r="L12" s="42" t="s">
        <v>95</v>
      </c>
      <c r="M12" s="14"/>
      <c r="N12" s="14">
        <v>0</v>
      </c>
      <c r="O12" s="14">
        <v>0</v>
      </c>
      <c r="P12" s="14">
        <v>5324409</v>
      </c>
    </row>
    <row r="13" spans="1:16" x14ac:dyDescent="0.3">
      <c r="A13" s="1"/>
      <c r="D13" s="11"/>
      <c r="E13" s="11"/>
      <c r="F13" s="11"/>
      <c r="G13" s="11"/>
      <c r="H13" s="11"/>
      <c r="I13" s="11"/>
      <c r="K13" s="11"/>
      <c r="L13" s="26">
        <v>46044</v>
      </c>
      <c r="M13" s="14">
        <v>344</v>
      </c>
      <c r="N13" s="14">
        <v>282080</v>
      </c>
      <c r="O13" s="14"/>
      <c r="P13" s="14">
        <v>282080</v>
      </c>
    </row>
    <row r="14" spans="1:16" x14ac:dyDescent="0.3">
      <c r="A14" s="1"/>
      <c r="D14" s="11"/>
      <c r="E14" s="11"/>
      <c r="F14" s="11"/>
      <c r="G14" s="11"/>
      <c r="H14" s="11"/>
      <c r="I14" s="11"/>
      <c r="K14" s="11"/>
      <c r="L14" s="42" t="s">
        <v>103</v>
      </c>
      <c r="M14" s="14">
        <v>344</v>
      </c>
      <c r="N14" s="14">
        <v>282080</v>
      </c>
      <c r="O14" s="14"/>
      <c r="P14" s="14">
        <v>282080</v>
      </c>
    </row>
    <row r="15" spans="1:16" x14ac:dyDescent="0.3">
      <c r="A15" s="1"/>
      <c r="D15" s="11"/>
      <c r="E15" s="11"/>
      <c r="F15" s="11"/>
      <c r="G15" s="11"/>
      <c r="H15" s="11"/>
      <c r="I15" s="11"/>
      <c r="K15" s="11"/>
      <c r="L15" s="26">
        <v>46048</v>
      </c>
      <c r="M15" s="14">
        <v>132</v>
      </c>
      <c r="N15" s="14">
        <v>76560</v>
      </c>
      <c r="O15" s="14"/>
      <c r="P15" s="14">
        <v>76560</v>
      </c>
    </row>
    <row r="16" spans="1:16" x14ac:dyDescent="0.3">
      <c r="A16" s="1"/>
      <c r="D16" s="11"/>
      <c r="E16" s="11"/>
      <c r="F16" s="11"/>
      <c r="G16" s="11"/>
      <c r="H16" s="11"/>
      <c r="I16" s="11"/>
      <c r="K16" s="11"/>
      <c r="L16" s="42" t="s">
        <v>103</v>
      </c>
      <c r="M16" s="14">
        <v>132</v>
      </c>
      <c r="N16" s="14">
        <v>76560</v>
      </c>
      <c r="O16" s="14"/>
      <c r="P16" s="14">
        <v>76560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D19*E19</f>
        <v>178760</v>
      </c>
      <c r="H19" s="11"/>
      <c r="I19" s="11">
        <f>(D19*E19)-[1]!Table3[[#This Row],[Paid]]</f>
        <v>178760</v>
      </c>
      <c r="L19" s="26">
        <v>46050</v>
      </c>
      <c r="M19" s="14">
        <v>204</v>
      </c>
      <c r="N19" s="14">
        <v>132165</v>
      </c>
      <c r="O19" s="14"/>
      <c r="P19" s="14">
        <v>132165</v>
      </c>
    </row>
    <row r="20" spans="1:16" x14ac:dyDescent="0.3">
      <c r="A20" s="1">
        <v>46044</v>
      </c>
      <c r="B20" t="s">
        <v>218</v>
      </c>
      <c r="D20" s="11">
        <v>126</v>
      </c>
      <c r="E20" s="11">
        <v>820</v>
      </c>
      <c r="F20" s="11"/>
      <c r="G20" s="11">
        <f>D20*E20</f>
        <v>103320</v>
      </c>
      <c r="H20" s="11"/>
      <c r="I20" s="11">
        <f>(D20*E20)-[1]!Table3[[#This Row],[Paid]]</f>
        <v>103320</v>
      </c>
      <c r="L20" s="42" t="s">
        <v>103</v>
      </c>
      <c r="M20" s="14">
        <v>204</v>
      </c>
      <c r="N20" s="14">
        <v>132165</v>
      </c>
      <c r="O20" s="14"/>
      <c r="P20" s="14">
        <v>132165</v>
      </c>
    </row>
    <row r="21" spans="1:16" x14ac:dyDescent="0.3">
      <c r="A21" s="1">
        <v>46048</v>
      </c>
      <c r="B21" t="s">
        <v>169</v>
      </c>
      <c r="D21" s="11">
        <v>132</v>
      </c>
      <c r="E21" s="11">
        <v>580</v>
      </c>
      <c r="F21" s="11"/>
      <c r="G21" s="11">
        <f>D21*E21</f>
        <v>76560</v>
      </c>
      <c r="H21" s="11"/>
      <c r="I21" s="11">
        <f>(D21*E21)-[1]!Table3[[#This Row],[Paid]]</f>
        <v>76560</v>
      </c>
      <c r="L21" s="26" t="s">
        <v>28</v>
      </c>
      <c r="M21" s="14">
        <v>1050</v>
      </c>
      <c r="N21" s="14">
        <v>788220</v>
      </c>
      <c r="O21" s="14">
        <v>0</v>
      </c>
      <c r="P21" s="14">
        <v>6112629</v>
      </c>
    </row>
    <row r="22" spans="1:16" x14ac:dyDescent="0.3">
      <c r="A22" s="1">
        <v>46049</v>
      </c>
      <c r="B22" t="s">
        <v>169</v>
      </c>
      <c r="D22" s="11">
        <v>133</v>
      </c>
      <c r="E22" s="11">
        <v>775</v>
      </c>
      <c r="F22" s="11"/>
      <c r="G22" s="11">
        <f>D22*E22</f>
        <v>103075</v>
      </c>
      <c r="H22" s="11"/>
      <c r="I22" s="11">
        <f>(D22*E22)-[1]!Table3[[#This Row],[Paid]]</f>
        <v>103075</v>
      </c>
    </row>
    <row r="23" spans="1:16" x14ac:dyDescent="0.3">
      <c r="A23" s="1">
        <v>46050</v>
      </c>
      <c r="B23" t="s">
        <v>169</v>
      </c>
      <c r="D23" s="11">
        <v>24</v>
      </c>
      <c r="E23" s="11">
        <v>775</v>
      </c>
      <c r="F23" s="11"/>
      <c r="G23" s="11">
        <f>D23*E23</f>
        <v>18600</v>
      </c>
      <c r="H23" s="11"/>
      <c r="I23" s="11">
        <f>(D23*E23)-[1]!Table3[[#This Row],[Paid]]</f>
        <v>18600</v>
      </c>
    </row>
    <row r="24" spans="1:16" x14ac:dyDescent="0.3">
      <c r="A24" s="1">
        <v>46050</v>
      </c>
      <c r="B24" t="s">
        <v>169</v>
      </c>
      <c r="D24" s="11">
        <v>48</v>
      </c>
      <c r="E24" s="11">
        <v>580</v>
      </c>
      <c r="F24" s="11"/>
      <c r="G24" s="11">
        <f>D24*E24</f>
        <v>27840</v>
      </c>
      <c r="H24" s="11"/>
      <c r="I24" s="11">
        <f>(D24*E24)-[1]!Table3[[#This Row],[Paid]]</f>
        <v>27840</v>
      </c>
    </row>
    <row r="25" spans="1:16" x14ac:dyDescent="0.3">
      <c r="A25" s="1">
        <v>46050</v>
      </c>
      <c r="B25" t="s">
        <v>169</v>
      </c>
      <c r="D25" s="11">
        <v>85</v>
      </c>
      <c r="E25" s="11">
        <v>580</v>
      </c>
      <c r="F25" s="11"/>
      <c r="G25" s="11">
        <f>D25*E25</f>
        <v>49300</v>
      </c>
      <c r="H25" s="11"/>
      <c r="I25" s="11">
        <f>(D25*E25)-[1]!Table3[[#This Row],[Paid]]</f>
        <v>49300</v>
      </c>
    </row>
    <row r="26" spans="1:16" x14ac:dyDescent="0.3">
      <c r="A26" s="1">
        <v>46050</v>
      </c>
      <c r="B26" t="s">
        <v>169</v>
      </c>
      <c r="D26" s="11">
        <v>47</v>
      </c>
      <c r="E26" s="11">
        <v>775</v>
      </c>
      <c r="F26" s="11"/>
      <c r="G26" s="11">
        <f>D26*E26</f>
        <v>36425</v>
      </c>
      <c r="H26" s="11"/>
      <c r="I26" s="11">
        <f>(D26*E26)-[1]!Table3[[#This Row],[Paid]]</f>
        <v>36425</v>
      </c>
    </row>
    <row r="27" spans="1:16" x14ac:dyDescent="0.3">
      <c r="A27" s="1">
        <v>46049</v>
      </c>
      <c r="B27" t="s">
        <v>196</v>
      </c>
      <c r="D27" s="11">
        <v>237</v>
      </c>
      <c r="E27" s="11">
        <v>820</v>
      </c>
      <c r="F27" s="11"/>
      <c r="G27" s="11">
        <f>D27*E27</f>
        <v>194340</v>
      </c>
      <c r="H27" s="11"/>
      <c r="I27" s="11">
        <f>(D27*E27)-[1]!Table3[[#This Row],[Paid]]</f>
        <v>194340</v>
      </c>
    </row>
    <row r="28" spans="1:16" x14ac:dyDescent="0.3">
      <c r="A28" s="1"/>
      <c r="D28" s="11"/>
      <c r="E28" s="11"/>
      <c r="F28" s="11"/>
      <c r="G28" s="11"/>
      <c r="H28" s="11"/>
      <c r="I28" s="11"/>
    </row>
    <row r="29" spans="1:16" x14ac:dyDescent="0.3">
      <c r="A29" s="1"/>
      <c r="D29" s="11"/>
      <c r="E29" s="11"/>
      <c r="F29" s="11"/>
      <c r="G29" s="11"/>
      <c r="H29" s="11"/>
      <c r="I29" s="11"/>
      <c r="K29" s="14"/>
    </row>
    <row r="30" spans="1:16" x14ac:dyDescent="0.3">
      <c r="A30" s="1"/>
      <c r="D30" s="11"/>
      <c r="E30" s="11"/>
      <c r="F30" s="11"/>
      <c r="G30" s="11"/>
      <c r="H30" s="11"/>
      <c r="I30" s="11"/>
    </row>
    <row r="31" spans="1:16" x14ac:dyDescent="0.3">
      <c r="A31" s="1"/>
      <c r="D31" s="11"/>
      <c r="E31" s="11"/>
      <c r="F31" s="11"/>
      <c r="G31" s="11"/>
      <c r="H31" s="11"/>
      <c r="I31" s="11"/>
    </row>
    <row r="32" spans="1:16" x14ac:dyDescent="0.3">
      <c r="A32" s="1"/>
      <c r="D32" s="11"/>
      <c r="E32" s="11"/>
      <c r="F32" s="11"/>
      <c r="G32" s="11"/>
      <c r="H32" s="11"/>
      <c r="I32" s="11"/>
    </row>
    <row r="33" spans="1:9" x14ac:dyDescent="0.3">
      <c r="A33" s="1"/>
      <c r="D33" s="11"/>
      <c r="E33" s="123"/>
      <c r="F33" s="11"/>
      <c r="G33" s="11"/>
      <c r="H33" s="11"/>
      <c r="I33" s="11"/>
    </row>
    <row r="34" spans="1:9" x14ac:dyDescent="0.3">
      <c r="A34" s="1"/>
      <c r="D34" s="11"/>
      <c r="E34" s="11"/>
      <c r="F34" s="11"/>
      <c r="G34" s="11"/>
      <c r="H34" s="11"/>
      <c r="I34" s="11"/>
    </row>
    <row r="35" spans="1:9" x14ac:dyDescent="0.3">
      <c r="A35" s="1"/>
      <c r="D35" s="11"/>
      <c r="E35" s="11"/>
      <c r="F35" s="11"/>
      <c r="G35" s="11"/>
      <c r="H35" s="11"/>
      <c r="I35" s="11"/>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c r="H81" s="11"/>
      <c r="I81" s="11"/>
    </row>
    <row r="82" spans="1:9" x14ac:dyDescent="0.3">
      <c r="A82" s="1"/>
      <c r="D82" s="11"/>
      <c r="E82" s="11"/>
      <c r="F82" s="11"/>
      <c r="G82" s="11"/>
      <c r="H82" s="11"/>
      <c r="I82" s="11"/>
    </row>
    <row r="83" spans="1:9" x14ac:dyDescent="0.3">
      <c r="A83" s="1"/>
      <c r="D83" s="11"/>
      <c r="E83" s="11"/>
      <c r="F83" s="11"/>
      <c r="G83" s="11"/>
      <c r="H83" s="11"/>
      <c r="I83" s="11"/>
    </row>
    <row r="84" spans="1:9" x14ac:dyDescent="0.3">
      <c r="A84" s="1"/>
      <c r="D84" s="11"/>
      <c r="E84" s="11"/>
      <c r="F84" s="11"/>
      <c r="G84" s="11"/>
      <c r="H84" s="11"/>
      <c r="I84" s="11"/>
    </row>
    <row r="85" spans="1:9" x14ac:dyDescent="0.3">
      <c r="A85" s="1"/>
      <c r="D85" s="11"/>
      <c r="E85" s="11"/>
      <c r="F85" s="11"/>
      <c r="G85" s="11"/>
      <c r="H85" s="11"/>
      <c r="I85" s="11"/>
    </row>
    <row r="86" spans="1:9" x14ac:dyDescent="0.3">
      <c r="A86" s="1"/>
      <c r="D86" s="11"/>
      <c r="E86" s="11"/>
      <c r="F86" s="11"/>
      <c r="G86" s="11"/>
      <c r="H86" s="11"/>
      <c r="I86" s="11"/>
    </row>
    <row r="87" spans="1:9" x14ac:dyDescent="0.3">
      <c r="A87" s="1"/>
      <c r="D87" s="11"/>
      <c r="E87" s="11"/>
      <c r="F87" s="11"/>
      <c r="G87" s="11"/>
      <c r="H87" s="11"/>
      <c r="I87" s="11"/>
    </row>
    <row r="88" spans="1:9" x14ac:dyDescent="0.3">
      <c r="A88" s="1"/>
      <c r="D88" s="11"/>
      <c r="E88" s="11"/>
      <c r="F88" s="11"/>
      <c r="G88" s="11"/>
      <c r="H88" s="11"/>
      <c r="I88" s="11"/>
    </row>
    <row r="89" spans="1:9" x14ac:dyDescent="0.3">
      <c r="A89" s="1"/>
      <c r="D89" s="11"/>
      <c r="E89" s="11"/>
      <c r="F89" s="11"/>
      <c r="G89" s="11"/>
      <c r="H89" s="11"/>
      <c r="I89" s="11"/>
    </row>
    <row r="90" spans="1:9" x14ac:dyDescent="0.3">
      <c r="A90" s="1"/>
      <c r="D90" s="11"/>
      <c r="E90" s="11"/>
      <c r="F90" s="11"/>
      <c r="G90" s="11"/>
      <c r="H90" s="11"/>
      <c r="I90" s="11"/>
    </row>
    <row r="91" spans="1:9" x14ac:dyDescent="0.3">
      <c r="A91" s="1"/>
      <c r="D91" s="11"/>
      <c r="E91" s="11"/>
      <c r="F91" s="11"/>
      <c r="G91" s="11"/>
      <c r="H91" s="11"/>
      <c r="I91" s="11"/>
    </row>
    <row r="92" spans="1:9" x14ac:dyDescent="0.3">
      <c r="A92" s="1"/>
      <c r="D92" s="11"/>
      <c r="E92" s="11"/>
      <c r="F92" s="11"/>
      <c r="G92" s="11"/>
      <c r="H92" s="11"/>
      <c r="I92" s="11"/>
    </row>
    <row r="93" spans="1:9" x14ac:dyDescent="0.3">
      <c r="A93" s="1"/>
      <c r="D93" s="11"/>
      <c r="E93" s="11"/>
      <c r="F93" s="11"/>
      <c r="G93" s="11"/>
      <c r="H93" s="11"/>
      <c r="I93" s="11"/>
    </row>
    <row r="94" spans="1:9" x14ac:dyDescent="0.3">
      <c r="A94" s="1"/>
      <c r="D94" s="11"/>
      <c r="E94" s="11"/>
      <c r="F94" s="11"/>
      <c r="G94" s="11"/>
      <c r="H94" s="11"/>
      <c r="I94" s="11"/>
    </row>
    <row r="95" spans="1:9" x14ac:dyDescent="0.3">
      <c r="A95" s="1"/>
      <c r="D95" s="11"/>
      <c r="E95" s="11"/>
      <c r="F95" s="11"/>
      <c r="G95" s="11"/>
      <c r="H95" s="11"/>
      <c r="I95" s="11"/>
    </row>
    <row r="96" spans="1:9" x14ac:dyDescent="0.3">
      <c r="A96" s="1"/>
      <c r="D96" s="11"/>
      <c r="E96" s="11"/>
      <c r="F96" s="11"/>
      <c r="G96" s="11"/>
      <c r="H96" s="11"/>
      <c r="I96" s="11"/>
    </row>
    <row r="97" spans="1:9" x14ac:dyDescent="0.3">
      <c r="A97" s="1"/>
      <c r="D97" s="11"/>
      <c r="E97" s="11"/>
      <c r="F97" s="11"/>
      <c r="G97" s="11"/>
      <c r="H97" s="11"/>
      <c r="I97" s="11"/>
    </row>
    <row r="98" spans="1:9" x14ac:dyDescent="0.3">
      <c r="A98" s="1"/>
      <c r="D98" s="11"/>
      <c r="E98" s="11"/>
      <c r="F98" s="11"/>
      <c r="G98" s="11"/>
      <c r="H98" s="11"/>
      <c r="I98" s="11"/>
    </row>
    <row r="99" spans="1:9" x14ac:dyDescent="0.3">
      <c r="A99" s="1"/>
      <c r="D99" s="11"/>
      <c r="E99" s="11"/>
      <c r="F99" s="11"/>
      <c r="G99" s="11"/>
      <c r="H99" s="11"/>
      <c r="I99" s="11"/>
    </row>
    <row r="100" spans="1:9" x14ac:dyDescent="0.3">
      <c r="A100" s="1"/>
      <c r="D100" s="11"/>
      <c r="E100" s="11"/>
      <c r="F100" s="11"/>
      <c r="G100" s="11"/>
      <c r="H100" s="11"/>
      <c r="I100" s="11"/>
    </row>
    <row r="101" spans="1:9" x14ac:dyDescent="0.3">
      <c r="A101" s="1"/>
      <c r="D101" s="11"/>
      <c r="E101" s="11"/>
      <c r="F101" s="11"/>
      <c r="G101" s="11"/>
      <c r="H101" s="11"/>
      <c r="I101" s="11"/>
    </row>
    <row r="102" spans="1:9" x14ac:dyDescent="0.3">
      <c r="A102" s="1"/>
      <c r="D102" s="11"/>
      <c r="E102" s="11"/>
      <c r="F102" s="11"/>
      <c r="G102" s="11"/>
      <c r="H102" s="11"/>
      <c r="I102" s="11"/>
    </row>
    <row r="103" spans="1:9" x14ac:dyDescent="0.3">
      <c r="A103" s="1"/>
      <c r="D103" s="11"/>
      <c r="E103" s="11"/>
      <c r="F103" s="11"/>
      <c r="G103" s="11"/>
      <c r="H103" s="11"/>
      <c r="I103" s="11"/>
    </row>
    <row r="104" spans="1:9" x14ac:dyDescent="0.3">
      <c r="A104" s="1"/>
      <c r="D104" s="11"/>
      <c r="E104" s="11"/>
      <c r="F104" s="11"/>
      <c r="G104" s="11"/>
      <c r="H104" s="11"/>
      <c r="I104" s="11"/>
    </row>
    <row r="105" spans="1:9" x14ac:dyDescent="0.3">
      <c r="A105" s="1"/>
      <c r="D105" s="11"/>
      <c r="E105" s="11"/>
      <c r="F105" s="11"/>
      <c r="G105" s="11"/>
      <c r="H105" s="11"/>
      <c r="I105" s="11"/>
    </row>
    <row r="106" spans="1:9" x14ac:dyDescent="0.3">
      <c r="A106" s="1"/>
      <c r="D106" s="11"/>
      <c r="E106" s="11"/>
      <c r="F106" s="11"/>
      <c r="G106" s="11"/>
      <c r="H106" s="11"/>
      <c r="I106" s="11"/>
    </row>
    <row r="107" spans="1:9" x14ac:dyDescent="0.3">
      <c r="A107" s="1"/>
      <c r="D107" s="11"/>
      <c r="E107" s="11"/>
      <c r="F107" s="11"/>
      <c r="G107" s="11"/>
      <c r="H107" s="11"/>
      <c r="I107" s="11"/>
    </row>
    <row r="108" spans="1:9" x14ac:dyDescent="0.3">
      <c r="A108" s="1"/>
      <c r="D108" s="11"/>
      <c r="E108" s="11"/>
      <c r="F108" s="11"/>
      <c r="G108" s="11"/>
      <c r="H108" s="11"/>
      <c r="I108" s="11"/>
    </row>
    <row r="109" spans="1:9" x14ac:dyDescent="0.3">
      <c r="A109" s="1"/>
      <c r="D109" s="11"/>
      <c r="E109" s="11"/>
      <c r="F109" s="11"/>
      <c r="G109" s="11"/>
      <c r="H109" s="11"/>
      <c r="I109" s="11"/>
    </row>
    <row r="110" spans="1:9" x14ac:dyDescent="0.3">
      <c r="A110" s="1"/>
      <c r="D110" s="11"/>
      <c r="E110" s="11"/>
      <c r="F110" s="11"/>
      <c r="G110" s="11"/>
      <c r="H110" s="11"/>
      <c r="I110" s="11"/>
    </row>
    <row r="111" spans="1:9" x14ac:dyDescent="0.3">
      <c r="A111" s="1"/>
      <c r="D111" s="11"/>
      <c r="E111" s="11"/>
      <c r="F111" s="11"/>
      <c r="G111" s="11"/>
      <c r="H111" s="11"/>
      <c r="I111" s="11"/>
    </row>
    <row r="112" spans="1:9" x14ac:dyDescent="0.3">
      <c r="A112" s="1"/>
      <c r="D112" s="11"/>
      <c r="E112" s="11"/>
      <c r="F112" s="11"/>
      <c r="G112" s="11"/>
      <c r="H112" s="11"/>
      <c r="I112" s="11"/>
    </row>
    <row r="113" spans="1:9" x14ac:dyDescent="0.3">
      <c r="A113" s="1"/>
      <c r="D113" s="11"/>
      <c r="E113" s="11"/>
      <c r="F113" s="11"/>
      <c r="G113" s="11"/>
      <c r="H113" s="11"/>
      <c r="I113" s="11"/>
    </row>
    <row r="114" spans="1:9" x14ac:dyDescent="0.3">
      <c r="A114" s="1"/>
      <c r="D114" s="11"/>
      <c r="E114" s="11"/>
      <c r="F114" s="11"/>
      <c r="G114" s="11"/>
      <c r="H114" s="11"/>
      <c r="I114" s="11"/>
    </row>
    <row r="115" spans="1:9" x14ac:dyDescent="0.3">
      <c r="A115" s="1"/>
      <c r="D115" s="11"/>
      <c r="E115" s="11"/>
      <c r="F115" s="11"/>
      <c r="G115" s="11"/>
      <c r="H115" s="11"/>
      <c r="I115" s="11"/>
    </row>
    <row r="116" spans="1:9" x14ac:dyDescent="0.3">
      <c r="A116" s="1"/>
      <c r="D116" s="11"/>
      <c r="E116" s="11"/>
      <c r="F116" s="11"/>
      <c r="G116" s="11"/>
      <c r="H116" s="11"/>
      <c r="I116" s="11"/>
    </row>
    <row r="117" spans="1:9" x14ac:dyDescent="0.3">
      <c r="A117" s="1"/>
      <c r="D117" s="11"/>
      <c r="E117" s="11"/>
      <c r="F117" s="11"/>
      <c r="G117" s="11"/>
      <c r="H117" s="11"/>
      <c r="I117" s="11"/>
    </row>
    <row r="118" spans="1:9" x14ac:dyDescent="0.3">
      <c r="A118" s="1"/>
      <c r="D118" s="11"/>
      <c r="E118" s="11"/>
      <c r="F118" s="11"/>
      <c r="G118" s="11"/>
      <c r="H118" s="11"/>
      <c r="I118" s="11"/>
    </row>
    <row r="119" spans="1:9" x14ac:dyDescent="0.3">
      <c r="A119" s="1"/>
      <c r="D119" s="11"/>
      <c r="E119" s="11"/>
      <c r="F119" s="11"/>
      <c r="G119" s="11"/>
      <c r="H119" s="11"/>
      <c r="I119" s="11"/>
    </row>
    <row r="120" spans="1:9" x14ac:dyDescent="0.3">
      <c r="A120" s="1"/>
      <c r="D120" s="11"/>
      <c r="E120" s="11"/>
      <c r="F120" s="11"/>
      <c r="G120" s="11"/>
      <c r="H120" s="11"/>
      <c r="I120" s="11"/>
    </row>
    <row r="121" spans="1:9" x14ac:dyDescent="0.3">
      <c r="A121" s="1"/>
      <c r="D121" s="11"/>
      <c r="E121" s="11"/>
      <c r="F121" s="11"/>
      <c r="G121" s="11"/>
      <c r="H121" s="11"/>
      <c r="I121" s="11"/>
    </row>
    <row r="122" spans="1:9" x14ac:dyDescent="0.3">
      <c r="A122" s="1"/>
      <c r="D122" s="14"/>
      <c r="E122" s="14"/>
      <c r="F122" s="14"/>
      <c r="G122" s="14">
        <f>SUBTOTAL(109,Table3[Total])</f>
        <v>788220</v>
      </c>
      <c r="H122" s="14">
        <f>SUBTOTAL(109,Table3[Paid])</f>
        <v>0</v>
      </c>
      <c r="I122" s="14">
        <f>SUBTOTAL(109,Table3[balance])</f>
        <v>6112629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93" zoomScale="158" workbookViewId="0">
      <selection activeCell="B99" sqref="B9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3848387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30">
        <v>46042</v>
      </c>
      <c r="B4" s="81" t="s">
        <v>222</v>
      </c>
      <c r="C4" s="11">
        <v>3036240</v>
      </c>
      <c r="D4" s="87"/>
      <c r="E4" s="81" t="s">
        <v>275</v>
      </c>
      <c r="F4" s="88" t="s">
        <v>108</v>
      </c>
      <c r="J4" s="45" t="s">
        <v>70</v>
      </c>
      <c r="K4" s="46">
        <f>Table14[[#Totals],[Debit]]</f>
        <v>6026701</v>
      </c>
      <c r="M4" s="45" t="s">
        <v>107</v>
      </c>
      <c r="N4" s="51">
        <f>SUMIFS(Table14[Withdrawal],Table14[Party],"Cash",Table14[Mode],"Transfer")</f>
        <v>0</v>
      </c>
    </row>
    <row r="5" spans="1:16" x14ac:dyDescent="0.3">
      <c r="A5" s="130">
        <v>46042</v>
      </c>
      <c r="B5" s="81" t="s">
        <v>224</v>
      </c>
      <c r="C5" s="11">
        <v>734060</v>
      </c>
      <c r="D5" s="87"/>
      <c r="E5" s="81" t="s">
        <v>275</v>
      </c>
      <c r="F5" s="88" t="s">
        <v>108</v>
      </c>
      <c r="J5" s="45" t="s">
        <v>69</v>
      </c>
      <c r="K5" s="46">
        <f>Table14[[#Totals],[Credit]]</f>
        <v>6550762</v>
      </c>
      <c r="M5" s="45" t="s">
        <v>108</v>
      </c>
      <c r="N5" s="46">
        <f>(SUMIFS(Table14[Credit],Table14[Mode],"Bank")-SUMIFS(Table14[Debit],Table14[Mode],"Bank")-SUMIFS(Table14[Withdrawal],Table14[Mode],"Transfer"))</f>
        <v>1134977</v>
      </c>
      <c r="O5">
        <v>360000</v>
      </c>
    </row>
    <row r="6" spans="1:16" x14ac:dyDescent="0.3">
      <c r="A6" s="115">
        <v>46014</v>
      </c>
      <c r="B6" s="81" t="s">
        <v>212</v>
      </c>
      <c r="C6" s="11"/>
      <c r="D6" s="87">
        <v>562846</v>
      </c>
      <c r="E6" s="81" t="s">
        <v>275</v>
      </c>
      <c r="F6" s="88" t="s">
        <v>108</v>
      </c>
      <c r="J6" s="52" t="s">
        <v>43</v>
      </c>
      <c r="K6" s="53">
        <f>(K5-K4)</f>
        <v>524061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524061</v>
      </c>
      <c r="O7" s="90">
        <f>SUM(O5,O6)</f>
        <v>410000</v>
      </c>
      <c r="P7" s="14">
        <f>Table18[[#Totals],[amount]]-Table18[[#Totals],[Actual]]</f>
        <v>114061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30">
        <v>46048</v>
      </c>
      <c r="B59" t="s">
        <v>195</v>
      </c>
      <c r="C59" s="11">
        <v>159250</v>
      </c>
      <c r="D59" s="11"/>
      <c r="E59" t="s">
        <v>64</v>
      </c>
      <c r="F59" s="111" t="s">
        <v>108</v>
      </c>
    </row>
    <row r="60" spans="1:6" x14ac:dyDescent="0.3">
      <c r="A60" s="130">
        <v>46048</v>
      </c>
      <c r="B60" t="s">
        <v>222</v>
      </c>
      <c r="C60" s="11"/>
      <c r="D60" s="11">
        <v>159250</v>
      </c>
      <c r="E60" t="s">
        <v>285</v>
      </c>
      <c r="F60" s="111" t="s">
        <v>108</v>
      </c>
    </row>
    <row r="61" spans="1:6" x14ac:dyDescent="0.3">
      <c r="A61" s="130">
        <v>46048</v>
      </c>
      <c r="B61" t="s">
        <v>198</v>
      </c>
      <c r="C61" s="11">
        <v>46360</v>
      </c>
      <c r="D61" s="11"/>
      <c r="E61" t="s">
        <v>216</v>
      </c>
      <c r="F61" s="111" t="s">
        <v>108</v>
      </c>
    </row>
    <row r="62" spans="1:6" x14ac:dyDescent="0.3">
      <c r="A62" s="130">
        <v>46048</v>
      </c>
      <c r="B62" t="s">
        <v>55</v>
      </c>
      <c r="C62" s="11">
        <v>1880</v>
      </c>
      <c r="D62" s="11"/>
      <c r="E62" t="s">
        <v>277</v>
      </c>
      <c r="F62" s="111" t="s">
        <v>108</v>
      </c>
    </row>
    <row r="63" spans="1:6" x14ac:dyDescent="0.3">
      <c r="A63" s="130">
        <v>46048</v>
      </c>
      <c r="B63" t="s">
        <v>55</v>
      </c>
      <c r="C63" s="11">
        <v>530</v>
      </c>
      <c r="D63" s="11"/>
      <c r="F63" s="111" t="s">
        <v>108</v>
      </c>
    </row>
    <row r="64" spans="1:6" x14ac:dyDescent="0.3">
      <c r="A64" s="130">
        <v>46048</v>
      </c>
      <c r="B64" t="s">
        <v>54</v>
      </c>
      <c r="C64" s="11">
        <v>1500</v>
      </c>
      <c r="D64" s="11"/>
      <c r="E64" t="s">
        <v>278</v>
      </c>
      <c r="F64" s="111" t="s">
        <v>108</v>
      </c>
    </row>
    <row r="65" spans="1:7" x14ac:dyDescent="0.3">
      <c r="A65" s="130">
        <v>46048</v>
      </c>
      <c r="B65" t="s">
        <v>55</v>
      </c>
      <c r="C65" s="11">
        <v>2900</v>
      </c>
      <c r="D65" s="11"/>
      <c r="E65" t="s">
        <v>279</v>
      </c>
      <c r="F65" s="111" t="s">
        <v>108</v>
      </c>
    </row>
    <row r="66" spans="1:7" x14ac:dyDescent="0.3">
      <c r="A66" s="130">
        <v>46048</v>
      </c>
      <c r="B66" t="s">
        <v>227</v>
      </c>
      <c r="C66" s="11">
        <v>5000</v>
      </c>
      <c r="D66" s="11"/>
      <c r="E66" t="s">
        <v>280</v>
      </c>
      <c r="F66" s="111" t="s">
        <v>108</v>
      </c>
    </row>
    <row r="67" spans="1:7" x14ac:dyDescent="0.3">
      <c r="A67" s="130">
        <v>46048</v>
      </c>
      <c r="B67" t="s">
        <v>222</v>
      </c>
      <c r="C67" s="11"/>
      <c r="D67" s="11">
        <v>50000</v>
      </c>
      <c r="E67" t="s">
        <v>281</v>
      </c>
      <c r="F67" s="111" t="s">
        <v>108</v>
      </c>
    </row>
    <row r="68" spans="1:7" x14ac:dyDescent="0.3">
      <c r="A68" s="130">
        <v>46048</v>
      </c>
      <c r="B68" t="s">
        <v>55</v>
      </c>
      <c r="C68" s="11">
        <v>4000</v>
      </c>
      <c r="D68" s="11"/>
      <c r="F68" s="111" t="s">
        <v>108</v>
      </c>
    </row>
    <row r="69" spans="1:7" x14ac:dyDescent="0.3">
      <c r="A69" s="130">
        <v>46048</v>
      </c>
      <c r="B69" t="s">
        <v>260</v>
      </c>
      <c r="C69" s="11">
        <v>100113</v>
      </c>
      <c r="D69" s="11"/>
      <c r="E69" t="s">
        <v>282</v>
      </c>
      <c r="F69" s="111" t="s">
        <v>108</v>
      </c>
    </row>
    <row r="70" spans="1:7" x14ac:dyDescent="0.3">
      <c r="A70" s="130">
        <v>46048</v>
      </c>
      <c r="B70" s="131" t="s">
        <v>222</v>
      </c>
      <c r="C70" s="96"/>
      <c r="D70" s="96">
        <v>45000</v>
      </c>
      <c r="E70" s="131" t="s">
        <v>283</v>
      </c>
      <c r="F70" s="132" t="s">
        <v>108</v>
      </c>
      <c r="G70" s="131"/>
    </row>
    <row r="71" spans="1:7" x14ac:dyDescent="0.3">
      <c r="A71" s="130">
        <v>46048</v>
      </c>
      <c r="B71" t="s">
        <v>222</v>
      </c>
      <c r="C71" s="11"/>
      <c r="D71" s="11">
        <v>100000</v>
      </c>
      <c r="E71" t="s">
        <v>284</v>
      </c>
      <c r="F71" s="111" t="s">
        <v>108</v>
      </c>
    </row>
    <row r="72" spans="1:7" x14ac:dyDescent="0.3">
      <c r="A72" s="130">
        <v>46048</v>
      </c>
      <c r="B72" t="s">
        <v>212</v>
      </c>
      <c r="C72" s="11">
        <v>760</v>
      </c>
      <c r="D72" s="11"/>
      <c r="F72" s="111" t="s">
        <v>108</v>
      </c>
    </row>
    <row r="73" spans="1:7" x14ac:dyDescent="0.3">
      <c r="A73" s="130">
        <v>46048</v>
      </c>
      <c r="B73" t="s">
        <v>54</v>
      </c>
      <c r="C73" s="11">
        <v>1800</v>
      </c>
      <c r="D73" s="11"/>
      <c r="E73" t="s">
        <v>229</v>
      </c>
      <c r="F73" s="111" t="s">
        <v>108</v>
      </c>
    </row>
    <row r="74" spans="1:7" x14ac:dyDescent="0.3">
      <c r="A74" s="130">
        <v>46048</v>
      </c>
      <c r="B74" t="s">
        <v>224</v>
      </c>
      <c r="C74" s="11">
        <v>3000</v>
      </c>
      <c r="D74" s="11"/>
      <c r="E74" t="s">
        <v>274</v>
      </c>
      <c r="F74" s="111" t="s">
        <v>108</v>
      </c>
    </row>
    <row r="75" spans="1:7" x14ac:dyDescent="0.3">
      <c r="A75" s="130">
        <v>46049</v>
      </c>
      <c r="B75" t="s">
        <v>222</v>
      </c>
      <c r="C75" s="11"/>
      <c r="D75" s="11">
        <v>20000</v>
      </c>
      <c r="E75" t="s">
        <v>286</v>
      </c>
      <c r="F75" s="111" t="s">
        <v>108</v>
      </c>
    </row>
    <row r="76" spans="1:7" x14ac:dyDescent="0.3">
      <c r="A76" s="130">
        <v>46049</v>
      </c>
      <c r="B76" t="s">
        <v>50</v>
      </c>
      <c r="C76" s="11">
        <v>3000</v>
      </c>
      <c r="D76" s="11"/>
      <c r="E76" t="s">
        <v>287</v>
      </c>
      <c r="F76" s="111" t="s">
        <v>108</v>
      </c>
    </row>
    <row r="77" spans="1:7" x14ac:dyDescent="0.3">
      <c r="A77" s="130">
        <v>46049</v>
      </c>
      <c r="B77" t="s">
        <v>55</v>
      </c>
      <c r="C77" s="11">
        <v>3500</v>
      </c>
      <c r="D77" s="11"/>
      <c r="E77" t="s">
        <v>288</v>
      </c>
      <c r="F77" s="111" t="s">
        <v>108</v>
      </c>
    </row>
    <row r="78" spans="1:7" x14ac:dyDescent="0.3">
      <c r="A78" s="130">
        <v>46049</v>
      </c>
      <c r="B78" t="s">
        <v>227</v>
      </c>
      <c r="C78" s="11">
        <v>2000</v>
      </c>
      <c r="D78" s="11"/>
      <c r="E78" t="s">
        <v>245</v>
      </c>
      <c r="F78" s="111" t="s">
        <v>108</v>
      </c>
    </row>
    <row r="79" spans="1:7" x14ac:dyDescent="0.3">
      <c r="A79" s="130">
        <v>46049</v>
      </c>
      <c r="B79" t="s">
        <v>54</v>
      </c>
      <c r="C79" s="11">
        <v>500</v>
      </c>
      <c r="D79" s="11"/>
      <c r="E79" t="s">
        <v>226</v>
      </c>
      <c r="F79" s="111" t="s">
        <v>108</v>
      </c>
    </row>
    <row r="80" spans="1:7" x14ac:dyDescent="0.3">
      <c r="A80" s="130">
        <v>46049</v>
      </c>
      <c r="B80" t="s">
        <v>289</v>
      </c>
      <c r="C80" s="11"/>
      <c r="D80" s="11">
        <v>125000</v>
      </c>
      <c r="E80" t="s">
        <v>290</v>
      </c>
      <c r="F80" s="111" t="s">
        <v>108</v>
      </c>
    </row>
    <row r="81" spans="1:6" x14ac:dyDescent="0.3">
      <c r="A81" s="130">
        <v>46049</v>
      </c>
      <c r="B81" t="s">
        <v>289</v>
      </c>
      <c r="C81" s="11"/>
      <c r="D81" s="11">
        <v>100000</v>
      </c>
      <c r="E81" t="s">
        <v>291</v>
      </c>
      <c r="F81" s="111" t="s">
        <v>108</v>
      </c>
    </row>
    <row r="82" spans="1:6" x14ac:dyDescent="0.3">
      <c r="A82" s="130">
        <v>46049</v>
      </c>
      <c r="B82" t="s">
        <v>227</v>
      </c>
      <c r="C82" s="11">
        <v>100000</v>
      </c>
      <c r="D82" s="11"/>
      <c r="E82" t="s">
        <v>239</v>
      </c>
      <c r="F82" s="111" t="s">
        <v>108</v>
      </c>
    </row>
    <row r="83" spans="1:6" x14ac:dyDescent="0.3">
      <c r="A83" s="130">
        <v>46049</v>
      </c>
      <c r="B83" t="s">
        <v>212</v>
      </c>
      <c r="C83" s="11">
        <v>950</v>
      </c>
      <c r="D83" s="11"/>
      <c r="F83" s="111" t="s">
        <v>108</v>
      </c>
    </row>
    <row r="84" spans="1:6" x14ac:dyDescent="0.3">
      <c r="A84" s="130">
        <v>46050</v>
      </c>
      <c r="B84" t="s">
        <v>55</v>
      </c>
      <c r="C84" s="11">
        <v>1610</v>
      </c>
      <c r="D84" s="11"/>
      <c r="E84" t="s">
        <v>292</v>
      </c>
      <c r="F84" s="111" t="s">
        <v>108</v>
      </c>
    </row>
    <row r="85" spans="1:6" x14ac:dyDescent="0.3">
      <c r="A85" s="130">
        <v>46050</v>
      </c>
      <c r="B85" t="s">
        <v>222</v>
      </c>
      <c r="C85" s="11"/>
      <c r="D85" s="11">
        <v>60000</v>
      </c>
      <c r="E85" t="s">
        <v>293</v>
      </c>
      <c r="F85" s="111" t="s">
        <v>108</v>
      </c>
    </row>
    <row r="86" spans="1:6" x14ac:dyDescent="0.3">
      <c r="A86" s="130">
        <v>46050</v>
      </c>
      <c r="B86" t="s">
        <v>262</v>
      </c>
      <c r="C86" s="11">
        <v>150000</v>
      </c>
      <c r="D86" s="11"/>
      <c r="E86" t="s">
        <v>294</v>
      </c>
      <c r="F86" s="111" t="s">
        <v>108</v>
      </c>
    </row>
    <row r="87" spans="1:6" x14ac:dyDescent="0.3">
      <c r="A87" s="130">
        <v>46045</v>
      </c>
      <c r="B87" t="s">
        <v>235</v>
      </c>
      <c r="C87" s="11"/>
      <c r="D87" s="11">
        <v>40000</v>
      </c>
      <c r="E87" t="s">
        <v>295</v>
      </c>
      <c r="F87" s="111" t="s">
        <v>108</v>
      </c>
    </row>
    <row r="88" spans="1:6" x14ac:dyDescent="0.3">
      <c r="A88" s="130">
        <v>46045</v>
      </c>
      <c r="B88" t="s">
        <v>222</v>
      </c>
      <c r="C88" s="11">
        <v>40000</v>
      </c>
      <c r="D88" s="11"/>
      <c r="E88" t="s">
        <v>237</v>
      </c>
      <c r="F88" s="111" t="s">
        <v>108</v>
      </c>
    </row>
    <row r="89" spans="1:6" x14ac:dyDescent="0.3">
      <c r="A89" s="130">
        <v>46050</v>
      </c>
      <c r="B89" t="s">
        <v>235</v>
      </c>
      <c r="C89" s="11"/>
      <c r="D89" s="11">
        <v>300000</v>
      </c>
      <c r="E89" t="s">
        <v>296</v>
      </c>
      <c r="F89" s="111" t="s">
        <v>108</v>
      </c>
    </row>
    <row r="90" spans="1:6" x14ac:dyDescent="0.3">
      <c r="A90" s="130">
        <v>46050</v>
      </c>
      <c r="B90" t="s">
        <v>50</v>
      </c>
      <c r="C90" s="11">
        <v>15000</v>
      </c>
      <c r="D90" s="11"/>
      <c r="E90" t="s">
        <v>297</v>
      </c>
      <c r="F90" s="111" t="s">
        <v>108</v>
      </c>
    </row>
    <row r="91" spans="1:6" x14ac:dyDescent="0.3">
      <c r="A91" s="130">
        <v>46050</v>
      </c>
      <c r="B91" t="s">
        <v>50</v>
      </c>
      <c r="C91" s="11">
        <v>2800</v>
      </c>
      <c r="D91" s="11"/>
      <c r="E91" t="s">
        <v>298</v>
      </c>
      <c r="F91" s="111" t="s">
        <v>108</v>
      </c>
    </row>
    <row r="92" spans="1:6" x14ac:dyDescent="0.3">
      <c r="A92" s="130">
        <v>46050</v>
      </c>
      <c r="B92" t="s">
        <v>169</v>
      </c>
      <c r="C92" s="11">
        <v>125000</v>
      </c>
      <c r="D92" s="11"/>
      <c r="E92" t="s">
        <v>299</v>
      </c>
      <c r="F92" s="111" t="s">
        <v>108</v>
      </c>
    </row>
    <row r="93" spans="1:6" x14ac:dyDescent="0.3">
      <c r="A93" s="130">
        <v>46050</v>
      </c>
      <c r="B93" t="s">
        <v>300</v>
      </c>
      <c r="C93" s="11"/>
      <c r="D93" s="11">
        <v>300000</v>
      </c>
      <c r="E93" t="s">
        <v>301</v>
      </c>
      <c r="F93" s="111" t="s">
        <v>108</v>
      </c>
    </row>
    <row r="94" spans="1:6" x14ac:dyDescent="0.3">
      <c r="A94" s="130">
        <v>46050</v>
      </c>
      <c r="B94" t="s">
        <v>54</v>
      </c>
      <c r="C94" s="11">
        <v>5000</v>
      </c>
      <c r="D94" s="11"/>
      <c r="E94" t="s">
        <v>302</v>
      </c>
      <c r="F94" s="111" t="s">
        <v>108</v>
      </c>
    </row>
    <row r="95" spans="1:6" x14ac:dyDescent="0.3">
      <c r="A95" s="130">
        <v>46050</v>
      </c>
      <c r="B95" t="s">
        <v>227</v>
      </c>
      <c r="C95" s="11">
        <v>5000</v>
      </c>
      <c r="D95" s="11"/>
      <c r="E95" t="s">
        <v>303</v>
      </c>
      <c r="F95" s="111" t="s">
        <v>108</v>
      </c>
    </row>
    <row r="96" spans="1:6" x14ac:dyDescent="0.3">
      <c r="A96" s="130">
        <v>46050</v>
      </c>
      <c r="B96" t="s">
        <v>227</v>
      </c>
      <c r="C96" s="11">
        <v>1000</v>
      </c>
      <c r="D96" s="11"/>
      <c r="E96" t="s">
        <v>244</v>
      </c>
      <c r="F96" s="111" t="s">
        <v>108</v>
      </c>
    </row>
    <row r="97" spans="1:6" x14ac:dyDescent="0.3">
      <c r="A97" s="130">
        <v>46050</v>
      </c>
      <c r="B97" t="s">
        <v>227</v>
      </c>
      <c r="C97" s="11">
        <v>1000</v>
      </c>
      <c r="D97" s="11"/>
      <c r="E97" t="s">
        <v>245</v>
      </c>
      <c r="F97" s="111" t="s">
        <v>108</v>
      </c>
    </row>
    <row r="98" spans="1:6" x14ac:dyDescent="0.3">
      <c r="A98" s="130">
        <v>46050</v>
      </c>
      <c r="B98" t="s">
        <v>227</v>
      </c>
      <c r="C98" s="11">
        <v>500</v>
      </c>
      <c r="D98" s="11"/>
      <c r="E98" t="s">
        <v>270</v>
      </c>
      <c r="F98" s="111" t="s">
        <v>108</v>
      </c>
    </row>
    <row r="99" spans="1:6" x14ac:dyDescent="0.3">
      <c r="A99" s="130">
        <v>46050</v>
      </c>
      <c r="C99" s="11"/>
      <c r="D99" s="11"/>
      <c r="F99" s="111"/>
    </row>
    <row r="100" spans="1:6" x14ac:dyDescent="0.3">
      <c r="A100" s="130">
        <v>46050</v>
      </c>
      <c r="C100" s="11"/>
      <c r="D100" s="11"/>
      <c r="F100" s="111"/>
    </row>
    <row r="101" spans="1:6" x14ac:dyDescent="0.3">
      <c r="A101" s="130">
        <v>46050</v>
      </c>
      <c r="C101" s="11"/>
      <c r="D101" s="11"/>
      <c r="F101" s="111"/>
    </row>
    <row r="102" spans="1:6" x14ac:dyDescent="0.3">
      <c r="A102" s="130">
        <v>46050</v>
      </c>
      <c r="C102" s="11"/>
      <c r="D102" s="11"/>
      <c r="F102" s="111"/>
    </row>
    <row r="103" spans="1:6" x14ac:dyDescent="0.3">
      <c r="A103" s="130">
        <v>46050</v>
      </c>
      <c r="C103" s="11"/>
      <c r="D103" s="11"/>
      <c r="F103" s="111"/>
    </row>
    <row r="104" spans="1:6" x14ac:dyDescent="0.3">
      <c r="A104" s="130">
        <v>46050</v>
      </c>
      <c r="C104" s="11"/>
      <c r="D104" s="11"/>
      <c r="F104" s="111"/>
    </row>
    <row r="105" spans="1:6" x14ac:dyDescent="0.3">
      <c r="A105" s="130">
        <v>46050</v>
      </c>
      <c r="C105" s="11"/>
      <c r="D105" s="11"/>
      <c r="F105" s="111"/>
    </row>
    <row r="106" spans="1:6" x14ac:dyDescent="0.3">
      <c r="A106" s="38"/>
      <c r="C106" s="14">
        <f>SUBTOTAL(109,Table14[Debit])</f>
        <v>6026701</v>
      </c>
      <c r="D106" s="14">
        <f>SUBTOTAL(109,Table14[Credit])</f>
        <v>6550762</v>
      </c>
      <c r="F106" s="54">
        <f>(Table14[[#Totals],[Credit]]-Table14[[#Totals],[Debit]])</f>
        <v>524061</v>
      </c>
    </row>
    <row r="163" spans="10:12" x14ac:dyDescent="0.3">
      <c r="J163" s="3" t="s">
        <v>6</v>
      </c>
      <c r="K163" t="s">
        <v>118</v>
      </c>
      <c r="L163" t="s">
        <v>119</v>
      </c>
    </row>
    <row r="164" spans="10:12" x14ac:dyDescent="0.3">
      <c r="J164" s="4" t="s">
        <v>227</v>
      </c>
      <c r="K164" s="14"/>
      <c r="L164" s="14">
        <v>240500</v>
      </c>
    </row>
    <row r="165" spans="10:12" x14ac:dyDescent="0.3">
      <c r="J165" s="4" t="s">
        <v>94</v>
      </c>
      <c r="K165" s="14"/>
      <c r="L165" s="14">
        <v>200100</v>
      </c>
    </row>
    <row r="166" spans="10:12" x14ac:dyDescent="0.3">
      <c r="J166" s="4" t="s">
        <v>50</v>
      </c>
      <c r="K166" s="14"/>
      <c r="L166" s="14">
        <v>21430</v>
      </c>
    </row>
    <row r="167" spans="10:12" x14ac:dyDescent="0.3">
      <c r="J167" s="4" t="s">
        <v>55</v>
      </c>
      <c r="K167" s="14"/>
      <c r="L167" s="14">
        <v>63833</v>
      </c>
    </row>
    <row r="168" spans="10:12" x14ac:dyDescent="0.3">
      <c r="J168" s="4" t="s">
        <v>231</v>
      </c>
      <c r="K168" s="14"/>
      <c r="L168" s="14">
        <v>45950</v>
      </c>
    </row>
    <row r="169" spans="10:12" x14ac:dyDescent="0.3">
      <c r="J169" s="4" t="s">
        <v>52</v>
      </c>
      <c r="K169" s="14"/>
      <c r="L169" s="14">
        <v>50000</v>
      </c>
    </row>
    <row r="170" spans="10:12" x14ac:dyDescent="0.3">
      <c r="J170" s="4" t="s">
        <v>54</v>
      </c>
      <c r="K170" s="14"/>
      <c r="L170" s="14">
        <v>37100</v>
      </c>
    </row>
    <row r="171" spans="10:12" x14ac:dyDescent="0.3">
      <c r="J171" s="4" t="s">
        <v>224</v>
      </c>
      <c r="K171" s="14"/>
      <c r="L171" s="14">
        <v>754910</v>
      </c>
    </row>
    <row r="172" spans="10:12" x14ac:dyDescent="0.3">
      <c r="J172" s="4" t="s">
        <v>212</v>
      </c>
      <c r="K172" s="14">
        <v>562846</v>
      </c>
      <c r="L172" s="14">
        <v>1710</v>
      </c>
    </row>
    <row r="173" spans="10:12" x14ac:dyDescent="0.3">
      <c r="J173" s="4" t="s">
        <v>289</v>
      </c>
      <c r="K173" s="14">
        <v>225000</v>
      </c>
      <c r="L173" s="14"/>
    </row>
    <row r="174" spans="10:12" x14ac:dyDescent="0.3">
      <c r="J174" s="4" t="s">
        <v>103</v>
      </c>
      <c r="K174" s="14"/>
      <c r="L174" s="14"/>
    </row>
    <row r="175" spans="10:12" x14ac:dyDescent="0.3">
      <c r="J175" s="4" t="s">
        <v>300</v>
      </c>
      <c r="K175" s="14">
        <v>300000</v>
      </c>
      <c r="L175" s="14"/>
    </row>
    <row r="176" spans="10:12" x14ac:dyDescent="0.3">
      <c r="J176" s="4" t="s">
        <v>241</v>
      </c>
      <c r="K176" s="14">
        <v>100000</v>
      </c>
      <c r="L176" s="14"/>
    </row>
    <row r="177" spans="10:12" x14ac:dyDescent="0.3">
      <c r="J177" s="4" t="s">
        <v>169</v>
      </c>
      <c r="K177" s="14"/>
      <c r="L177" s="14">
        <v>245000</v>
      </c>
    </row>
    <row r="178" spans="10:12" x14ac:dyDescent="0.3">
      <c r="J178" s="4" t="s">
        <v>222</v>
      </c>
      <c r="K178" s="14">
        <v>1361143</v>
      </c>
      <c r="L178" s="14">
        <v>3376240</v>
      </c>
    </row>
    <row r="179" spans="10:12" x14ac:dyDescent="0.3">
      <c r="J179" s="4" t="s">
        <v>195</v>
      </c>
      <c r="K179" s="14"/>
      <c r="L179" s="14">
        <v>208450</v>
      </c>
    </row>
    <row r="180" spans="10:12" x14ac:dyDescent="0.3">
      <c r="J180" s="4" t="s">
        <v>250</v>
      </c>
      <c r="K180" s="14"/>
      <c r="L180" s="14">
        <v>20000</v>
      </c>
    </row>
    <row r="181" spans="10:12" x14ac:dyDescent="0.3">
      <c r="J181" s="4" t="s">
        <v>256</v>
      </c>
      <c r="K181" s="14">
        <v>124302</v>
      </c>
      <c r="L181" s="14"/>
    </row>
    <row r="182" spans="10:12" x14ac:dyDescent="0.3">
      <c r="J182" s="4" t="s">
        <v>260</v>
      </c>
      <c r="K182" s="14"/>
      <c r="L182" s="14">
        <v>400118</v>
      </c>
    </row>
    <row r="183" spans="10:12" x14ac:dyDescent="0.3">
      <c r="J183" s="4" t="s">
        <v>198</v>
      </c>
      <c r="K183" s="14"/>
      <c r="L183" s="14">
        <v>81360</v>
      </c>
    </row>
    <row r="184" spans="10:12" x14ac:dyDescent="0.3">
      <c r="J184" s="4" t="s">
        <v>211</v>
      </c>
      <c r="K184" s="14">
        <v>3237471</v>
      </c>
      <c r="L184" s="14"/>
    </row>
    <row r="185" spans="10:12" x14ac:dyDescent="0.3">
      <c r="J185" s="4" t="s">
        <v>235</v>
      </c>
      <c r="K185" s="14">
        <v>640000</v>
      </c>
      <c r="L185" s="14"/>
    </row>
    <row r="186" spans="10:12" x14ac:dyDescent="0.3">
      <c r="J186" s="4" t="s">
        <v>262</v>
      </c>
      <c r="K186" s="14"/>
      <c r="L186" s="14">
        <v>280000</v>
      </c>
    </row>
    <row r="187" spans="10:12" x14ac:dyDescent="0.3">
      <c r="J187" s="4" t="s">
        <v>28</v>
      </c>
      <c r="K187" s="14">
        <v>6550762</v>
      </c>
      <c r="L187" s="14">
        <v>6026701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I23" sqref="I2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G8">
        <f>SUMIFS(Table14[Debit], Table14[Date], Table8[[#This Row],[Date]], Table14[Party], Table8[[#This Row],[Party]])</f>
        <v>0</v>
      </c>
      <c r="H8">
        <f>Table8[[#This Row],[Price]]-Table8[[#This Row],[Paid]]</f>
        <v>0</v>
      </c>
    </row>
    <row r="9" spans="1:14" x14ac:dyDescent="0.3">
      <c r="E9">
        <f>SUBTOTAL(109,Table8[Price])</f>
        <v>255000</v>
      </c>
      <c r="H9">
        <f>SUBTOTAL(109,Table8[Balance])</f>
        <v>95750</v>
      </c>
      <c r="K9" s="3" t="s">
        <v>6</v>
      </c>
      <c r="L9" t="s">
        <v>127</v>
      </c>
      <c r="M9" t="s">
        <v>128</v>
      </c>
    </row>
    <row r="10" spans="1:14" x14ac:dyDescent="0.3">
      <c r="K10" s="26">
        <v>46008</v>
      </c>
      <c r="L10" s="133"/>
      <c r="M10" s="133">
        <v>0</v>
      </c>
    </row>
    <row r="11" spans="1:14" x14ac:dyDescent="0.3">
      <c r="K11" s="4" t="s">
        <v>103</v>
      </c>
      <c r="L11" s="133"/>
      <c r="M11" s="133">
        <v>0</v>
      </c>
    </row>
    <row r="12" spans="1:14" x14ac:dyDescent="0.3">
      <c r="K12" s="26">
        <v>46044</v>
      </c>
      <c r="L12" s="133">
        <v>255000</v>
      </c>
      <c r="M12" s="133">
        <v>255000</v>
      </c>
    </row>
    <row r="13" spans="1:14" x14ac:dyDescent="0.3">
      <c r="K13" s="26">
        <v>46048</v>
      </c>
      <c r="L13" s="133"/>
      <c r="M13" s="133">
        <v>-159250</v>
      </c>
    </row>
    <row r="14" spans="1:14" x14ac:dyDescent="0.3">
      <c r="K14" s="4" t="s">
        <v>28</v>
      </c>
      <c r="L14" s="133">
        <v>255000</v>
      </c>
      <c r="M14" s="133">
        <v>95750</v>
      </c>
    </row>
    <row r="23" spans="1:12" x14ac:dyDescent="0.3">
      <c r="A23" t="s">
        <v>57</v>
      </c>
      <c r="B23" t="s">
        <v>156</v>
      </c>
      <c r="C23" t="s">
        <v>157</v>
      </c>
      <c r="D23" t="s">
        <v>4</v>
      </c>
      <c r="E23" t="s">
        <v>158</v>
      </c>
    </row>
    <row r="24" spans="1:12" x14ac:dyDescent="0.3">
      <c r="A24" t="s">
        <v>131</v>
      </c>
      <c r="B24">
        <v>1</v>
      </c>
      <c r="C24">
        <v>25</v>
      </c>
      <c r="D24">
        <v>1400</v>
      </c>
      <c r="E24">
        <f>Table2325[[#This Row],[boxes]]*Table2325[[#This Row],[kgs]]*Table2325[[#This Row],[Rate]]</f>
        <v>35000</v>
      </c>
    </row>
    <row r="25" spans="1:12" x14ac:dyDescent="0.3">
      <c r="A25" t="s">
        <v>129</v>
      </c>
      <c r="B25">
        <v>1</v>
      </c>
      <c r="C25">
        <v>3</v>
      </c>
      <c r="D25">
        <v>1340</v>
      </c>
      <c r="E25">
        <f>Table2325[[#This Row],[boxes]]*Table2325[[#This Row],[kgs]]*Table2325[[#This Row],[Rate]]</f>
        <v>4020</v>
      </c>
    </row>
    <row r="26" spans="1:12" x14ac:dyDescent="0.3">
      <c r="A26" t="s">
        <v>147</v>
      </c>
      <c r="B26">
        <v>1</v>
      </c>
      <c r="D26">
        <v>1120</v>
      </c>
      <c r="E26">
        <f>Table2325[[#This Row],[boxes]]*Table2325[[#This Row],[kgs]]*Table2325[[#This Row],[Rate]]</f>
        <v>0</v>
      </c>
    </row>
    <row r="27" spans="1:12" x14ac:dyDescent="0.3">
      <c r="A27" t="s">
        <v>126</v>
      </c>
      <c r="B27">
        <v>1</v>
      </c>
      <c r="C27">
        <v>25</v>
      </c>
      <c r="D27">
        <v>1120</v>
      </c>
      <c r="E27">
        <f>Table2325[[#This Row],[boxes]]*Table2325[[#This Row],[kgs]]*Table2325[[#This Row],[Rate]]</f>
        <v>28000</v>
      </c>
    </row>
    <row r="28" spans="1:12" x14ac:dyDescent="0.3">
      <c r="A28" t="s">
        <v>125</v>
      </c>
      <c r="B28">
        <v>1</v>
      </c>
      <c r="C28">
        <v>25</v>
      </c>
      <c r="D28">
        <v>1120</v>
      </c>
      <c r="E28">
        <f>Table2325[[#This Row],[boxes]]*Table2325[[#This Row],[kgs]]*Table2325[[#This Row],[Rate]]</f>
        <v>28000</v>
      </c>
    </row>
    <row r="29" spans="1:12" x14ac:dyDescent="0.3">
      <c r="A29" t="s">
        <v>146</v>
      </c>
      <c r="B29">
        <v>1</v>
      </c>
      <c r="D29">
        <v>1300</v>
      </c>
      <c r="E29">
        <f>Table2325[[#This Row],[boxes]]*Table2325[[#This Row],[kgs]]*Table2325[[#This Row],[Rate]]</f>
        <v>0</v>
      </c>
    </row>
    <row r="30" spans="1:12" x14ac:dyDescent="0.3">
      <c r="A30" t="s">
        <v>132</v>
      </c>
      <c r="B30">
        <v>1</v>
      </c>
      <c r="C30">
        <v>25</v>
      </c>
      <c r="D30">
        <v>1450</v>
      </c>
      <c r="E30">
        <f>Table2325[[#This Row],[boxes]]*Table2325[[#This Row],[kgs]]*Table2325[[#This Row],[Rate]]</f>
        <v>36250</v>
      </c>
    </row>
    <row r="31" spans="1:12" x14ac:dyDescent="0.3">
      <c r="A31" t="s">
        <v>159</v>
      </c>
      <c r="B31">
        <v>1</v>
      </c>
      <c r="C31">
        <v>25</v>
      </c>
      <c r="D31">
        <v>940</v>
      </c>
      <c r="E31">
        <f>Table2325[[#This Row],[boxes]]*Table2325[[#This Row],[kgs]]*Table2325[[#This Row],[Rate]]</f>
        <v>23500</v>
      </c>
    </row>
    <row r="32" spans="1:12"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B19" sqref="B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s="133">
        <v>0</v>
      </c>
      <c r="L5" s="133">
        <v>0</v>
      </c>
      <c r="M5" s="133">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s="133">
        <v>0</v>
      </c>
      <c r="L6" s="133">
        <v>0</v>
      </c>
      <c r="M6" s="133">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s="133">
        <v>120000</v>
      </c>
      <c r="L7" s="133">
        <v>0</v>
      </c>
      <c r="M7" s="133">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s="133">
        <v>351000</v>
      </c>
      <c r="L8" s="133">
        <v>0</v>
      </c>
      <c r="M8" s="133">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s="133">
        <v>49200</v>
      </c>
      <c r="L9" s="133">
        <v>49200</v>
      </c>
      <c r="M9" s="133">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28</v>
      </c>
      <c r="K10" s="133">
        <v>520200</v>
      </c>
      <c r="L10" s="133">
        <v>49200</v>
      </c>
      <c r="M10" s="133">
        <v>471000</v>
      </c>
    </row>
    <row r="11" spans="1:13" x14ac:dyDescent="0.3">
      <c r="A11" s="1">
        <v>46043</v>
      </c>
      <c r="B11" s="1" t="s">
        <v>195</v>
      </c>
      <c r="C11" t="s">
        <v>164</v>
      </c>
      <c r="F11">
        <v>49200</v>
      </c>
      <c r="G11">
        <f>SUMIFS(Table14[Debit], Table14[Date], Table2[[#This Row],[Date]], Table14[Party], Table2[[#This Row],[Party Name]])</f>
        <v>49200</v>
      </c>
      <c r="H11">
        <f>Table2[[#This Row],[Price]]-Table2[[#This Row],[Paid]]</f>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c r="F14">
        <f>SUBTOTAL(109,Table2[Price])</f>
        <v>520200</v>
      </c>
      <c r="G14">
        <f>SUBTOTAL(109,Table2[Paid])</f>
        <v>49200</v>
      </c>
      <c r="H14">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H3" sqref="H3:H3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857619</v>
      </c>
      <c r="C2" s="32">
        <f>GETPIVOTDATA("Sum of Tiyaar/gaz",$A$3)</f>
        <v>579688</v>
      </c>
      <c r="D2" s="31">
        <f>((B2*48)+((C2/1.0936)*10))/C2</f>
        <v>80.15767711061018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21343</v>
      </c>
      <c r="D5" s="28">
        <f t="shared" ref="D5:D38" si="1">I5</f>
        <v>147.20455255489972</v>
      </c>
      <c r="E5" s="11">
        <f t="shared" ref="E5:E38" si="2">B5 * 1.0936</f>
        <v>67133.916799999992</v>
      </c>
      <c r="F5" s="11">
        <f t="shared" si="0"/>
        <v>21343</v>
      </c>
      <c r="G5" s="78">
        <f>100- (F5/E5 *100)</f>
        <v>68.208320000777903</v>
      </c>
      <c r="H5" s="28">
        <f t="shared" ref="H5:H38" si="3">F5/1.0936</f>
        <v>19516.276517922459</v>
      </c>
      <c r="I5" s="28">
        <f>((B5*48)+(H5*10))/C5</f>
        <v>147.20455255489972</v>
      </c>
      <c r="J5" s="28"/>
      <c r="K5" s="28"/>
      <c r="L5" s="28"/>
    </row>
    <row r="6" spans="1:12" x14ac:dyDescent="0.3">
      <c r="A6" s="16">
        <v>2006</v>
      </c>
      <c r="B6" s="14">
        <v>24208</v>
      </c>
      <c r="C6" s="14">
        <v>980</v>
      </c>
      <c r="D6" s="28">
        <f t="shared" si="1"/>
        <v>1194.8420703760655</v>
      </c>
      <c r="E6" s="11">
        <f t="shared" si="2"/>
        <v>26473.868799999997</v>
      </c>
      <c r="F6" s="11">
        <f t="shared" si="0"/>
        <v>980</v>
      </c>
      <c r="G6" s="78">
        <f t="shared" ref="G6:G18" si="4">100- (F6/E6 *100)</f>
        <v>96.298236546371342</v>
      </c>
      <c r="H6" s="28">
        <f t="shared" si="3"/>
        <v>896.12289685442579</v>
      </c>
      <c r="I6" s="28">
        <f>((B6*48)+(H6*10))/C6</f>
        <v>1194.8420703760655</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4740</v>
      </c>
      <c r="D27" s="28">
        <f t="shared" si="1"/>
        <v>101.93398461011363</v>
      </c>
      <c r="E27" s="11">
        <f t="shared" si="2"/>
        <v>10020.656799999999</v>
      </c>
      <c r="F27" s="11">
        <f t="shared" si="0"/>
        <v>4740</v>
      </c>
      <c r="G27" s="78">
        <f t="shared" si="6"/>
        <v>52.697711391532728</v>
      </c>
      <c r="H27" s="28">
        <f t="shared" si="3"/>
        <v>4334.3087051938555</v>
      </c>
      <c r="I27" s="28">
        <f t="shared" si="5"/>
        <v>101.93398461011363</v>
      </c>
    </row>
    <row r="28" spans="1:9" x14ac:dyDescent="0.3">
      <c r="A28" s="16" t="s">
        <v>28</v>
      </c>
      <c r="B28" s="30">
        <v>100417</v>
      </c>
      <c r="C28" s="30">
        <v>579688</v>
      </c>
      <c r="D28" s="28">
        <f t="shared" si="1"/>
        <v>17.458956419479772</v>
      </c>
      <c r="E28" s="11">
        <f t="shared" si="2"/>
        <v>109816.0312</v>
      </c>
      <c r="F28" s="11">
        <f t="shared" si="0"/>
        <v>579688</v>
      </c>
      <c r="G28" s="78">
        <f t="shared" si="6"/>
        <v>-427.87192695414035</v>
      </c>
      <c r="H28" s="28">
        <f t="shared" si="3"/>
        <v>530073.15288953914</v>
      </c>
      <c r="I28" s="28">
        <f t="shared" si="5"/>
        <v>17.458956419479772</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T21" sqref="T21"/>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11857312.656912953</v>
      </c>
    </row>
    <row r="3" spans="1:3" ht="21" x14ac:dyDescent="0.4">
      <c r="A3" s="102" t="str">
        <f>Billing!Q6</f>
        <v>Ejaz Sahab</v>
      </c>
      <c r="B3" s="105">
        <f>Billing!AD6</f>
        <v>5420319</v>
      </c>
      <c r="C3" s="103">
        <f>Billing!AE6</f>
        <v>-224999.87051938474</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8297871</v>
      </c>
      <c r="C7" s="103">
        <f>Billing!AE10</f>
        <v>623333.27944403701</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59551.221653255168</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205183.83833211474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2786025</v>
      </c>
      <c r="C21" s="103">
        <f>Billing!AE24</f>
        <v>280517.61155815702</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2026-01-28T23:47:07Z</dcterms:modified>
  <cp:category/>
  <cp:contentStatus/>
</cp:coreProperties>
</file>