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slicers/slicer1.xml" ContentType="application/vnd.ms-excel.slicer+xml"/>
  <Override PartName="/xl/tables/table9.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10.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slicers/slicer3.xml" ContentType="application/vnd.ms-excel.slicer+xml"/>
  <Override PartName="/xl/pivotTables/pivotTable4.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tables/table18.xml" ContentType="application/vnd.openxmlformats-officedocument.spreadsheetml.table+xml"/>
  <Override PartName="/xl/slicers/slicer4.xml" ContentType="application/vnd.ms-excel.slicer+xml"/>
  <Override PartName="/xl/tables/table19.xml" ContentType="application/vnd.openxmlformats-officedocument.spreadsheetml.table+xml"/>
  <Override PartName="/xl/tables/table20.xml" ContentType="application/vnd.openxmlformats-officedocument.spreadsheetml.table+xml"/>
  <Override PartName="/xl/drawings/drawing5.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mc:AlternateContent xmlns:mc="http://schemas.openxmlformats.org/markup-compatibility/2006">
    <mc:Choice Requires="x15">
      <x15ac:absPath xmlns:x15ac="http://schemas.microsoft.com/office/spreadsheetml/2010/11/ac" url="https://pern-my.sharepoint.com/personal/25020299_lums_edu_pk/Documents/Desktop/Factory/"/>
    </mc:Choice>
  </mc:AlternateContent>
  <xr:revisionPtr revIDLastSave="4490" documentId="8_{EB9B3F02-843B-43AB-9D1E-44A7B86FB663}" xr6:coauthVersionLast="47" xr6:coauthVersionMax="47" xr10:uidLastSave="{430A7EDD-91B4-4AF8-94F7-D53E699214F7}"/>
  <bookViews>
    <workbookView xWindow="-108" yWindow="-108" windowWidth="23256" windowHeight="12456" tabRatio="597" firstSheet="2" activeTab="3" xr2:uid="{E7D9A63E-D9E8-4997-9BC3-9785CA208C4E}"/>
  </bookViews>
  <sheets>
    <sheet name="Billing" sheetId="9" r:id="rId1"/>
    <sheet name="Bill Print" sheetId="19" r:id="rId2"/>
    <sheet name="Expenses" sheetId="8" r:id="rId3"/>
    <sheet name="Profit" sheetId="10" r:id="rId4"/>
    <sheet name="Transport" sheetId="18" r:id="rId5"/>
    <sheet name="ledger" sheetId="1" r:id="rId6"/>
    <sheet name="Gray Khata" sheetId="22" r:id="rId7"/>
    <sheet name="Wood" sheetId="6" r:id="rId8"/>
    <sheet name="Cashbook" sheetId="17" r:id="rId9"/>
    <sheet name="Dyes" sheetId="7" r:id="rId10"/>
    <sheet name="Finish" sheetId="15" r:id="rId11"/>
    <sheet name="Electricity" sheetId="13" r:id="rId12"/>
    <sheet name="Miscellaneous" sheetId="11" r:id="rId13"/>
    <sheet name="Salary Acc" sheetId="12" r:id="rId14"/>
    <sheet name="pivot " sheetId="2" r:id="rId15"/>
    <sheet name="Running Acc" sheetId="14" r:id="rId16"/>
    <sheet name="Balance" sheetId="20" r:id="rId17"/>
    <sheet name="Cashflow" sheetId="21" r:id="rId18"/>
  </sheets>
  <externalReferences>
    <externalReference r:id="rId19"/>
  </externalReferences>
  <definedNames>
    <definedName name="_xlcn.WorksheetConnection_Khata2.xlsxTable4" hidden="1">Table4[]</definedName>
    <definedName name="_xlcn.WorksheetConnection_Khata2.xlsxTable41" hidden="1">Table4[]</definedName>
    <definedName name="Slicer_Date">#N/A</definedName>
    <definedName name="Slicer_Date1">#N/A</definedName>
    <definedName name="Slicer_Party">#N/A</definedName>
    <definedName name="Slicer_Party_Name">#N/A</definedName>
    <definedName name="Slicer_Party_Name1">#N/A</definedName>
    <definedName name="Slicer_Party_Name2">#N/A</definedName>
    <definedName name="Slicer_Person">#N/A</definedName>
    <definedName name="Slicer_Shipment_Number">#N/A</definedName>
    <definedName name="Table4_1" localSheetId="0" hidden="1">Billing!#REF!</definedName>
  </definedNames>
  <calcPr calcId="191028"/>
  <pivotCaches>
    <pivotCache cacheId="6" r:id="rId20"/>
    <pivotCache cacheId="7" r:id="rId21"/>
    <pivotCache cacheId="8" r:id="rId22"/>
    <pivotCache cacheId="9" r:id="rId23"/>
    <pivotCache cacheId="10" r:id="rId24"/>
    <pivotCache cacheId="11" r:id="rId25"/>
  </pivotCaches>
  <extLs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7"/>
        <x14:slicerCache r:id="rId28"/>
        <x14:slicerCache r:id="rId29"/>
        <x14:slicerCache r:id="rId30"/>
        <x14:slicerCache r:id="rId31"/>
        <x14:slicerCache r:id="rId32"/>
        <x14:slicerCache r:id="rId3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Khata (2).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8" l="1"/>
  <c r="H119" i="6"/>
  <c r="I119" i="6" s="1"/>
  <c r="G141" i="6"/>
  <c r="G142" i="6"/>
  <c r="H129" i="6"/>
  <c r="I129" i="6" s="1"/>
  <c r="H130" i="6"/>
  <c r="I130" i="6" s="1"/>
  <c r="H131" i="6"/>
  <c r="I131" i="6" s="1"/>
  <c r="H132" i="6"/>
  <c r="I132" i="6" s="1"/>
  <c r="H133" i="6"/>
  <c r="I133" i="6" s="1"/>
  <c r="H134" i="6"/>
  <c r="I134" i="6" s="1"/>
  <c r="H135" i="6"/>
  <c r="I135" i="6" s="1"/>
  <c r="H136" i="6"/>
  <c r="I136" i="6" s="1"/>
  <c r="H137" i="6"/>
  <c r="I137" i="6" s="1"/>
  <c r="H138" i="6"/>
  <c r="I138" i="6" s="1"/>
  <c r="H139" i="6"/>
  <c r="I139" i="6" s="1"/>
  <c r="H140" i="6"/>
  <c r="I140" i="6" s="1"/>
  <c r="H141" i="6"/>
  <c r="I141" i="6" s="1"/>
  <c r="H142" i="6"/>
  <c r="I142" i="6" s="1"/>
  <c r="G137" i="6"/>
  <c r="G138" i="6"/>
  <c r="G139" i="6"/>
  <c r="G140" i="6"/>
  <c r="G129" i="6"/>
  <c r="G130" i="6"/>
  <c r="G131" i="6"/>
  <c r="G132" i="6"/>
  <c r="G133" i="6"/>
  <c r="G134" i="6"/>
  <c r="G135" i="6"/>
  <c r="G136" i="6"/>
  <c r="G123" i="6"/>
  <c r="G124" i="6"/>
  <c r="G125" i="6"/>
  <c r="G126" i="6"/>
  <c r="G127" i="6"/>
  <c r="G128" i="6"/>
  <c r="H120" i="6"/>
  <c r="I120" i="6" s="1"/>
  <c r="H121" i="6"/>
  <c r="I121" i="6" s="1"/>
  <c r="H122" i="6"/>
  <c r="I122" i="6" s="1"/>
  <c r="H123" i="6"/>
  <c r="I123" i="6" s="1"/>
  <c r="H124" i="6"/>
  <c r="I124" i="6" s="1"/>
  <c r="H125" i="6"/>
  <c r="I125" i="6" s="1"/>
  <c r="H126" i="6"/>
  <c r="I126" i="6" s="1"/>
  <c r="H127" i="6"/>
  <c r="I127" i="6" s="1"/>
  <c r="H128" i="6"/>
  <c r="I128" i="6" s="1"/>
  <c r="H91" i="6"/>
  <c r="I91" i="6" s="1"/>
  <c r="H92" i="6"/>
  <c r="I92" i="6" s="1"/>
  <c r="H93" i="6"/>
  <c r="I93" i="6" s="1"/>
  <c r="H94" i="6"/>
  <c r="I94" i="6" s="1"/>
  <c r="H95" i="6"/>
  <c r="I95" i="6" s="1"/>
  <c r="H96" i="6"/>
  <c r="I96" i="6" s="1"/>
  <c r="H97" i="6"/>
  <c r="I97" i="6" s="1"/>
  <c r="H98" i="6"/>
  <c r="I98" i="6" s="1"/>
  <c r="H99" i="6"/>
  <c r="I99" i="6" s="1"/>
  <c r="H100" i="6"/>
  <c r="I100" i="6" s="1"/>
  <c r="H101" i="6"/>
  <c r="I101" i="6" s="1"/>
  <c r="H102" i="6"/>
  <c r="I102" i="6" s="1"/>
  <c r="H103" i="6"/>
  <c r="I103" i="6" s="1"/>
  <c r="H104" i="6"/>
  <c r="I104" i="6" s="1"/>
  <c r="H105" i="6"/>
  <c r="I105" i="6" s="1"/>
  <c r="H106" i="6"/>
  <c r="I106" i="6" s="1"/>
  <c r="H107" i="6"/>
  <c r="I107" i="6" s="1"/>
  <c r="H108" i="6"/>
  <c r="I108" i="6" s="1"/>
  <c r="H109" i="6"/>
  <c r="I109" i="6" s="1"/>
  <c r="H110" i="6"/>
  <c r="I110" i="6" s="1"/>
  <c r="H111" i="6"/>
  <c r="I111" i="6" s="1"/>
  <c r="H112" i="6"/>
  <c r="I112" i="6" s="1"/>
  <c r="H113" i="6"/>
  <c r="I113" i="6" s="1"/>
  <c r="H114" i="6"/>
  <c r="I114" i="6" s="1"/>
  <c r="H115" i="6"/>
  <c r="I115" i="6" s="1"/>
  <c r="H116" i="6"/>
  <c r="I116" i="6" s="1"/>
  <c r="H117" i="6"/>
  <c r="I117" i="6" s="1"/>
  <c r="H118" i="6"/>
  <c r="I118" i="6" s="1"/>
  <c r="H71" i="6"/>
  <c r="I71" i="6" s="1"/>
  <c r="H72" i="6"/>
  <c r="I72" i="6" s="1"/>
  <c r="H73" i="6"/>
  <c r="I73" i="6" s="1"/>
  <c r="H74" i="6"/>
  <c r="I74" i="6" s="1"/>
  <c r="H75" i="6"/>
  <c r="I75" i="6" s="1"/>
  <c r="H76" i="6"/>
  <c r="I76" i="6" s="1"/>
  <c r="H77" i="6"/>
  <c r="I77" i="6" s="1"/>
  <c r="H78" i="6"/>
  <c r="I78" i="6" s="1"/>
  <c r="H79" i="6"/>
  <c r="I79" i="6" s="1"/>
  <c r="H80" i="6"/>
  <c r="I80" i="6" s="1"/>
  <c r="H81" i="6"/>
  <c r="I81" i="6" s="1"/>
  <c r="H82" i="6"/>
  <c r="I82" i="6" s="1"/>
  <c r="H83" i="6"/>
  <c r="I83" i="6" s="1"/>
  <c r="H84" i="6"/>
  <c r="I84" i="6" s="1"/>
  <c r="H85" i="6"/>
  <c r="I85" i="6" s="1"/>
  <c r="H86" i="6"/>
  <c r="I86" i="6" s="1"/>
  <c r="H87" i="6"/>
  <c r="I87" i="6" s="1"/>
  <c r="H88" i="6"/>
  <c r="I88" i="6" s="1"/>
  <c r="H89" i="6"/>
  <c r="I89" i="6" s="1"/>
  <c r="H90" i="6"/>
  <c r="I90" i="6" s="1"/>
  <c r="H70" i="6"/>
  <c r="I70" i="6" s="1"/>
  <c r="G22" i="7"/>
  <c r="H22" i="7" s="1"/>
  <c r="G23" i="7"/>
  <c r="H23" i="7" s="1"/>
  <c r="G24" i="7"/>
  <c r="H24" i="7" s="1"/>
  <c r="G25" i="7"/>
  <c r="H25" i="7" s="1"/>
  <c r="I198" i="1"/>
  <c r="J198" i="1" a="1"/>
  <c r="J198" i="1" s="1"/>
  <c r="E21" i="7"/>
  <c r="E20" i="7"/>
  <c r="E19" i="7"/>
  <c r="G20" i="7"/>
  <c r="G21" i="7"/>
  <c r="H182" i="1"/>
  <c r="I191" i="1"/>
  <c r="J191" i="1" s="1" a="1"/>
  <c r="J191" i="1" s="1"/>
  <c r="I192" i="1"/>
  <c r="J192" i="1" a="1"/>
  <c r="J192" i="1" s="1"/>
  <c r="I193" i="1"/>
  <c r="J193" i="1" s="1" a="1"/>
  <c r="J193" i="1" s="1"/>
  <c r="I194" i="1"/>
  <c r="J194" i="1" a="1"/>
  <c r="J194" i="1" s="1"/>
  <c r="I195" i="1"/>
  <c r="J195" i="1" a="1"/>
  <c r="J195" i="1" s="1"/>
  <c r="I196" i="1"/>
  <c r="J196" i="1" a="1"/>
  <c r="J196" i="1"/>
  <c r="I197" i="1"/>
  <c r="J197" i="1" a="1"/>
  <c r="J197" i="1" s="1"/>
  <c r="W27" i="9" s="1" a="1"/>
  <c r="W27" i="9" s="1"/>
  <c r="C133" i="17"/>
  <c r="D132" i="17"/>
  <c r="G122" i="6"/>
  <c r="I41" i="6"/>
  <c r="I42" i="6"/>
  <c r="I43" i="6"/>
  <c r="I44" i="6"/>
  <c r="I45" i="6"/>
  <c r="I46" i="6"/>
  <c r="I47" i="6"/>
  <c r="I48" i="6"/>
  <c r="I49" i="6"/>
  <c r="I50" i="6"/>
  <c r="I51" i="6"/>
  <c r="I52" i="6"/>
  <c r="I53" i="6"/>
  <c r="I54" i="6"/>
  <c r="I55" i="6"/>
  <c r="I56" i="6"/>
  <c r="I57" i="6"/>
  <c r="I58" i="6"/>
  <c r="I59" i="6"/>
  <c r="I60" i="6"/>
  <c r="I61" i="6"/>
  <c r="I62" i="6"/>
  <c r="I63" i="6"/>
  <c r="I64" i="6"/>
  <c r="I65" i="6"/>
  <c r="I66" i="6"/>
  <c r="I67" i="6"/>
  <c r="I69" i="6"/>
  <c r="I176" i="1"/>
  <c r="J176" i="1" a="1"/>
  <c r="J176" i="1" s="1"/>
  <c r="I177" i="1"/>
  <c r="J177" i="1" s="1" a="1"/>
  <c r="J177" i="1" s="1"/>
  <c r="I178" i="1"/>
  <c r="J178" i="1" s="1" a="1"/>
  <c r="J178" i="1" s="1"/>
  <c r="I179" i="1"/>
  <c r="J179" i="1" s="1" a="1"/>
  <c r="J179" i="1" s="1"/>
  <c r="I180" i="1"/>
  <c r="J180" i="1" s="1" a="1"/>
  <c r="J180" i="1" s="1"/>
  <c r="I181" i="1"/>
  <c r="J181" i="1" a="1"/>
  <c r="J181" i="1" s="1"/>
  <c r="I183" i="1"/>
  <c r="J183" i="1" s="1" a="1"/>
  <c r="J183" i="1" s="1"/>
  <c r="I184" i="1"/>
  <c r="J184" i="1" s="1" a="1"/>
  <c r="J184" i="1" s="1"/>
  <c r="I185" i="1"/>
  <c r="J185" i="1" a="1"/>
  <c r="J185" i="1" s="1"/>
  <c r="I186" i="1"/>
  <c r="J186" i="1" s="1" a="1"/>
  <c r="J186" i="1" s="1"/>
  <c r="I187" i="1"/>
  <c r="J187" i="1" s="1" a="1"/>
  <c r="J187" i="1" s="1"/>
  <c r="I188" i="1"/>
  <c r="J188" i="1" a="1"/>
  <c r="J188" i="1" s="1"/>
  <c r="I189" i="1"/>
  <c r="J189" i="1" s="1" a="1"/>
  <c r="J189" i="1" s="1"/>
  <c r="I190" i="1"/>
  <c r="J190" i="1" s="1" a="1"/>
  <c r="J190" i="1" s="1"/>
  <c r="F190" i="1"/>
  <c r="I172" i="1"/>
  <c r="J172" i="1" a="1"/>
  <c r="J172" i="1" s="1"/>
  <c r="I173" i="1"/>
  <c r="J173" i="1" s="1" a="1"/>
  <c r="J173" i="1" s="1"/>
  <c r="I174" i="1"/>
  <c r="J174" i="1" s="1" a="1"/>
  <c r="J174" i="1" s="1"/>
  <c r="I175" i="1"/>
  <c r="J175" i="1" a="1"/>
  <c r="J175" i="1" s="1"/>
  <c r="G16" i="7"/>
  <c r="H16" i="7" s="1"/>
  <c r="G17" i="7"/>
  <c r="H17" i="7" s="1"/>
  <c r="G18" i="7"/>
  <c r="H18" i="7" s="1"/>
  <c r="G19" i="7"/>
  <c r="C374" i="17"/>
  <c r="I166" i="1"/>
  <c r="J166" i="1" s="1" a="1"/>
  <c r="J166" i="1" s="1"/>
  <c r="I167" i="1"/>
  <c r="J167" i="1" s="1" a="1"/>
  <c r="J167" i="1" s="1"/>
  <c r="H77" i="9" s="1" a="1"/>
  <c r="H77" i="9" s="1"/>
  <c r="I168" i="1"/>
  <c r="J168" i="1" a="1"/>
  <c r="J168" i="1" s="1"/>
  <c r="I169" i="1"/>
  <c r="J169" i="1" a="1"/>
  <c r="J169" i="1" s="1"/>
  <c r="I170" i="1"/>
  <c r="J170" i="1" a="1"/>
  <c r="J170" i="1" s="1"/>
  <c r="I171" i="1"/>
  <c r="J171" i="1" a="1"/>
  <c r="J171" i="1" s="1"/>
  <c r="C401" i="17"/>
  <c r="D32" i="14"/>
  <c r="C33" i="20"/>
  <c r="A34" i="20"/>
  <c r="B34" i="20"/>
  <c r="C34" i="20"/>
  <c r="A35" i="20"/>
  <c r="B35" i="20"/>
  <c r="C35" i="20"/>
  <c r="A36" i="20"/>
  <c r="B36" i="20"/>
  <c r="C36" i="20"/>
  <c r="A37" i="20"/>
  <c r="B37" i="20"/>
  <c r="C37" i="20"/>
  <c r="A38" i="20"/>
  <c r="B38" i="20"/>
  <c r="C38" i="20"/>
  <c r="A39" i="20"/>
  <c r="B39" i="20"/>
  <c r="C39" i="20"/>
  <c r="A40" i="20"/>
  <c r="B40" i="20"/>
  <c r="C40" i="20"/>
  <c r="I163" i="1"/>
  <c r="J163" i="1" a="1"/>
  <c r="J163" i="1" s="1"/>
  <c r="I164" i="1"/>
  <c r="J164" i="1" s="1" a="1"/>
  <c r="J164" i="1" s="1"/>
  <c r="H65" i="9" s="1" a="1"/>
  <c r="H65" i="9" s="1"/>
  <c r="I165" i="1"/>
  <c r="J165" i="1"/>
  <c r="C387" i="17"/>
  <c r="D28" i="18"/>
  <c r="C380" i="17"/>
  <c r="C536" i="17" s="1"/>
  <c r="I158" i="1"/>
  <c r="J158" i="1" s="1" a="1"/>
  <c r="J158" i="1" s="1"/>
  <c r="I159" i="1"/>
  <c r="J159" i="1" a="1"/>
  <c r="J159" i="1"/>
  <c r="I160" i="1"/>
  <c r="J160" i="1" s="1" a="1"/>
  <c r="J160" i="1" s="1"/>
  <c r="I161" i="1"/>
  <c r="J161" i="1" a="1"/>
  <c r="J161" i="1" s="1"/>
  <c r="I162" i="1"/>
  <c r="J162" i="1" s="1" a="1"/>
  <c r="J162" i="1" s="1"/>
  <c r="I149" i="1"/>
  <c r="J149" i="1" a="1"/>
  <c r="J149" i="1"/>
  <c r="I150" i="1"/>
  <c r="J150" i="1" s="1" a="1"/>
  <c r="J150" i="1" s="1"/>
  <c r="I151" i="1"/>
  <c r="J151" i="1" a="1"/>
  <c r="J151" i="1" s="1"/>
  <c r="I152" i="1"/>
  <c r="J152" i="1" s="1" a="1"/>
  <c r="J152" i="1" s="1"/>
  <c r="I153" i="1"/>
  <c r="J153" i="1" a="1"/>
  <c r="J153" i="1"/>
  <c r="I154" i="1"/>
  <c r="J154" i="1" s="1" a="1"/>
  <c r="J154" i="1" s="1"/>
  <c r="I155" i="1"/>
  <c r="J155" i="1" a="1"/>
  <c r="J155" i="1" s="1"/>
  <c r="I156" i="1"/>
  <c r="J156" i="1" s="1" a="1"/>
  <c r="J156" i="1" s="1"/>
  <c r="I157" i="1"/>
  <c r="J157" i="1" a="1"/>
  <c r="J157" i="1" s="1"/>
  <c r="I141" i="1"/>
  <c r="J141" i="1" s="1" a="1"/>
  <c r="J141" i="1" s="1"/>
  <c r="I142" i="1"/>
  <c r="J142" i="1" a="1"/>
  <c r="J142" i="1" s="1"/>
  <c r="I143" i="1"/>
  <c r="J143" i="1" s="1" a="1"/>
  <c r="J143" i="1" s="1"/>
  <c r="I144" i="1"/>
  <c r="J144" i="1" a="1"/>
  <c r="J144" i="1" s="1"/>
  <c r="I145" i="1"/>
  <c r="J145" i="1" s="1" a="1"/>
  <c r="J145" i="1" s="1"/>
  <c r="I146" i="1"/>
  <c r="J146" i="1" a="1"/>
  <c r="J146" i="1" s="1"/>
  <c r="I147" i="1"/>
  <c r="J147" i="1" s="1" a="1"/>
  <c r="J147" i="1" s="1"/>
  <c r="V23" i="9" s="1" a="1"/>
  <c r="V23" i="9" s="1"/>
  <c r="I148" i="1"/>
  <c r="J148" i="1" s="1" a="1"/>
  <c r="J148" i="1" s="1"/>
  <c r="C229" i="17"/>
  <c r="I138" i="1"/>
  <c r="J138" i="1" s="1" a="1"/>
  <c r="J138" i="1" s="1"/>
  <c r="I139" i="1"/>
  <c r="J139" i="1" s="1" a="1"/>
  <c r="J139" i="1" s="1"/>
  <c r="I140" i="1"/>
  <c r="J140" i="1" s="1" a="1"/>
  <c r="J140" i="1" s="1"/>
  <c r="I137" i="1"/>
  <c r="J137" i="1" s="1" a="1"/>
  <c r="J137" i="1" s="1"/>
  <c r="F16" i="15"/>
  <c r="F17" i="15"/>
  <c r="F18" i="15"/>
  <c r="F19" i="15"/>
  <c r="F21" i="15"/>
  <c r="G16" i="15"/>
  <c r="H16" i="15" s="1"/>
  <c r="G17" i="15"/>
  <c r="H17" i="15" s="1"/>
  <c r="G18" i="15"/>
  <c r="H18" i="15" s="1"/>
  <c r="G19" i="15"/>
  <c r="H19" i="15" s="1"/>
  <c r="G20" i="15"/>
  <c r="H20" i="15" s="1"/>
  <c r="G21" i="15"/>
  <c r="H21" i="15" s="1"/>
  <c r="I129" i="1"/>
  <c r="J129" i="1" a="1"/>
  <c r="J129" i="1" s="1"/>
  <c r="I130" i="1"/>
  <c r="J130" i="1" s="1" a="1"/>
  <c r="J130" i="1" s="1"/>
  <c r="I131" i="1"/>
  <c r="J131" i="1" a="1"/>
  <c r="J131" i="1" s="1"/>
  <c r="I132" i="1"/>
  <c r="J132" i="1" a="1"/>
  <c r="J132" i="1" s="1"/>
  <c r="I133" i="1"/>
  <c r="J133" i="1" s="1" a="1"/>
  <c r="J133" i="1" s="1"/>
  <c r="I134" i="1"/>
  <c r="J134" i="1" a="1"/>
  <c r="J134" i="1" s="1"/>
  <c r="I135" i="1"/>
  <c r="J135" i="1" s="1" a="1"/>
  <c r="J135" i="1" s="1"/>
  <c r="I136" i="1"/>
  <c r="J136" i="1" s="1" a="1"/>
  <c r="J136" i="1" s="1"/>
  <c r="I128" i="1"/>
  <c r="J128" i="1" a="1"/>
  <c r="J128" i="1" s="1"/>
  <c r="AA5" i="9" s="1" a="1"/>
  <c r="AA5" i="9" s="1"/>
  <c r="I118" i="1"/>
  <c r="J118" i="1" s="1" a="1"/>
  <c r="J118" i="1" s="1"/>
  <c r="W6" i="9" s="1" a="1"/>
  <c r="W6" i="9" s="1"/>
  <c r="I119" i="1"/>
  <c r="J119" i="1" s="1" a="1"/>
  <c r="J119" i="1" s="1"/>
  <c r="I120" i="1"/>
  <c r="J120" i="1" a="1"/>
  <c r="J120" i="1" s="1"/>
  <c r="I121" i="1"/>
  <c r="J121" i="1" s="1" a="1"/>
  <c r="J121" i="1" s="1"/>
  <c r="I122" i="1"/>
  <c r="J122" i="1" a="1"/>
  <c r="J122" i="1" s="1"/>
  <c r="I123" i="1"/>
  <c r="J123" i="1" s="1" a="1"/>
  <c r="J123" i="1" s="1"/>
  <c r="I124" i="1"/>
  <c r="J124" i="1" s="1" a="1"/>
  <c r="J124" i="1" s="1"/>
  <c r="I125" i="1"/>
  <c r="J125" i="1" a="1"/>
  <c r="J125" i="1" s="1"/>
  <c r="I126" i="1"/>
  <c r="J126" i="1" s="1" a="1"/>
  <c r="J126" i="1" s="1"/>
  <c r="I127" i="1"/>
  <c r="J127" i="1" a="1"/>
  <c r="J127" i="1" s="1"/>
  <c r="I20" i="6"/>
  <c r="I21" i="6"/>
  <c r="I22" i="6"/>
  <c r="I23" i="6"/>
  <c r="I24" i="6"/>
  <c r="I25" i="6"/>
  <c r="I26" i="6"/>
  <c r="I27" i="6"/>
  <c r="I28" i="6"/>
  <c r="I29" i="6"/>
  <c r="I31" i="6"/>
  <c r="I32" i="6"/>
  <c r="I33" i="6"/>
  <c r="I34" i="6"/>
  <c r="I35" i="6"/>
  <c r="I36" i="6"/>
  <c r="I37" i="6"/>
  <c r="I38" i="6"/>
  <c r="I39" i="6"/>
  <c r="I40" i="6"/>
  <c r="I19" i="6"/>
  <c r="G55" i="6"/>
  <c r="G56" i="6"/>
  <c r="G57" i="6"/>
  <c r="G58" i="6"/>
  <c r="G59" i="6"/>
  <c r="G60" i="6"/>
  <c r="G61" i="6"/>
  <c r="G62" i="6"/>
  <c r="G63" i="6"/>
  <c r="G64" i="6"/>
  <c r="G65" i="6"/>
  <c r="G66" i="6"/>
  <c r="G67"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28" i="6"/>
  <c r="G29" i="6"/>
  <c r="G31" i="6"/>
  <c r="G32" i="6"/>
  <c r="G33" i="6"/>
  <c r="G34" i="6"/>
  <c r="G35" i="6"/>
  <c r="G36" i="6"/>
  <c r="G37" i="6"/>
  <c r="G38" i="6"/>
  <c r="G39" i="6"/>
  <c r="G40" i="6"/>
  <c r="G41" i="6"/>
  <c r="G42" i="6"/>
  <c r="G43" i="6"/>
  <c r="G44" i="6"/>
  <c r="G45" i="6"/>
  <c r="G46" i="6"/>
  <c r="G47" i="6"/>
  <c r="G48" i="6"/>
  <c r="G49" i="6"/>
  <c r="G50" i="6"/>
  <c r="G51" i="6"/>
  <c r="G52" i="6"/>
  <c r="G53" i="6"/>
  <c r="G54" i="6"/>
  <c r="G9" i="7"/>
  <c r="H9" i="7" s="1"/>
  <c r="G10" i="7"/>
  <c r="H10" i="7" s="1"/>
  <c r="G11" i="7"/>
  <c r="H11" i="7" s="1"/>
  <c r="G12" i="7"/>
  <c r="H12" i="7" s="1"/>
  <c r="G13" i="7"/>
  <c r="H13" i="7" s="1"/>
  <c r="G14" i="7"/>
  <c r="H14" i="7" s="1"/>
  <c r="G15" i="7"/>
  <c r="H15" i="7" s="1"/>
  <c r="I105" i="1"/>
  <c r="J105" i="1" s="1" a="1"/>
  <c r="J105" i="1" s="1"/>
  <c r="I106" i="1"/>
  <c r="J106" i="1" s="1" a="1"/>
  <c r="J106" i="1" s="1"/>
  <c r="H67" i="9" s="1" a="1"/>
  <c r="H67" i="9" s="1"/>
  <c r="I107" i="1"/>
  <c r="J107" i="1" a="1"/>
  <c r="J107" i="1" s="1"/>
  <c r="I108" i="1"/>
  <c r="J108" i="1" s="1" a="1"/>
  <c r="J108" i="1" s="1"/>
  <c r="I109" i="1"/>
  <c r="J109" i="1" s="1" a="1"/>
  <c r="J109" i="1" s="1"/>
  <c r="I110" i="1"/>
  <c r="J110" i="1" a="1"/>
  <c r="J110" i="1" s="1"/>
  <c r="I111" i="1"/>
  <c r="J111" i="1" s="1" a="1"/>
  <c r="J111" i="1" s="1"/>
  <c r="I112" i="1"/>
  <c r="J112" i="1" a="1"/>
  <c r="J112" i="1" s="1"/>
  <c r="I113" i="1"/>
  <c r="J113" i="1" a="1"/>
  <c r="J113" i="1" s="1"/>
  <c r="I114" i="1"/>
  <c r="J114" i="1" s="1" a="1"/>
  <c r="J114" i="1" s="1"/>
  <c r="I115" i="1"/>
  <c r="J115" i="1" a="1"/>
  <c r="J115" i="1" s="1"/>
  <c r="I116" i="1"/>
  <c r="J116" i="1" s="1" a="1"/>
  <c r="J116" i="1" s="1"/>
  <c r="I117" i="1"/>
  <c r="J117" i="1" s="1" a="1"/>
  <c r="J117" i="1" s="1"/>
  <c r="J57" i="1"/>
  <c r="I101" i="1"/>
  <c r="J101" i="1" s="1" a="1"/>
  <c r="J101" i="1" s="1"/>
  <c r="I102" i="1"/>
  <c r="J102" i="1" s="1" a="1"/>
  <c r="J102" i="1" s="1"/>
  <c r="I103" i="1"/>
  <c r="J103" i="1" s="1" a="1"/>
  <c r="J103" i="1" s="1"/>
  <c r="I104" i="1"/>
  <c r="J104" i="1" s="1" a="1"/>
  <c r="J104" i="1" s="1"/>
  <c r="G14" i="15"/>
  <c r="H14" i="15" s="1"/>
  <c r="G15" i="15"/>
  <c r="H15" i="15" s="1"/>
  <c r="J61" i="1"/>
  <c r="J59" i="1"/>
  <c r="I82" i="1"/>
  <c r="J82" i="1" s="1" a="1"/>
  <c r="J82" i="1" s="1"/>
  <c r="I83" i="1"/>
  <c r="J83" i="1" a="1"/>
  <c r="J83" i="1" s="1"/>
  <c r="I84" i="1"/>
  <c r="J84" i="1" s="1" a="1"/>
  <c r="J84" i="1" s="1"/>
  <c r="I85" i="1"/>
  <c r="J85" i="1" a="1"/>
  <c r="J85" i="1" s="1"/>
  <c r="I86" i="1"/>
  <c r="J86" i="1" s="1" a="1"/>
  <c r="J86" i="1" s="1"/>
  <c r="I87" i="1"/>
  <c r="J87" i="1" s="1" a="1"/>
  <c r="J87" i="1" s="1"/>
  <c r="I88" i="1"/>
  <c r="J88" i="1" a="1"/>
  <c r="J88" i="1" s="1"/>
  <c r="I89" i="1"/>
  <c r="J89" i="1" s="1" a="1"/>
  <c r="J89" i="1" s="1"/>
  <c r="I90" i="1"/>
  <c r="J90" i="1" s="1" a="1"/>
  <c r="J90" i="1" s="1"/>
  <c r="I91" i="1"/>
  <c r="J91" i="1" a="1"/>
  <c r="J91" i="1" s="1"/>
  <c r="I92" i="1"/>
  <c r="J92" i="1" s="1" a="1"/>
  <c r="J92" i="1" s="1"/>
  <c r="I93" i="1"/>
  <c r="J93" i="1" a="1"/>
  <c r="J93" i="1" s="1"/>
  <c r="I94" i="1"/>
  <c r="J94" i="1" a="1"/>
  <c r="J94" i="1" s="1"/>
  <c r="I95" i="1"/>
  <c r="J95" i="1" s="1" a="1"/>
  <c r="J95" i="1" s="1"/>
  <c r="I96" i="1"/>
  <c r="J96" i="1" a="1"/>
  <c r="J96" i="1" s="1"/>
  <c r="I97" i="1"/>
  <c r="J97" i="1" s="1" a="1"/>
  <c r="J97" i="1" s="1"/>
  <c r="I98" i="1"/>
  <c r="J98" i="1" s="1" a="1"/>
  <c r="J98" i="1" s="1"/>
  <c r="I99" i="1"/>
  <c r="J99" i="1" s="1" a="1"/>
  <c r="J99" i="1" s="1"/>
  <c r="I100" i="1"/>
  <c r="J100" i="1" s="1" a="1"/>
  <c r="J100" i="1" s="1"/>
  <c r="F13" i="15"/>
  <c r="G27" i="6"/>
  <c r="G26" i="6"/>
  <c r="G25" i="6"/>
  <c r="G24" i="6"/>
  <c r="G23" i="6"/>
  <c r="G22" i="6"/>
  <c r="G21" i="6"/>
  <c r="G20" i="6"/>
  <c r="G19" i="6"/>
  <c r="J62" i="1"/>
  <c r="J60" i="1"/>
  <c r="J58" i="1"/>
  <c r="J56" i="1"/>
  <c r="J55" i="1"/>
  <c r="J54"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J28" i="1"/>
  <c r="I28" i="1"/>
  <c r="I3" i="1"/>
  <c r="J3" i="1"/>
  <c r="I4" i="1"/>
  <c r="J4" i="1"/>
  <c r="I5" i="1"/>
  <c r="J5" i="1"/>
  <c r="I6" i="1"/>
  <c r="J6" i="1"/>
  <c r="I7" i="1"/>
  <c r="J7" i="1"/>
  <c r="I8" i="1"/>
  <c r="J8" i="1"/>
  <c r="I9" i="1"/>
  <c r="J9" i="1"/>
  <c r="I10" i="1"/>
  <c r="J10" i="1"/>
  <c r="I11" i="1"/>
  <c r="J11" i="1"/>
  <c r="I12" i="1"/>
  <c r="J12" i="1"/>
  <c r="I13" i="1"/>
  <c r="J13" i="1"/>
  <c r="I14" i="1"/>
  <c r="J14" i="1"/>
  <c r="I15" i="1"/>
  <c r="J15" i="1"/>
  <c r="I16" i="1"/>
  <c r="J16" i="1"/>
  <c r="I17" i="1"/>
  <c r="J17" i="1"/>
  <c r="I18" i="1"/>
  <c r="J18" i="1"/>
  <c r="I19" i="1"/>
  <c r="J19" i="1"/>
  <c r="I20" i="1"/>
  <c r="J20" i="1"/>
  <c r="I21" i="1"/>
  <c r="J21" i="1"/>
  <c r="I22" i="1"/>
  <c r="J22" i="1"/>
  <c r="I23" i="1"/>
  <c r="J23" i="1"/>
  <c r="I24" i="1"/>
  <c r="J24" i="1"/>
  <c r="I25" i="1"/>
  <c r="J25" i="1"/>
  <c r="I26" i="1"/>
  <c r="J26" i="1"/>
  <c r="I27" i="1"/>
  <c r="J27" i="1"/>
  <c r="M2" i="1" a="1"/>
  <c r="M2" i="1"/>
  <c r="J2" i="1"/>
  <c r="I2" i="1"/>
  <c r="I199" i="1" s="1" a="1"/>
  <c r="I199" i="1" s="1"/>
  <c r="J37" i="14"/>
  <c r="J38" i="14"/>
  <c r="J39" i="14"/>
  <c r="J40" i="14"/>
  <c r="J41" i="14"/>
  <c r="J42" i="14"/>
  <c r="D38" i="14"/>
  <c r="D39" i="14"/>
  <c r="D40" i="14"/>
  <c r="D41" i="14"/>
  <c r="D38" i="18"/>
  <c r="D39" i="18"/>
  <c r="D40" i="18"/>
  <c r="D41" i="18"/>
  <c r="D42" i="18"/>
  <c r="D43" i="18"/>
  <c r="E38" i="18"/>
  <c r="E39" i="18"/>
  <c r="E40" i="18"/>
  <c r="E41" i="18"/>
  <c r="E42" i="18"/>
  <c r="E43" i="18"/>
  <c r="I73" i="1"/>
  <c r="J73" i="1" a="1"/>
  <c r="J73" i="1" s="1"/>
  <c r="I74" i="1"/>
  <c r="J74" i="1" a="1"/>
  <c r="J74" i="1" s="1"/>
  <c r="I75" i="1"/>
  <c r="J75" i="1" a="1"/>
  <c r="J75" i="1" s="1"/>
  <c r="I76" i="1"/>
  <c r="J76" i="1" s="1" a="1"/>
  <c r="J76" i="1" s="1"/>
  <c r="I77" i="1"/>
  <c r="J77" i="1" a="1"/>
  <c r="J77" i="1" s="1"/>
  <c r="I78" i="1"/>
  <c r="J78" i="1" a="1"/>
  <c r="J78" i="1" s="1"/>
  <c r="I79" i="1"/>
  <c r="J79" i="1" a="1"/>
  <c r="J79" i="1" s="1"/>
  <c r="I80" i="1"/>
  <c r="J80" i="1" s="1" a="1"/>
  <c r="J80" i="1" s="1"/>
  <c r="I81" i="1"/>
  <c r="J81" i="1" a="1"/>
  <c r="J81" i="1" s="1"/>
  <c r="F12" i="15"/>
  <c r="G10" i="15"/>
  <c r="H10" i="15" s="1"/>
  <c r="G11" i="15"/>
  <c r="H11" i="15" s="1"/>
  <c r="G12" i="15"/>
  <c r="H12" i="15" s="1"/>
  <c r="G13" i="15"/>
  <c r="H13" i="15" s="1"/>
  <c r="I63" i="1"/>
  <c r="J63" i="1" s="1" a="1"/>
  <c r="J63" i="1" s="1"/>
  <c r="I64" i="1"/>
  <c r="J64" i="1" s="1" a="1"/>
  <c r="J64" i="1" s="1"/>
  <c r="I65" i="1"/>
  <c r="J65" i="1" s="1" a="1"/>
  <c r="J65" i="1" s="1"/>
  <c r="I66" i="1"/>
  <c r="J66" i="1" a="1"/>
  <c r="J66" i="1"/>
  <c r="I67" i="1"/>
  <c r="J67" i="1" a="1"/>
  <c r="J67" i="1" s="1"/>
  <c r="I68" i="1"/>
  <c r="J68" i="1" a="1"/>
  <c r="J68" i="1" s="1"/>
  <c r="I69" i="1"/>
  <c r="J69" i="1" a="1"/>
  <c r="J69" i="1" s="1"/>
  <c r="I70" i="1"/>
  <c r="J70" i="1" s="1" a="1"/>
  <c r="J70" i="1" s="1"/>
  <c r="I71" i="1"/>
  <c r="J71" i="1" a="1"/>
  <c r="J71" i="1" s="1"/>
  <c r="I72" i="1"/>
  <c r="J72" i="1" a="1"/>
  <c r="J72" i="1" s="1"/>
  <c r="G6" i="7"/>
  <c r="H6" i="7" s="1"/>
  <c r="G7" i="7"/>
  <c r="H7" i="7" s="1"/>
  <c r="G8" i="7"/>
  <c r="H8" i="7" s="1"/>
  <c r="G5" i="15"/>
  <c r="G6" i="15"/>
  <c r="G7" i="15"/>
  <c r="G8" i="15"/>
  <c r="G9" i="15"/>
  <c r="H9" i="15" s="1"/>
  <c r="C7" i="8"/>
  <c r="D37" i="14"/>
  <c r="F7" i="15"/>
  <c r="F8" i="15"/>
  <c r="F9" i="15"/>
  <c r="G5" i="7"/>
  <c r="G3" i="7"/>
  <c r="G4" i="7"/>
  <c r="G8" i="6"/>
  <c r="G9" i="6"/>
  <c r="P35" i="7"/>
  <c r="P36" i="7"/>
  <c r="P37" i="7"/>
  <c r="P38" i="7"/>
  <c r="P39" i="7"/>
  <c r="P40" i="7"/>
  <c r="P41" i="7"/>
  <c r="P42" i="7"/>
  <c r="P43" i="7"/>
  <c r="P44" i="7"/>
  <c r="P45" i="7"/>
  <c r="P46" i="7"/>
  <c r="P47" i="7"/>
  <c r="P48" i="7"/>
  <c r="P49" i="7"/>
  <c r="P50" i="7"/>
  <c r="P51" i="7"/>
  <c r="P52" i="7"/>
  <c r="P53" i="7"/>
  <c r="P54" i="7"/>
  <c r="P55" i="7"/>
  <c r="P34" i="7"/>
  <c r="P56" i="7"/>
  <c r="K27" i="15"/>
  <c r="K26" i="15"/>
  <c r="K25" i="15"/>
  <c r="K30" i="15"/>
  <c r="B49" i="9" a="1"/>
  <c r="L110" i="9" s="1"/>
  <c r="AA31" i="9" s="1" a="1"/>
  <c r="AA31" i="9" s="1"/>
  <c r="I36" i="12"/>
  <c r="J35" i="14"/>
  <c r="J36" i="14"/>
  <c r="D35" i="14"/>
  <c r="D36" i="14"/>
  <c r="D35" i="18"/>
  <c r="D36" i="18"/>
  <c r="D37" i="18"/>
  <c r="E35" i="18"/>
  <c r="E36" i="18"/>
  <c r="E37" i="18"/>
  <c r="J25" i="15"/>
  <c r="J30" i="15"/>
  <c r="J27" i="15"/>
  <c r="E62" i="7"/>
  <c r="E61" i="7"/>
  <c r="G7" i="6"/>
  <c r="C39" i="12"/>
  <c r="C40" i="12"/>
  <c r="C41" i="12"/>
  <c r="C42" i="12"/>
  <c r="C38" i="12"/>
  <c r="C37" i="12"/>
  <c r="J4" i="14"/>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4" i="12"/>
  <c r="G2" i="7"/>
  <c r="I35" i="12"/>
  <c r="G5" i="6"/>
  <c r="G6" i="6"/>
  <c r="F5" i="15"/>
  <c r="F6" i="15"/>
  <c r="B84" i="9" a="1"/>
  <c r="B84" i="9"/>
  <c r="E40" i="7"/>
  <c r="E41" i="7"/>
  <c r="E42" i="7"/>
  <c r="E43" i="7"/>
  <c r="E44" i="7"/>
  <c r="E45" i="7"/>
  <c r="E46" i="7"/>
  <c r="E47" i="7"/>
  <c r="E48" i="7"/>
  <c r="E49" i="7"/>
  <c r="E50" i="7"/>
  <c r="E51" i="7"/>
  <c r="E52" i="7"/>
  <c r="E53" i="7"/>
  <c r="E54" i="7"/>
  <c r="E55" i="7"/>
  <c r="E56" i="7"/>
  <c r="E57" i="7"/>
  <c r="E58" i="7"/>
  <c r="E59" i="7"/>
  <c r="E60" i="7"/>
  <c r="E39" i="7"/>
  <c r="E83" i="2"/>
  <c r="F83" i="2"/>
  <c r="G83" i="2"/>
  <c r="H83" i="2"/>
  <c r="I83" i="2"/>
  <c r="D83" i="2"/>
  <c r="E84" i="2"/>
  <c r="F84" i="2"/>
  <c r="H84" i="2"/>
  <c r="I84" i="2"/>
  <c r="D84" i="2"/>
  <c r="E85" i="2"/>
  <c r="F85" i="2"/>
  <c r="H85" i="2"/>
  <c r="I85" i="2"/>
  <c r="D85" i="2"/>
  <c r="E86" i="2"/>
  <c r="F86" i="2"/>
  <c r="E87" i="2"/>
  <c r="F87" i="2"/>
  <c r="G87" i="2"/>
  <c r="H87" i="2"/>
  <c r="I87" i="2"/>
  <c r="D87" i="2"/>
  <c r="E88" i="2"/>
  <c r="F88" i="2"/>
  <c r="E89" i="2"/>
  <c r="F89" i="2"/>
  <c r="G89" i="2"/>
  <c r="E90" i="2"/>
  <c r="F90" i="2"/>
  <c r="G90" i="2"/>
  <c r="E91" i="2"/>
  <c r="F91" i="2"/>
  <c r="H91" i="2"/>
  <c r="I91" i="2"/>
  <c r="D91" i="2"/>
  <c r="E92" i="2"/>
  <c r="F92" i="2"/>
  <c r="H92" i="2"/>
  <c r="I92" i="2"/>
  <c r="D92" i="2"/>
  <c r="E93" i="2"/>
  <c r="F93" i="2"/>
  <c r="G93" i="2"/>
  <c r="E94" i="2"/>
  <c r="F94" i="2"/>
  <c r="G94" i="2"/>
  <c r="E95" i="2"/>
  <c r="F95" i="2"/>
  <c r="G95" i="2"/>
  <c r="E96" i="2"/>
  <c r="F96" i="2"/>
  <c r="H96" i="2"/>
  <c r="I96" i="2"/>
  <c r="D96" i="2"/>
  <c r="G96" i="2"/>
  <c r="E97" i="2"/>
  <c r="F97" i="2"/>
  <c r="G97" i="2"/>
  <c r="E98" i="2"/>
  <c r="F98" i="2"/>
  <c r="G98" i="2"/>
  <c r="E99" i="2"/>
  <c r="F99" i="2"/>
  <c r="G99" i="2"/>
  <c r="H99" i="2"/>
  <c r="I99" i="2"/>
  <c r="D99" i="2"/>
  <c r="E100" i="2"/>
  <c r="F100" i="2"/>
  <c r="G100" i="2"/>
  <c r="H100" i="2"/>
  <c r="I100" i="2"/>
  <c r="D100" i="2"/>
  <c r="E101" i="2"/>
  <c r="F101" i="2"/>
  <c r="G101" i="2"/>
  <c r="H101" i="2"/>
  <c r="I101" i="2"/>
  <c r="D101" i="2"/>
  <c r="E102" i="2"/>
  <c r="F102" i="2"/>
  <c r="G102" i="2"/>
  <c r="H102" i="2"/>
  <c r="I102" i="2"/>
  <c r="D102" i="2"/>
  <c r="E103" i="2"/>
  <c r="F103" i="2"/>
  <c r="G103" i="2"/>
  <c r="H103" i="2"/>
  <c r="I103" i="2"/>
  <c r="D103" i="2"/>
  <c r="E104" i="2"/>
  <c r="F104" i="2"/>
  <c r="G104" i="2"/>
  <c r="H104" i="2"/>
  <c r="I104" i="2"/>
  <c r="D104" i="2"/>
  <c r="E105" i="2"/>
  <c r="F105" i="2"/>
  <c r="G105" i="2"/>
  <c r="H105" i="2"/>
  <c r="I105" i="2"/>
  <c r="D105" i="2"/>
  <c r="E106" i="2"/>
  <c r="F106" i="2"/>
  <c r="G106" i="2"/>
  <c r="H106" i="2"/>
  <c r="I106" i="2"/>
  <c r="D106" i="2"/>
  <c r="E107" i="2"/>
  <c r="F107" i="2"/>
  <c r="G107" i="2"/>
  <c r="H107" i="2"/>
  <c r="I107" i="2"/>
  <c r="D107" i="2"/>
  <c r="E108" i="2"/>
  <c r="F108" i="2"/>
  <c r="G108" i="2"/>
  <c r="H108" i="2"/>
  <c r="I108" i="2"/>
  <c r="D108" i="2"/>
  <c r="E109" i="2"/>
  <c r="F109" i="2"/>
  <c r="G109" i="2"/>
  <c r="H109" i="2"/>
  <c r="I109" i="2"/>
  <c r="D109" i="2"/>
  <c r="E110" i="2"/>
  <c r="F110" i="2"/>
  <c r="G110" i="2"/>
  <c r="H110" i="2"/>
  <c r="I110" i="2"/>
  <c r="D110" i="2"/>
  <c r="E111" i="2"/>
  <c r="F111" i="2"/>
  <c r="G111" i="2"/>
  <c r="H111" i="2"/>
  <c r="I111" i="2"/>
  <c r="D111" i="2"/>
  <c r="E112" i="2"/>
  <c r="F112" i="2"/>
  <c r="G112" i="2"/>
  <c r="H112" i="2"/>
  <c r="I112" i="2"/>
  <c r="D112" i="2"/>
  <c r="E113" i="2"/>
  <c r="F113" i="2"/>
  <c r="G113" i="2"/>
  <c r="H113" i="2"/>
  <c r="I113" i="2"/>
  <c r="D113" i="2"/>
  <c r="E114" i="2"/>
  <c r="F114" i="2"/>
  <c r="G114" i="2"/>
  <c r="H114" i="2"/>
  <c r="I114" i="2"/>
  <c r="D114" i="2"/>
  <c r="E115" i="2"/>
  <c r="F115" i="2"/>
  <c r="G115" i="2"/>
  <c r="H115" i="2"/>
  <c r="I115" i="2"/>
  <c r="D115" i="2"/>
  <c r="E116" i="2"/>
  <c r="F116" i="2"/>
  <c r="G116" i="2"/>
  <c r="H116" i="2"/>
  <c r="I116" i="2"/>
  <c r="D116" i="2"/>
  <c r="E117" i="2"/>
  <c r="F117" i="2"/>
  <c r="G117" i="2"/>
  <c r="H117" i="2"/>
  <c r="I117" i="2"/>
  <c r="D117" i="2"/>
  <c r="E118" i="2"/>
  <c r="F118" i="2"/>
  <c r="G118" i="2"/>
  <c r="H118" i="2"/>
  <c r="I118" i="2"/>
  <c r="D118" i="2"/>
  <c r="E119" i="2"/>
  <c r="F119" i="2"/>
  <c r="G119" i="2"/>
  <c r="H119" i="2"/>
  <c r="I119" i="2"/>
  <c r="D119" i="2"/>
  <c r="E74" i="2"/>
  <c r="F74" i="2"/>
  <c r="H74" i="2"/>
  <c r="I74" i="2"/>
  <c r="D74" i="2"/>
  <c r="E75" i="2"/>
  <c r="G75" i="2"/>
  <c r="H196" i="1"/>
  <c r="F75" i="2"/>
  <c r="E76" i="2"/>
  <c r="F76" i="2"/>
  <c r="E77" i="2"/>
  <c r="F77" i="2"/>
  <c r="E78" i="2"/>
  <c r="F78" i="2"/>
  <c r="H78" i="2"/>
  <c r="I78" i="2"/>
  <c r="D78" i="2"/>
  <c r="E79" i="2"/>
  <c r="F79" i="2"/>
  <c r="H79" i="2"/>
  <c r="I79" i="2"/>
  <c r="D79" i="2"/>
  <c r="E80" i="2"/>
  <c r="F80" i="2"/>
  <c r="G80" i="2"/>
  <c r="H80" i="2"/>
  <c r="I80" i="2"/>
  <c r="D80" i="2"/>
  <c r="E81" i="2"/>
  <c r="G81" i="2"/>
  <c r="F81" i="2"/>
  <c r="H81" i="2"/>
  <c r="I81" i="2"/>
  <c r="D81" i="2"/>
  <c r="E82" i="2"/>
  <c r="F82" i="2"/>
  <c r="G82" i="2"/>
  <c r="H82" i="2"/>
  <c r="I82" i="2"/>
  <c r="D82" i="2"/>
  <c r="Q5" i="9" a="1"/>
  <c r="A12" i="20" s="1"/>
  <c r="A21" i="20"/>
  <c r="D30" i="18"/>
  <c r="I3" i="12"/>
  <c r="J3" i="14"/>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G4" i="6"/>
  <c r="E56" i="2"/>
  <c r="F56" i="2"/>
  <c r="H56" i="2"/>
  <c r="I56" i="2"/>
  <c r="D56" i="2"/>
  <c r="E57" i="2"/>
  <c r="F57" i="2"/>
  <c r="E58" i="2"/>
  <c r="F58" i="2"/>
  <c r="H58" i="2"/>
  <c r="I58" i="2"/>
  <c r="D58" i="2"/>
  <c r="F27" i="2"/>
  <c r="H27" i="2"/>
  <c r="I27" i="2"/>
  <c r="D27" i="2"/>
  <c r="E27" i="2"/>
  <c r="G27" i="2"/>
  <c r="E59" i="2"/>
  <c r="F59" i="2"/>
  <c r="H59" i="2"/>
  <c r="I59" i="2"/>
  <c r="D59" i="2"/>
  <c r="F28" i="2"/>
  <c r="H28" i="2"/>
  <c r="I28" i="2"/>
  <c r="D28" i="2"/>
  <c r="E28" i="2"/>
  <c r="E60" i="2"/>
  <c r="F60" i="2"/>
  <c r="H60" i="2"/>
  <c r="I60" i="2"/>
  <c r="D60" i="2"/>
  <c r="E61" i="2"/>
  <c r="F61" i="2"/>
  <c r="H61" i="2"/>
  <c r="I61" i="2"/>
  <c r="D61" i="2"/>
  <c r="E62" i="2"/>
  <c r="F62" i="2"/>
  <c r="H62" i="2"/>
  <c r="I62" i="2"/>
  <c r="D62" i="2"/>
  <c r="E63" i="2"/>
  <c r="F63" i="2"/>
  <c r="H63" i="2"/>
  <c r="I63" i="2"/>
  <c r="D63" i="2"/>
  <c r="E64" i="2"/>
  <c r="G64" i="2"/>
  <c r="F64" i="2"/>
  <c r="H64" i="2"/>
  <c r="I64" i="2"/>
  <c r="D64" i="2"/>
  <c r="E65" i="2"/>
  <c r="G65" i="2"/>
  <c r="F65" i="2"/>
  <c r="H65" i="2"/>
  <c r="I65" i="2"/>
  <c r="D65" i="2"/>
  <c r="E66" i="2"/>
  <c r="F66" i="2"/>
  <c r="H66" i="2"/>
  <c r="I66" i="2"/>
  <c r="D66" i="2"/>
  <c r="E67" i="2"/>
  <c r="F67" i="2"/>
  <c r="H67" i="2"/>
  <c r="I67" i="2"/>
  <c r="D67" i="2"/>
  <c r="E68" i="2"/>
  <c r="F68" i="2"/>
  <c r="H68" i="2"/>
  <c r="I68" i="2"/>
  <c r="D68" i="2"/>
  <c r="E69" i="2"/>
  <c r="F69" i="2"/>
  <c r="H69" i="2"/>
  <c r="I69" i="2"/>
  <c r="D69" i="2"/>
  <c r="E70" i="2"/>
  <c r="F70" i="2"/>
  <c r="H70" i="2"/>
  <c r="I70" i="2"/>
  <c r="D70" i="2"/>
  <c r="E71" i="2"/>
  <c r="F71" i="2"/>
  <c r="G71" i="2"/>
  <c r="E72" i="2"/>
  <c r="F72" i="2"/>
  <c r="E73" i="2"/>
  <c r="F73" i="2"/>
  <c r="H73" i="2"/>
  <c r="I73" i="2"/>
  <c r="D73" i="2"/>
  <c r="E45" i="2"/>
  <c r="F45" i="2"/>
  <c r="H45" i="2"/>
  <c r="I45" i="2"/>
  <c r="D45" i="2"/>
  <c r="E46" i="2"/>
  <c r="F46" i="2"/>
  <c r="E47" i="2"/>
  <c r="F47" i="2"/>
  <c r="H47" i="2"/>
  <c r="I47" i="2"/>
  <c r="D47" i="2"/>
  <c r="E48" i="2"/>
  <c r="F48" i="2"/>
  <c r="H48" i="2"/>
  <c r="I48" i="2"/>
  <c r="D48" i="2"/>
  <c r="F20" i="2"/>
  <c r="H20" i="2"/>
  <c r="I20" i="2"/>
  <c r="D20" i="2"/>
  <c r="E20" i="2"/>
  <c r="E49" i="2"/>
  <c r="F49" i="2"/>
  <c r="H49" i="2"/>
  <c r="I49" i="2"/>
  <c r="D49" i="2"/>
  <c r="F21" i="2"/>
  <c r="H21" i="2"/>
  <c r="I21" i="2"/>
  <c r="D21" i="2"/>
  <c r="E21" i="2"/>
  <c r="E50" i="2"/>
  <c r="F50" i="2"/>
  <c r="E51" i="2"/>
  <c r="F51" i="2"/>
  <c r="H51" i="2"/>
  <c r="I51" i="2"/>
  <c r="D51" i="2"/>
  <c r="E52" i="2"/>
  <c r="F52" i="2"/>
  <c r="H52" i="2"/>
  <c r="I52" i="2"/>
  <c r="D52" i="2"/>
  <c r="E53" i="2"/>
  <c r="F53" i="2"/>
  <c r="H53" i="2"/>
  <c r="I53" i="2"/>
  <c r="D53" i="2"/>
  <c r="E54" i="2"/>
  <c r="F54" i="2"/>
  <c r="F24" i="2"/>
  <c r="H24" i="2"/>
  <c r="I24" i="2"/>
  <c r="D24" i="2"/>
  <c r="E24" i="2"/>
  <c r="G24" i="2"/>
  <c r="H82" i="1"/>
  <c r="E55" i="2"/>
  <c r="F55" i="2"/>
  <c r="H55" i="2"/>
  <c r="I55" i="2"/>
  <c r="D55" i="2"/>
  <c r="F25" i="2"/>
  <c r="E25" i="2"/>
  <c r="C3" i="12"/>
  <c r="O7" i="17"/>
  <c r="D21" i="18"/>
  <c r="D22" i="18"/>
  <c r="D23" i="18"/>
  <c r="D24" i="18"/>
  <c r="D25" i="18"/>
  <c r="D26" i="18"/>
  <c r="D27" i="18"/>
  <c r="D29" i="18"/>
  <c r="D31" i="18"/>
  <c r="D32" i="18"/>
  <c r="D33" i="18"/>
  <c r="D34" i="18"/>
  <c r="E21" i="18"/>
  <c r="E22" i="18"/>
  <c r="E23" i="18"/>
  <c r="E24" i="18"/>
  <c r="E25" i="18"/>
  <c r="E26" i="18"/>
  <c r="E27" i="18"/>
  <c r="E28" i="18"/>
  <c r="E29" i="18"/>
  <c r="E30" i="18"/>
  <c r="E31" i="18"/>
  <c r="E32" i="18"/>
  <c r="E33" i="18"/>
  <c r="E34" i="18"/>
  <c r="J21" i="14"/>
  <c r="J22" i="14"/>
  <c r="J23" i="14"/>
  <c r="J24" i="14"/>
  <c r="J25" i="14"/>
  <c r="J26" i="14"/>
  <c r="J27" i="14"/>
  <c r="J28" i="14"/>
  <c r="J29" i="14"/>
  <c r="J30" i="14"/>
  <c r="J31" i="14"/>
  <c r="J32" i="14"/>
  <c r="J33" i="14"/>
  <c r="J34" i="14"/>
  <c r="D17" i="14"/>
  <c r="D18" i="14"/>
  <c r="D19" i="14"/>
  <c r="D20" i="14"/>
  <c r="D21" i="14"/>
  <c r="D22" i="14"/>
  <c r="D23" i="14"/>
  <c r="D24" i="14"/>
  <c r="D25" i="14"/>
  <c r="D26" i="14"/>
  <c r="D27" i="14"/>
  <c r="D28" i="14"/>
  <c r="D29" i="14"/>
  <c r="D30" i="14"/>
  <c r="D31" i="14"/>
  <c r="D33" i="14"/>
  <c r="D34" i="14"/>
  <c r="G3" i="6"/>
  <c r="G2" i="6"/>
  <c r="C19" i="8"/>
  <c r="D16" i="14"/>
  <c r="J18" i="14"/>
  <c r="J19" i="14"/>
  <c r="J20" i="14"/>
  <c r="E33" i="2"/>
  <c r="F33" i="2"/>
  <c r="H33" i="2"/>
  <c r="I33" i="2"/>
  <c r="D33" i="2"/>
  <c r="F6" i="2"/>
  <c r="E6" i="2"/>
  <c r="F5" i="2"/>
  <c r="H5" i="2"/>
  <c r="I5" i="2"/>
  <c r="D5" i="2"/>
  <c r="E5" i="2"/>
  <c r="E34" i="2"/>
  <c r="F34" i="2"/>
  <c r="H34" i="2"/>
  <c r="I34" i="2"/>
  <c r="D34" i="2"/>
  <c r="F18" i="2"/>
  <c r="E18" i="2"/>
  <c r="E35" i="2"/>
  <c r="F35" i="2"/>
  <c r="E36" i="2"/>
  <c r="G36" i="2"/>
  <c r="F36" i="2"/>
  <c r="H36" i="2"/>
  <c r="I36" i="2"/>
  <c r="D36" i="2"/>
  <c r="F22" i="2"/>
  <c r="H22" i="2"/>
  <c r="I22" i="2"/>
  <c r="D22" i="2"/>
  <c r="E22" i="2"/>
  <c r="F7" i="2"/>
  <c r="H7" i="2"/>
  <c r="I7" i="2"/>
  <c r="D7" i="2"/>
  <c r="E7" i="2"/>
  <c r="E37" i="2"/>
  <c r="F37" i="2"/>
  <c r="E39" i="2"/>
  <c r="G39" i="2"/>
  <c r="F39" i="2"/>
  <c r="H39" i="2"/>
  <c r="I39" i="2"/>
  <c r="D39" i="2"/>
  <c r="E40" i="2"/>
  <c r="F40" i="2"/>
  <c r="E41" i="2"/>
  <c r="G41" i="2"/>
  <c r="F41" i="2"/>
  <c r="H41" i="2"/>
  <c r="I41" i="2"/>
  <c r="D41" i="2"/>
  <c r="E42" i="2"/>
  <c r="G42" i="2"/>
  <c r="H124" i="1"/>
  <c r="F42" i="2"/>
  <c r="H42" i="2"/>
  <c r="I42" i="2"/>
  <c r="D42" i="2"/>
  <c r="E43" i="2"/>
  <c r="F43" i="2"/>
  <c r="H43" i="2"/>
  <c r="I43" i="2"/>
  <c r="D43" i="2"/>
  <c r="E44" i="2"/>
  <c r="F44" i="2"/>
  <c r="H44" i="2"/>
  <c r="I44" i="2"/>
  <c r="D44" i="2"/>
  <c r="F19" i="2"/>
  <c r="E19" i="2"/>
  <c r="F38" i="2"/>
  <c r="H38" i="2"/>
  <c r="I38" i="2"/>
  <c r="D38" i="2"/>
  <c r="E38" i="2"/>
  <c r="I4" i="12"/>
  <c r="I5" i="12"/>
  <c r="D3" i="14"/>
  <c r="D4" i="14"/>
  <c r="D5" i="14"/>
  <c r="D6" i="14"/>
  <c r="D7" i="14"/>
  <c r="D8" i="14"/>
  <c r="D9" i="14"/>
  <c r="D10" i="14"/>
  <c r="D11" i="14"/>
  <c r="D12" i="14"/>
  <c r="D13" i="14"/>
  <c r="D14" i="14"/>
  <c r="D15" i="14"/>
  <c r="D3" i="18"/>
  <c r="D4" i="18"/>
  <c r="D5" i="18"/>
  <c r="D6" i="18"/>
  <c r="D7" i="18"/>
  <c r="D8" i="18"/>
  <c r="D9" i="18"/>
  <c r="D10" i="18"/>
  <c r="D11" i="18"/>
  <c r="D12" i="18"/>
  <c r="D13" i="18"/>
  <c r="D14" i="18"/>
  <c r="D15" i="18"/>
  <c r="D16" i="18"/>
  <c r="D17" i="18"/>
  <c r="D18" i="18"/>
  <c r="D19" i="18"/>
  <c r="D20" i="18"/>
  <c r="J5" i="14"/>
  <c r="J6" i="14"/>
  <c r="J7" i="14"/>
  <c r="J8" i="14"/>
  <c r="J9" i="14"/>
  <c r="J10" i="14"/>
  <c r="J11" i="14"/>
  <c r="J12" i="14"/>
  <c r="J13" i="14"/>
  <c r="J14" i="14"/>
  <c r="J16" i="14"/>
  <c r="J17" i="14"/>
  <c r="J4" i="19" a="1"/>
  <c r="J4" i="19" s="1"/>
  <c r="E8" i="18"/>
  <c r="E3" i="18"/>
  <c r="E4" i="18"/>
  <c r="E5" i="18"/>
  <c r="E6" i="18"/>
  <c r="E7" i="18"/>
  <c r="E9" i="18"/>
  <c r="E10" i="18"/>
  <c r="E11" i="18"/>
  <c r="E12" i="18"/>
  <c r="E13" i="18"/>
  <c r="E14" i="18"/>
  <c r="E15" i="18"/>
  <c r="E16" i="18"/>
  <c r="E17" i="18"/>
  <c r="E18" i="18"/>
  <c r="E19" i="18"/>
  <c r="E20" i="18"/>
  <c r="F13" i="2"/>
  <c r="H13" i="2"/>
  <c r="I13" i="2"/>
  <c r="D13" i="2"/>
  <c r="E13" i="2"/>
  <c r="F23" i="2"/>
  <c r="H23" i="2"/>
  <c r="I23" i="2"/>
  <c r="D23" i="2"/>
  <c r="E23" i="2"/>
  <c r="F15" i="2"/>
  <c r="H15" i="2"/>
  <c r="I15" i="2"/>
  <c r="D15" i="2"/>
  <c r="E15" i="2"/>
  <c r="F16" i="2"/>
  <c r="E16" i="2"/>
  <c r="F26" i="2"/>
  <c r="H26" i="2"/>
  <c r="I26" i="2"/>
  <c r="D26" i="2"/>
  <c r="E26" i="2"/>
  <c r="F29" i="2"/>
  <c r="H29" i="2"/>
  <c r="I29" i="2"/>
  <c r="D29" i="2"/>
  <c r="E29" i="2"/>
  <c r="F30" i="2"/>
  <c r="H30" i="2"/>
  <c r="I30" i="2"/>
  <c r="D30" i="2"/>
  <c r="F31" i="2"/>
  <c r="E31" i="2"/>
  <c r="G31" i="2"/>
  <c r="H103" i="1"/>
  <c r="F32" i="2"/>
  <c r="H32" i="2"/>
  <c r="I32" i="2"/>
  <c r="D32" i="2"/>
  <c r="F14" i="2"/>
  <c r="E14" i="2"/>
  <c r="E30" i="2"/>
  <c r="E32" i="2"/>
  <c r="N4" i="17"/>
  <c r="F12" i="2"/>
  <c r="E12" i="2"/>
  <c r="F11" i="2"/>
  <c r="H11" i="2"/>
  <c r="I11" i="2"/>
  <c r="E11" i="2"/>
  <c r="E17" i="2"/>
  <c r="F17" i="2"/>
  <c r="H17" i="2"/>
  <c r="I17" i="2"/>
  <c r="D17" i="2"/>
  <c r="F9" i="2"/>
  <c r="H9" i="2"/>
  <c r="I9" i="2"/>
  <c r="D9" i="2"/>
  <c r="E9" i="2"/>
  <c r="E8" i="2"/>
  <c r="F8" i="2"/>
  <c r="H8" i="2"/>
  <c r="I8" i="2"/>
  <c r="D8" i="2"/>
  <c r="E10" i="2"/>
  <c r="E4" i="2"/>
  <c r="C8" i="8"/>
  <c r="F10" i="2"/>
  <c r="H10" i="2"/>
  <c r="I10" i="2"/>
  <c r="D10" i="2"/>
  <c r="F4" i="2"/>
  <c r="H4" i="2"/>
  <c r="I4" i="2"/>
  <c r="D4" i="2"/>
  <c r="N3" i="7"/>
  <c r="N5" i="7"/>
  <c r="E6" i="11"/>
  <c r="D6" i="11"/>
  <c r="F3" i="2"/>
  <c r="J15" i="14"/>
  <c r="H94" i="2"/>
  <c r="I94" i="2"/>
  <c r="D94" i="2"/>
  <c r="G91" i="2"/>
  <c r="H98" i="2"/>
  <c r="I98" i="2"/>
  <c r="D98" i="2"/>
  <c r="H93" i="2"/>
  <c r="I93" i="2"/>
  <c r="D93" i="2"/>
  <c r="H95" i="2"/>
  <c r="I95" i="2"/>
  <c r="D95" i="2"/>
  <c r="H97" i="2"/>
  <c r="I97" i="2"/>
  <c r="D97" i="2"/>
  <c r="B2" i="2"/>
  <c r="H89" i="2"/>
  <c r="I89" i="2"/>
  <c r="D89" i="2"/>
  <c r="G86" i="2"/>
  <c r="H90" i="2"/>
  <c r="I90" i="2"/>
  <c r="D90" i="2"/>
  <c r="G85" i="2"/>
  <c r="G92" i="2"/>
  <c r="G88" i="2"/>
  <c r="H88" i="2"/>
  <c r="I88" i="2"/>
  <c r="D88" i="2"/>
  <c r="H86" i="2"/>
  <c r="I86" i="2"/>
  <c r="D86" i="2"/>
  <c r="D2" i="17"/>
  <c r="D3" i="17"/>
  <c r="N6" i="17" s="1"/>
  <c r="B18" i="21"/>
  <c r="B9" i="21"/>
  <c r="B24" i="21"/>
  <c r="B26" i="21"/>
  <c r="B15" i="21"/>
  <c r="B27" i="21"/>
  <c r="B20" i="21"/>
  <c r="B25" i="21"/>
  <c r="B11" i="21"/>
  <c r="B16" i="21"/>
  <c r="B13" i="21"/>
  <c r="B6" i="21"/>
  <c r="B12" i="21"/>
  <c r="B10" i="21"/>
  <c r="B23" i="21"/>
  <c r="B5" i="21"/>
  <c r="B4" i="21"/>
  <c r="B19" i="21"/>
  <c r="B8" i="21"/>
  <c r="B22" i="21"/>
  <c r="B2" i="21"/>
  <c r="B14" i="21"/>
  <c r="B21" i="21"/>
  <c r="B3" i="21"/>
  <c r="B7" i="21"/>
  <c r="B17" i="21"/>
  <c r="H75" i="2"/>
  <c r="I75" i="2"/>
  <c r="D75" i="2"/>
  <c r="G84" i="2"/>
  <c r="G19" i="2"/>
  <c r="H75" i="1"/>
  <c r="G54" i="2"/>
  <c r="H47" i="1"/>
  <c r="H17" i="1"/>
  <c r="H44" i="1"/>
  <c r="H31" i="1"/>
  <c r="H12" i="1"/>
  <c r="H35" i="1"/>
  <c r="H37" i="1"/>
  <c r="H10" i="1"/>
  <c r="H48" i="1"/>
  <c r="H38" i="1"/>
  <c r="H53" i="1"/>
  <c r="H36" i="1"/>
  <c r="H61" i="1"/>
  <c r="H20" i="1"/>
  <c r="H7" i="1"/>
  <c r="H6" i="1"/>
  <c r="H21" i="1"/>
  <c r="H59" i="1"/>
  <c r="H62" i="1"/>
  <c r="H60" i="1"/>
  <c r="H46" i="1"/>
  <c r="H16" i="1"/>
  <c r="H41" i="1"/>
  <c r="H34" i="1"/>
  <c r="H4" i="1"/>
  <c r="H43" i="1"/>
  <c r="H40" i="1"/>
  <c r="H50" i="1"/>
  <c r="H49" i="1"/>
  <c r="H24" i="1"/>
  <c r="H25" i="1"/>
  <c r="H52" i="1"/>
  <c r="H54" i="1"/>
  <c r="H28" i="1"/>
  <c r="H22" i="1"/>
  <c r="H57" i="1"/>
  <c r="H58" i="1"/>
  <c r="H27" i="1"/>
  <c r="H15" i="1"/>
  <c r="H42" i="1"/>
  <c r="H51" i="1"/>
  <c r="H5" i="1"/>
  <c r="H9" i="1"/>
  <c r="H29" i="1"/>
  <c r="H30" i="1"/>
  <c r="H8" i="1"/>
  <c r="H2" i="1"/>
  <c r="H32" i="1"/>
  <c r="H11" i="1"/>
  <c r="H33" i="1"/>
  <c r="H3" i="1"/>
  <c r="H13" i="1"/>
  <c r="H14" i="1"/>
  <c r="H56" i="1"/>
  <c r="H18" i="1"/>
  <c r="H45" i="1"/>
  <c r="H19" i="1"/>
  <c r="H39" i="1"/>
  <c r="H26" i="1"/>
  <c r="H23" i="1"/>
  <c r="H55" i="1"/>
  <c r="G18" i="2"/>
  <c r="H175" i="1"/>
  <c r="G73" i="2"/>
  <c r="H188" i="1"/>
  <c r="G43" i="2"/>
  <c r="H128" i="1"/>
  <c r="G55" i="2"/>
  <c r="H152" i="1"/>
  <c r="G49" i="2"/>
  <c r="H143" i="1"/>
  <c r="G77" i="2"/>
  <c r="G37" i="2"/>
  <c r="H112" i="1"/>
  <c r="G57" i="2"/>
  <c r="G72" i="2"/>
  <c r="H185" i="1"/>
  <c r="G76" i="2"/>
  <c r="H197" i="1"/>
  <c r="G48" i="2"/>
  <c r="H140" i="1"/>
  <c r="G6" i="2"/>
  <c r="H100" i="1"/>
  <c r="G70" i="2"/>
  <c r="H180" i="1"/>
  <c r="G69" i="2"/>
  <c r="H179" i="1"/>
  <c r="G14" i="2"/>
  <c r="H72" i="1"/>
  <c r="G25" i="2"/>
  <c r="H86" i="1"/>
  <c r="H77" i="2"/>
  <c r="I77" i="2"/>
  <c r="D77" i="2"/>
  <c r="G66" i="2"/>
  <c r="H176" i="1"/>
  <c r="G40" i="2"/>
  <c r="G50" i="2"/>
  <c r="H145" i="1"/>
  <c r="H76" i="2"/>
  <c r="I76" i="2"/>
  <c r="D76" i="2"/>
  <c r="G74" i="2"/>
  <c r="H190" i="1"/>
  <c r="G30" i="2"/>
  <c r="H184" i="1"/>
  <c r="G10" i="2"/>
  <c r="G34" i="2"/>
  <c r="H19" i="2"/>
  <c r="I19" i="2"/>
  <c r="D19" i="2"/>
  <c r="G7" i="2"/>
  <c r="H71" i="1"/>
  <c r="G67" i="2"/>
  <c r="H189" i="1"/>
  <c r="G28" i="2"/>
  <c r="H93" i="1"/>
  <c r="H6" i="2"/>
  <c r="I6" i="2"/>
  <c r="D6" i="2"/>
  <c r="G68" i="2"/>
  <c r="G15" i="2"/>
  <c r="H63" i="1"/>
  <c r="H72" i="2"/>
  <c r="I72" i="2"/>
  <c r="D72" i="2"/>
  <c r="H57" i="2"/>
  <c r="I57" i="2"/>
  <c r="D57" i="2"/>
  <c r="G12" i="2"/>
  <c r="H66" i="1"/>
  <c r="G8" i="2"/>
  <c r="H186" i="1"/>
  <c r="G46" i="2"/>
  <c r="H132" i="1"/>
  <c r="G21" i="2"/>
  <c r="H77" i="1"/>
  <c r="G47" i="2"/>
  <c r="G51" i="2"/>
  <c r="H146" i="1"/>
  <c r="G4" i="2"/>
  <c r="G45" i="2"/>
  <c r="H130" i="1"/>
  <c r="G59" i="2"/>
  <c r="H163" i="1"/>
  <c r="G44" i="2"/>
  <c r="H129" i="1"/>
  <c r="G23" i="2"/>
  <c r="H81" i="1"/>
  <c r="G17" i="2"/>
  <c r="H70" i="1"/>
  <c r="G16" i="2"/>
  <c r="H65" i="1"/>
  <c r="G35" i="2"/>
  <c r="H108" i="1"/>
  <c r="G52" i="2"/>
  <c r="H158" i="1"/>
  <c r="G61" i="2"/>
  <c r="H160" i="1"/>
  <c r="G13" i="2"/>
  <c r="H64" i="1"/>
  <c r="H35" i="2"/>
  <c r="I35" i="2"/>
  <c r="D35" i="2"/>
  <c r="H25" i="2"/>
  <c r="I25" i="2"/>
  <c r="D25" i="2"/>
  <c r="G56" i="2"/>
  <c r="G20" i="2"/>
  <c r="H84" i="1"/>
  <c r="G9" i="2"/>
  <c r="H14" i="2"/>
  <c r="I14" i="2"/>
  <c r="D14" i="2"/>
  <c r="G63" i="2"/>
  <c r="H173" i="1"/>
  <c r="H16" i="2"/>
  <c r="I16" i="2"/>
  <c r="D16" i="2"/>
  <c r="G32" i="2"/>
  <c r="H104" i="1"/>
  <c r="G38" i="2"/>
  <c r="H113" i="1"/>
  <c r="H40" i="2"/>
  <c r="I40" i="2"/>
  <c r="D40" i="2"/>
  <c r="G58" i="2"/>
  <c r="G5" i="2"/>
  <c r="H149" i="1"/>
  <c r="H50" i="2"/>
  <c r="I50" i="2"/>
  <c r="D50" i="2"/>
  <c r="H12" i="2"/>
  <c r="I12" i="2"/>
  <c r="D12" i="2"/>
  <c r="H54" i="2"/>
  <c r="I54" i="2"/>
  <c r="D54" i="2"/>
  <c r="H118" i="1"/>
  <c r="H18" i="2"/>
  <c r="I18" i="2"/>
  <c r="D18" i="2"/>
  <c r="H46" i="2"/>
  <c r="I46" i="2"/>
  <c r="D46" i="2"/>
  <c r="G62" i="2"/>
  <c r="H153" i="1"/>
  <c r="H151" i="1"/>
  <c r="H37" i="2"/>
  <c r="I37" i="2"/>
  <c r="D37" i="2"/>
  <c r="G33" i="2"/>
  <c r="H31" i="2"/>
  <c r="I31" i="2"/>
  <c r="D31" i="2"/>
  <c r="H102" i="1"/>
  <c r="H123" i="1"/>
  <c r="H73" i="1"/>
  <c r="H156" i="1"/>
  <c r="H68" i="1"/>
  <c r="H161" i="1"/>
  <c r="H127" i="1"/>
  <c r="H106" i="1"/>
  <c r="H121" i="1"/>
  <c r="H138" i="1"/>
  <c r="H165" i="1"/>
  <c r="H116" i="1"/>
  <c r="H133" i="1"/>
  <c r="H141" i="1"/>
  <c r="H107" i="1"/>
  <c r="H69" i="1"/>
  <c r="H115" i="1"/>
  <c r="H89" i="1"/>
  <c r="H148" i="1"/>
  <c r="H126" i="1"/>
  <c r="H177" i="1"/>
  <c r="H134" i="1"/>
  <c r="H154" i="1"/>
  <c r="H131" i="1"/>
  <c r="H170" i="1"/>
  <c r="H155" i="1"/>
  <c r="H168" i="1"/>
  <c r="H83" i="1"/>
  <c r="H80" i="1"/>
  <c r="H167" i="1"/>
  <c r="H178" i="1"/>
  <c r="H187" i="1"/>
  <c r="H162" i="1"/>
  <c r="H159" i="1"/>
  <c r="H85" i="1"/>
  <c r="H105" i="1"/>
  <c r="H74" i="1"/>
  <c r="H78" i="1"/>
  <c r="H181" i="1"/>
  <c r="H109" i="1"/>
  <c r="H67" i="1"/>
  <c r="H157" i="1"/>
  <c r="H166" i="1"/>
  <c r="C16" i="10"/>
  <c r="C6" i="8"/>
  <c r="K6" i="6"/>
  <c r="G143" i="6"/>
  <c r="H119" i="1"/>
  <c r="H120" i="1"/>
  <c r="H194" i="1"/>
  <c r="H174" i="1"/>
  <c r="H172" i="1"/>
  <c r="H192" i="1"/>
  <c r="H117" i="1"/>
  <c r="H122" i="1"/>
  <c r="H114" i="1"/>
  <c r="H125" i="1"/>
  <c r="H110" i="1"/>
  <c r="H111" i="1"/>
  <c r="H183" i="1"/>
  <c r="H195" i="1"/>
  <c r="H193" i="1"/>
  <c r="H191" i="1"/>
  <c r="H198" i="1"/>
  <c r="H99" i="1"/>
  <c r="H98" i="1"/>
  <c r="H90" i="1"/>
  <c r="H136" i="1"/>
  <c r="H142" i="1"/>
  <c r="H71" i="2"/>
  <c r="I71" i="2"/>
  <c r="D71" i="2"/>
  <c r="G79" i="2"/>
  <c r="H147" i="1"/>
  <c r="H144" i="1"/>
  <c r="G29" i="2"/>
  <c r="G11" i="2"/>
  <c r="G60" i="2"/>
  <c r="H139" i="1"/>
  <c r="G53" i="2"/>
  <c r="H150" i="1"/>
  <c r="H171" i="1"/>
  <c r="H76" i="1"/>
  <c r="G22" i="2"/>
  <c r="H137" i="1"/>
  <c r="G26" i="2"/>
  <c r="G78" i="2"/>
  <c r="A33" i="20"/>
  <c r="K115" i="9"/>
  <c r="Z36" i="9" a="1"/>
  <c r="Z36" i="9" s="1"/>
  <c r="L115" i="9"/>
  <c r="AA36" i="9" a="1"/>
  <c r="AA36" i="9" s="1"/>
  <c r="I115" i="9"/>
  <c r="X36" i="9" s="1" a="1"/>
  <c r="X36" i="9" s="1"/>
  <c r="E115" i="9"/>
  <c r="D115" i="9"/>
  <c r="M115" i="9"/>
  <c r="AB36" i="9" a="1"/>
  <c r="AB36" i="9" s="1"/>
  <c r="J115" i="9"/>
  <c r="Y36" i="9" s="1" a="1"/>
  <c r="Y36" i="9" s="1"/>
  <c r="O115" i="9"/>
  <c r="AD36" i="9"/>
  <c r="B33" i="20" s="1"/>
  <c r="F115" i="9"/>
  <c r="H115" i="9"/>
  <c r="W36" i="9" a="1"/>
  <c r="W36" i="9"/>
  <c r="C115" i="9"/>
  <c r="G115" i="9"/>
  <c r="V36" i="9" a="1"/>
  <c r="V36" i="9" s="1"/>
  <c r="C111" i="9"/>
  <c r="R32" i="9" s="1" a="1"/>
  <c r="R32" i="9" s="1"/>
  <c r="M91" i="9"/>
  <c r="AB12" i="9" s="1" a="1"/>
  <c r="AB12" i="9" s="1"/>
  <c r="M109" i="9"/>
  <c r="AB30" i="9" a="1"/>
  <c r="AB30" i="9" s="1"/>
  <c r="J98" i="9"/>
  <c r="Y19" i="9" a="1"/>
  <c r="Y19" i="9" s="1"/>
  <c r="M88" i="9"/>
  <c r="AB9" i="9" s="1" a="1"/>
  <c r="AB9" i="9" s="1"/>
  <c r="O86" i="9"/>
  <c r="AD7" i="9" s="1"/>
  <c r="L69" i="9" a="1"/>
  <c r="L69" i="9" s="1"/>
  <c r="A20" i="20"/>
  <c r="I59" i="9" a="1"/>
  <c r="I59" i="9" s="1"/>
  <c r="O92" i="9"/>
  <c r="AD13" i="9" s="1"/>
  <c r="A9" i="20"/>
  <c r="L91" i="9"/>
  <c r="AA12" i="9" s="1" a="1"/>
  <c r="AA12" i="9" s="1"/>
  <c r="I98" i="9"/>
  <c r="X19" i="9" a="1"/>
  <c r="X19" i="9" s="1"/>
  <c r="G88" i="9"/>
  <c r="V9" i="9" s="1" a="1"/>
  <c r="V9" i="9" s="1"/>
  <c r="A27" i="20"/>
  <c r="M61" i="9" a="1"/>
  <c r="M61" i="9" s="1"/>
  <c r="I66" i="9" a="1"/>
  <c r="I66" i="9" s="1"/>
  <c r="K50" i="9" a="1"/>
  <c r="K50" i="9" s="1"/>
  <c r="I63" i="9" a="1"/>
  <c r="I63" i="9"/>
  <c r="K59" i="9" a="1"/>
  <c r="K59" i="9" s="1"/>
  <c r="C101" i="9"/>
  <c r="R22" i="9" s="1" a="1"/>
  <c r="R22" i="9" s="1"/>
  <c r="M54" i="9" a="1"/>
  <c r="M54" i="9" s="1"/>
  <c r="O97" i="9"/>
  <c r="AD18" i="9" s="1"/>
  <c r="E103" i="9"/>
  <c r="T24" i="9" s="1" a="1"/>
  <c r="T24" i="9" s="1"/>
  <c r="M85" i="9"/>
  <c r="AB6" i="9" s="1" a="1"/>
  <c r="AB6" i="9" s="1"/>
  <c r="F98" i="9"/>
  <c r="U19" i="9" s="1" a="1"/>
  <c r="U19" i="9" s="1"/>
  <c r="E97" i="9"/>
  <c r="T18" i="9" s="1" a="1"/>
  <c r="T18" i="9" s="1"/>
  <c r="O90" i="9"/>
  <c r="AD11" i="9" s="1"/>
  <c r="K94" i="9"/>
  <c r="Z15" i="9" s="1" a="1"/>
  <c r="Z15" i="9" s="1"/>
  <c r="J57" i="9" a="1"/>
  <c r="J57" i="9" s="1"/>
  <c r="I75" i="9" a="1"/>
  <c r="I75" i="9" s="1"/>
  <c r="L63" i="9" a="1"/>
  <c r="L63" i="9" s="1"/>
  <c r="B7" i="9"/>
  <c r="C7" i="9" s="1"/>
  <c r="A30" i="20"/>
  <c r="I85" i="9"/>
  <c r="X6" i="9" s="1" a="1"/>
  <c r="X6" i="9" s="1"/>
  <c r="H101" i="9"/>
  <c r="W22" i="9" s="1" a="1"/>
  <c r="W22" i="9" s="1"/>
  <c r="J50" i="9" a="1"/>
  <c r="J50" i="9" s="1"/>
  <c r="E101" i="9"/>
  <c r="T22" i="9" s="1" a="1"/>
  <c r="T22" i="9" s="1"/>
  <c r="D106" i="9"/>
  <c r="S27" i="9" s="1" a="1"/>
  <c r="S27" i="9" s="1"/>
  <c r="I58" i="9" a="1"/>
  <c r="I58" i="9" s="1"/>
  <c r="A22" i="20"/>
  <c r="C91" i="9"/>
  <c r="R12" i="9" a="1"/>
  <c r="R12" i="9" s="1"/>
  <c r="H105" i="9"/>
  <c r="W26" i="9" s="1" a="1"/>
  <c r="W26" i="9" s="1"/>
  <c r="I56" i="9" a="1"/>
  <c r="I56" i="9" s="1"/>
  <c r="H95" i="9"/>
  <c r="F105" i="9"/>
  <c r="U26" i="9" s="1" a="1"/>
  <c r="U26" i="9" s="1"/>
  <c r="D114" i="9"/>
  <c r="S35" i="9" a="1"/>
  <c r="S35" i="9" s="1"/>
  <c r="K101" i="9"/>
  <c r="Z22" i="9" s="1" a="1"/>
  <c r="Z22" i="9" s="1"/>
  <c r="G110" i="9"/>
  <c r="V31" i="9" s="1" a="1"/>
  <c r="V31" i="9" s="1"/>
  <c r="O107" i="9"/>
  <c r="AD28" i="9" s="1"/>
  <c r="H100" i="9"/>
  <c r="G63" i="9" a="1"/>
  <c r="G63" i="9" s="1"/>
  <c r="A5" i="20"/>
  <c r="M90" i="9"/>
  <c r="AB11" i="9" s="1" a="1"/>
  <c r="AB11" i="9" s="1"/>
  <c r="H64" i="9" a="1"/>
  <c r="H64" i="9"/>
  <c r="O61" i="9"/>
  <c r="H63" i="9" a="1"/>
  <c r="H63" i="9" s="1"/>
  <c r="J71" i="9" a="1"/>
  <c r="J71" i="9" s="1"/>
  <c r="J69" i="9" a="1"/>
  <c r="J69" i="9" s="1"/>
  <c r="A15" i="20"/>
  <c r="A14" i="20"/>
  <c r="K85" i="9"/>
  <c r="Z6" i="9" s="1" a="1"/>
  <c r="Z6" i="9" s="1"/>
  <c r="D100" i="9"/>
  <c r="S21" i="9" s="1" a="1"/>
  <c r="S21" i="9" s="1"/>
  <c r="D112" i="9"/>
  <c r="S33" i="9" s="1" a="1"/>
  <c r="S33" i="9" s="1"/>
  <c r="O70" i="9"/>
  <c r="B4" i="9"/>
  <c r="M55" i="9" a="1"/>
  <c r="M55" i="9" s="1"/>
  <c r="J86" i="9"/>
  <c r="Y7" i="9" s="1" a="1"/>
  <c r="Y7" i="9" s="1"/>
  <c r="I61" i="9" a="1"/>
  <c r="I61" i="9" s="1"/>
  <c r="D107" i="9"/>
  <c r="S28" i="9" s="1" a="1"/>
  <c r="S28" i="9" s="1"/>
  <c r="O66" i="9"/>
  <c r="H78" i="9" a="1"/>
  <c r="H78" i="9" s="1"/>
  <c r="G79" i="9" a="1"/>
  <c r="G79" i="9" s="1"/>
  <c r="L103" i="9"/>
  <c r="D103" i="9"/>
  <c r="S24" i="9" s="1" a="1"/>
  <c r="S24" i="9"/>
  <c r="M75" i="9" a="1"/>
  <c r="M75" i="9" s="1"/>
  <c r="B18" i="9"/>
  <c r="E18" i="9" s="1"/>
  <c r="I105" i="9"/>
  <c r="X26" i="9" s="1" a="1"/>
  <c r="X26" i="9" s="1"/>
  <c r="A29" i="20"/>
  <c r="O51" i="9"/>
  <c r="J65" i="9" a="1"/>
  <c r="J65" i="9" s="1"/>
  <c r="A23" i="20"/>
  <c r="J93" i="9"/>
  <c r="Y14" i="9" a="1"/>
  <c r="Y14" i="9" s="1"/>
  <c r="I89" i="9"/>
  <c r="I52" i="9" a="1"/>
  <c r="I52" i="9"/>
  <c r="J101" i="9"/>
  <c r="Y22" i="9" a="1"/>
  <c r="Y22" i="9" s="1"/>
  <c r="E93" i="9"/>
  <c r="T14" i="9" s="1" a="1"/>
  <c r="T14" i="9" s="1"/>
  <c r="D88" i="9"/>
  <c r="S9" i="9" s="1" a="1"/>
  <c r="S9" i="9" s="1"/>
  <c r="K65" i="9" a="1"/>
  <c r="K65" i="9" s="1"/>
  <c r="M72" i="9" a="1"/>
  <c r="M72" i="9"/>
  <c r="L86" i="9"/>
  <c r="AA7" i="9" s="1" a="1"/>
  <c r="AA7" i="9" s="1"/>
  <c r="I70" i="9" a="1"/>
  <c r="I70" i="9" s="1"/>
  <c r="H55" i="9" a="1"/>
  <c r="H55" i="9" s="1"/>
  <c r="O87" i="9"/>
  <c r="AD8" i="9" s="1"/>
  <c r="M93" i="9"/>
  <c r="AB14" i="9" s="1" a="1"/>
  <c r="AB14" i="9" s="1"/>
  <c r="J52" i="9" a="1"/>
  <c r="J52" i="9" s="1"/>
  <c r="L60" i="9" a="1"/>
  <c r="L60" i="9" s="1"/>
  <c r="M67" i="9" a="1"/>
  <c r="M67" i="9" s="1"/>
  <c r="J66" i="9" a="1"/>
  <c r="J66" i="9" s="1"/>
  <c r="B5" i="9"/>
  <c r="I110" i="9"/>
  <c r="X31" i="9" a="1"/>
  <c r="X31" i="9" s="1"/>
  <c r="C105" i="9"/>
  <c r="R26" i="9" a="1"/>
  <c r="R26" i="9" s="1"/>
  <c r="O69" i="9"/>
  <c r="D101" i="9"/>
  <c r="S22" i="9" s="1" a="1"/>
  <c r="S22" i="9" s="1"/>
  <c r="C98" i="9"/>
  <c r="R19" i="9" s="1" a="1"/>
  <c r="R19" i="9" s="1"/>
  <c r="D105" i="9"/>
  <c r="M111" i="9"/>
  <c r="AB32" i="9" s="1" a="1"/>
  <c r="AB32" i="9" s="1"/>
  <c r="I79" i="9" a="1"/>
  <c r="I79" i="9" s="1"/>
  <c r="M56" i="9" a="1"/>
  <c r="M56" i="9" s="1"/>
  <c r="D110" i="9"/>
  <c r="S31" i="9" s="1" a="1"/>
  <c r="S31" i="9" s="1"/>
  <c r="H113" i="9"/>
  <c r="W34" i="9" s="1" a="1"/>
  <c r="W34" i="9" s="1"/>
  <c r="G108" i="9"/>
  <c r="V29" i="9" s="1" a="1"/>
  <c r="V29" i="9" s="1"/>
  <c r="H111" i="9"/>
  <c r="I109" i="9"/>
  <c r="X30" i="9" s="1" a="1"/>
  <c r="X30" i="9" s="1"/>
  <c r="C87" i="9"/>
  <c r="R8" i="9" s="1" a="1"/>
  <c r="R8" i="9" s="1"/>
  <c r="J96" i="9"/>
  <c r="Y17" i="9" s="1" a="1"/>
  <c r="Y17" i="9"/>
  <c r="G57" i="9" a="1"/>
  <c r="G57" i="9" s="1"/>
  <c r="K114" i="9"/>
  <c r="Z35" i="9" s="1" a="1"/>
  <c r="Z35" i="9" s="1"/>
  <c r="B15" i="9"/>
  <c r="D93" i="9"/>
  <c r="S14" i="9" a="1"/>
  <c r="S14" i="9" s="1"/>
  <c r="K77" i="9" a="1"/>
  <c r="K77" i="9" s="1"/>
  <c r="O106" i="9"/>
  <c r="AD27" i="9" s="1"/>
  <c r="F93" i="9"/>
  <c r="U14" i="9" s="1" a="1"/>
  <c r="U14" i="9" s="1"/>
  <c r="B14" i="9"/>
  <c r="G99" i="9"/>
  <c r="E87" i="9"/>
  <c r="T8" i="9" s="1" a="1"/>
  <c r="T8" i="9" s="1"/>
  <c r="K71" i="9" a="1"/>
  <c r="K71" i="9" s="1"/>
  <c r="L104" i="9"/>
  <c r="C112" i="9"/>
  <c r="R33" i="9" s="1" a="1"/>
  <c r="R33" i="9" s="1"/>
  <c r="L94" i="9"/>
  <c r="K90" i="9"/>
  <c r="Z11" i="9" s="1" a="1"/>
  <c r="Z11" i="9" s="1"/>
  <c r="O109" i="9"/>
  <c r="AD30" i="9"/>
  <c r="K57" i="9" a="1"/>
  <c r="K57" i="9" s="1"/>
  <c r="M97" i="9"/>
  <c r="AB18" i="9" s="1" a="1"/>
  <c r="AB18" i="9" s="1"/>
  <c r="O103" i="9"/>
  <c r="AD24" i="9" s="1"/>
  <c r="L89" i="9"/>
  <c r="AA10" i="9" s="1" a="1"/>
  <c r="AA10" i="9" s="1"/>
  <c r="I106" i="9"/>
  <c r="X27" i="9" s="1" a="1"/>
  <c r="X27" i="9" s="1"/>
  <c r="F92" i="9"/>
  <c r="U13" i="9" s="1" a="1"/>
  <c r="U13" i="9" s="1"/>
  <c r="H108" i="9"/>
  <c r="W29" i="9" s="1" a="1"/>
  <c r="W29" i="9" s="1"/>
  <c r="G53" i="9" a="1"/>
  <c r="G53" i="9" s="1"/>
  <c r="L77" i="9" a="1"/>
  <c r="L77" i="9" s="1"/>
  <c r="O60" i="9"/>
  <c r="K106" i="9"/>
  <c r="Z27" i="9" s="1" a="1"/>
  <c r="Z27" i="9"/>
  <c r="M57" i="9" a="1"/>
  <c r="M57" i="9" s="1"/>
  <c r="G65" i="9" a="1"/>
  <c r="G65" i="9" s="1"/>
  <c r="J92" i="9"/>
  <c r="Y13" i="9" s="1" a="1"/>
  <c r="Y13" i="9" s="1"/>
  <c r="L62" i="9" a="1"/>
  <c r="L62" i="9"/>
  <c r="E102" i="9"/>
  <c r="T23" i="9" s="1" a="1"/>
  <c r="T23" i="9"/>
  <c r="D99" i="9"/>
  <c r="S20" i="9" s="1" a="1"/>
  <c r="S20" i="9" s="1"/>
  <c r="J108" i="9"/>
  <c r="Y29" i="9" s="1" a="1"/>
  <c r="Y29" i="9" s="1"/>
  <c r="L59" i="9" a="1"/>
  <c r="L59" i="9"/>
  <c r="L92" i="9"/>
  <c r="AA13" i="9" a="1"/>
  <c r="AA13" i="9" s="1"/>
  <c r="I50" i="9" a="1"/>
  <c r="I50" i="9" s="1"/>
  <c r="K70" i="9" a="1"/>
  <c r="K70" i="9" s="1"/>
  <c r="F101" i="9"/>
  <c r="U22" i="9" s="1" a="1"/>
  <c r="U22" i="9" s="1"/>
  <c r="G107" i="9"/>
  <c r="V28" i="9" a="1"/>
  <c r="V28" i="9" s="1"/>
  <c r="K64" i="9" a="1"/>
  <c r="K64" i="9" s="1"/>
  <c r="C96" i="9"/>
  <c r="R17" i="9" s="1" a="1"/>
  <c r="R17" i="9" s="1"/>
  <c r="L105" i="9"/>
  <c r="AA26" i="9" a="1"/>
  <c r="AA26" i="9" s="1"/>
  <c r="I65" i="9" a="1"/>
  <c r="I65" i="9" s="1"/>
  <c r="M66" i="9" a="1"/>
  <c r="M66" i="9"/>
  <c r="K96" i="9"/>
  <c r="Z17" i="9" s="1" a="1"/>
  <c r="Z17" i="9" s="1"/>
  <c r="M104" i="9"/>
  <c r="AB25" i="9" s="1" a="1"/>
  <c r="AB25" i="9" s="1"/>
  <c r="G86" i="9"/>
  <c r="H73" i="9" a="1"/>
  <c r="H73" i="9" s="1"/>
  <c r="G102" i="9"/>
  <c r="F109" i="9"/>
  <c r="U30" i="9" s="1" a="1"/>
  <c r="U30" i="9" s="1"/>
  <c r="B3" i="9"/>
  <c r="E112" i="9"/>
  <c r="T33" i="9" s="1" a="1"/>
  <c r="T33" i="9" s="1"/>
  <c r="K99" i="9"/>
  <c r="Z20" i="9" a="1"/>
  <c r="Z20" i="9" s="1"/>
  <c r="O53" i="9"/>
  <c r="E85" i="9"/>
  <c r="T6" i="9" a="1"/>
  <c r="T6" i="9" s="1"/>
  <c r="H69" i="9" a="1"/>
  <c r="H69" i="9" s="1"/>
  <c r="L71" i="9" a="1"/>
  <c r="L71" i="9" s="1"/>
  <c r="J79" i="9" a="1"/>
  <c r="J79" i="9" s="1"/>
  <c r="H74" i="9" a="1"/>
  <c r="H74" i="9" s="1"/>
  <c r="O57" i="9"/>
  <c r="K102" i="9"/>
  <c r="Z23" i="9" a="1"/>
  <c r="Z23" i="9" s="1"/>
  <c r="L101" i="9"/>
  <c r="AA22" i="9" a="1"/>
  <c r="AA22" i="9" s="1"/>
  <c r="L99" i="9"/>
  <c r="AA20" i="9" a="1"/>
  <c r="AA20" i="9" s="1"/>
  <c r="M68" i="9" a="1"/>
  <c r="M68" i="9" s="1"/>
  <c r="J58" i="9" a="1"/>
  <c r="J58" i="9" s="1"/>
  <c r="H60" i="9" a="1"/>
  <c r="H60" i="9"/>
  <c r="H52" i="9" a="1"/>
  <c r="H52" i="9"/>
  <c r="K67" i="9" a="1"/>
  <c r="K67" i="9" s="1"/>
  <c r="I99" i="9"/>
  <c r="X20" i="9" s="1" a="1"/>
  <c r="X20" i="9" s="1"/>
  <c r="I95" i="9"/>
  <c r="X16" i="9" a="1"/>
  <c r="X16" i="9" s="1"/>
  <c r="F88" i="9"/>
  <c r="U9" i="9" s="1" a="1"/>
  <c r="U9" i="9" s="1"/>
  <c r="F112" i="9"/>
  <c r="U33" i="9" a="1"/>
  <c r="U33" i="9" s="1"/>
  <c r="J95" i="9"/>
  <c r="Y16" i="9" a="1"/>
  <c r="Y16" i="9" s="1"/>
  <c r="H53" i="9" a="1"/>
  <c r="H53" i="9" s="1"/>
  <c r="G93" i="9"/>
  <c r="V14" i="9" s="1" a="1"/>
  <c r="V14" i="9" s="1"/>
  <c r="E110" i="9"/>
  <c r="T31" i="9" s="1" a="1"/>
  <c r="T31" i="9" s="1"/>
  <c r="G103" i="9"/>
  <c r="F107" i="9"/>
  <c r="U28" i="9" s="1" a="1"/>
  <c r="U28" i="9" s="1"/>
  <c r="L72" i="9" a="1"/>
  <c r="L72" i="9" s="1"/>
  <c r="E100" i="9"/>
  <c r="T21" i="9" a="1"/>
  <c r="T21" i="9" s="1"/>
  <c r="K113" i="9"/>
  <c r="Z34" i="9" s="1" a="1"/>
  <c r="Z34" i="9" s="1"/>
  <c r="F110" i="9"/>
  <c r="U31" i="9" s="1" a="1"/>
  <c r="U31" i="9" s="1"/>
  <c r="L106" i="9"/>
  <c r="AA27" i="9" s="1" a="1"/>
  <c r="AA27" i="9" s="1"/>
  <c r="O73" i="9"/>
  <c r="G75" i="9" a="1"/>
  <c r="G75" i="9" s="1"/>
  <c r="I64" i="9" a="1"/>
  <c r="I64" i="9" s="1"/>
  <c r="E108" i="9"/>
  <c r="T29" i="9" s="1" a="1"/>
  <c r="T29" i="9" s="1"/>
  <c r="G71" i="9" a="1"/>
  <c r="G71" i="9" s="1"/>
  <c r="L87" i="9"/>
  <c r="AA8" i="9" s="1" a="1"/>
  <c r="AA8" i="9" s="1"/>
  <c r="L114" i="9"/>
  <c r="AA35" i="9" s="1" a="1"/>
  <c r="AA35" i="9" s="1"/>
  <c r="F99" i="9"/>
  <c r="U20" i="9" s="1" a="1"/>
  <c r="U20" i="9" s="1"/>
  <c r="O67" i="9"/>
  <c r="G70" i="9" a="1"/>
  <c r="G70" i="9" s="1"/>
  <c r="J104" i="9"/>
  <c r="Y25" i="9" s="1" a="1"/>
  <c r="Y25" i="9" s="1"/>
  <c r="H70" i="9" a="1"/>
  <c r="H70" i="9" s="1"/>
  <c r="B16" i="9"/>
  <c r="K110" i="9"/>
  <c r="Z31" i="9" s="1" a="1"/>
  <c r="Z31" i="9" s="1"/>
  <c r="O56" i="9"/>
  <c r="J97" i="9"/>
  <c r="Y18" i="9" s="1" a="1"/>
  <c r="Y18" i="9" s="1"/>
  <c r="H97" i="9"/>
  <c r="W18" i="9" s="1" a="1"/>
  <c r="W18" i="9" s="1"/>
  <c r="B17" i="9"/>
  <c r="G92" i="9"/>
  <c r="V13" i="9" a="1"/>
  <c r="V13" i="9" s="1"/>
  <c r="J106" i="9"/>
  <c r="Y27" i="9" s="1" a="1"/>
  <c r="Y27" i="9" s="1"/>
  <c r="D85" i="9"/>
  <c r="S6" i="9" s="1" a="1"/>
  <c r="S6" i="9" s="1"/>
  <c r="M53" i="9" a="1"/>
  <c r="M53" i="9"/>
  <c r="H89" i="9"/>
  <c r="W10" i="9" a="1"/>
  <c r="W10" i="9" s="1"/>
  <c r="O50" i="9"/>
  <c r="K89" i="9"/>
  <c r="H99" i="9"/>
  <c r="W20" i="9" s="1" a="1"/>
  <c r="W20" i="9" s="1"/>
  <c r="H93" i="9"/>
  <c r="W14" i="9" a="1"/>
  <c r="W14" i="9" s="1"/>
  <c r="F91" i="9"/>
  <c r="U12" i="9" s="1" a="1"/>
  <c r="U12" i="9" s="1"/>
  <c r="L56" i="9" a="1"/>
  <c r="L56" i="9" s="1"/>
  <c r="O89" i="9"/>
  <c r="AD10" i="9"/>
  <c r="J75" i="9" a="1"/>
  <c r="J75" i="9" s="1"/>
  <c r="E98" i="9"/>
  <c r="T19" i="9" a="1"/>
  <c r="T19" i="9" s="1"/>
  <c r="D98" i="9"/>
  <c r="S19" i="9" s="1" a="1"/>
  <c r="S19" i="9" s="1"/>
  <c r="O99" i="9"/>
  <c r="AD20" i="9" s="1"/>
  <c r="I103" i="9"/>
  <c r="X24" i="9" s="1" a="1"/>
  <c r="X24" i="9" s="1"/>
  <c r="K86" i="9"/>
  <c r="Z7" i="9" a="1"/>
  <c r="Z7" i="9" s="1"/>
  <c r="L57" i="9" a="1"/>
  <c r="L57" i="9" s="1"/>
  <c r="G90" i="9"/>
  <c r="V11" i="9" s="1" a="1"/>
  <c r="V11" i="9" s="1"/>
  <c r="I90" i="9"/>
  <c r="X11" i="9" a="1"/>
  <c r="X11" i="9" s="1"/>
  <c r="J103" i="9"/>
  <c r="Y24" i="9" s="1" a="1"/>
  <c r="Y24" i="9" s="1"/>
  <c r="G100" i="9"/>
  <c r="V21" i="9" s="1" a="1"/>
  <c r="V21" i="9" s="1"/>
  <c r="O58" i="9"/>
  <c r="I102" i="9"/>
  <c r="X23" i="9" s="1" a="1"/>
  <c r="X23" i="9" s="1"/>
  <c r="O110" i="9"/>
  <c r="AD31" i="9"/>
  <c r="F102" i="9"/>
  <c r="U23" i="9" a="1"/>
  <c r="U23" i="9" s="1"/>
  <c r="L58" i="9" a="1"/>
  <c r="L58" i="9" s="1"/>
  <c r="M64" i="9" a="1"/>
  <c r="M64" i="9" s="1"/>
  <c r="L111" i="9"/>
  <c r="AA32" i="9" a="1"/>
  <c r="AA32" i="9" s="1"/>
  <c r="E91" i="9"/>
  <c r="T12" i="9" a="1"/>
  <c r="T12" i="9" s="1"/>
  <c r="D89" i="9"/>
  <c r="S10" i="9" a="1"/>
  <c r="S10" i="9" s="1"/>
  <c r="M65" i="9" a="1"/>
  <c r="M65" i="9"/>
  <c r="O93" i="9"/>
  <c r="AD14" i="9" s="1"/>
  <c r="E106" i="9"/>
  <c r="T27" i="9" s="1" a="1"/>
  <c r="T27" i="9" s="1"/>
  <c r="H88" i="9"/>
  <c r="K97" i="9"/>
  <c r="Z18" i="9" s="1" a="1"/>
  <c r="Z18" i="9" s="1"/>
  <c r="O76" i="9"/>
  <c r="L97" i="9"/>
  <c r="AA18" i="9" a="1"/>
  <c r="AA18" i="9" s="1"/>
  <c r="C102" i="9"/>
  <c r="R23" i="9" a="1"/>
  <c r="R23" i="9" s="1"/>
  <c r="O102" i="9"/>
  <c r="AD23" i="9" s="1"/>
  <c r="O85" i="9"/>
  <c r="AD6" i="9"/>
  <c r="L73" i="9" a="1"/>
  <c r="L73" i="9" s="1"/>
  <c r="J87" i="9"/>
  <c r="Y8" i="9" s="1" a="1"/>
  <c r="Y8" i="9" s="1"/>
  <c r="G112" i="9"/>
  <c r="L70" i="9" a="1"/>
  <c r="L70" i="9"/>
  <c r="D86" i="9"/>
  <c r="S7" i="9" a="1"/>
  <c r="S7" i="9" s="1"/>
  <c r="M110" i="9"/>
  <c r="AB31" i="9" s="1" a="1"/>
  <c r="AB31" i="9" s="1"/>
  <c r="H114" i="9"/>
  <c r="W35" i="9" a="1"/>
  <c r="W35" i="9" s="1"/>
  <c r="M76" i="9" a="1"/>
  <c r="M76" i="9" s="1"/>
  <c r="G94" i="9"/>
  <c r="K62" i="9" a="1"/>
  <c r="K62" i="9"/>
  <c r="D111" i="9"/>
  <c r="S32" i="9" a="1"/>
  <c r="S32" i="9" s="1"/>
  <c r="F114" i="9"/>
  <c r="U35" i="9" s="1" a="1"/>
  <c r="U35" i="9"/>
  <c r="H110" i="9"/>
  <c r="I87" i="9"/>
  <c r="X8" i="9" s="1" a="1"/>
  <c r="X8" i="9" s="1"/>
  <c r="C86" i="9"/>
  <c r="R7" i="9" s="1" a="1"/>
  <c r="R7" i="9" s="1"/>
  <c r="M50" i="9" a="1"/>
  <c r="M50" i="9" s="1"/>
  <c r="M70" i="9" a="1"/>
  <c r="M70" i="9" s="1"/>
  <c r="J88" i="9"/>
  <c r="Y9" i="9" a="1"/>
  <c r="Y9" i="9" s="1"/>
  <c r="O94" i="9"/>
  <c r="AD15" i="9"/>
  <c r="O72" i="9"/>
  <c r="F96" i="9"/>
  <c r="U17" i="9" s="1" a="1"/>
  <c r="U17" i="9" s="1"/>
  <c r="L75" i="9" a="1"/>
  <c r="L75" i="9" s="1"/>
  <c r="I88" i="9"/>
  <c r="X9" i="9" a="1"/>
  <c r="X9" i="9" s="1"/>
  <c r="B12" i="9"/>
  <c r="C85" i="9"/>
  <c r="R6" i="9" s="1" a="1"/>
  <c r="R6" i="9" s="1"/>
  <c r="M77" i="9" a="1"/>
  <c r="M77" i="9" s="1"/>
  <c r="H59" i="9" a="1"/>
  <c r="H59" i="9" s="1"/>
  <c r="I67" i="9" a="1"/>
  <c r="I67" i="9" s="1"/>
  <c r="K87" i="9"/>
  <c r="Z8" i="9" s="1" a="1"/>
  <c r="Z8" i="9"/>
  <c r="H91" i="9"/>
  <c r="K105" i="9"/>
  <c r="Z26" i="9" s="1" a="1"/>
  <c r="Z26" i="9" s="1"/>
  <c r="I94" i="9"/>
  <c r="X15" i="9" s="1" a="1"/>
  <c r="X15" i="9" s="1"/>
  <c r="K55" i="9" a="1"/>
  <c r="K55" i="9" s="1"/>
  <c r="M63" i="9" a="1"/>
  <c r="M63" i="9" s="1"/>
  <c r="J85" i="9"/>
  <c r="Y6" i="9" a="1"/>
  <c r="Y6" i="9"/>
  <c r="M113" i="9"/>
  <c r="AB34" i="9" s="1" a="1"/>
  <c r="AB34" i="9" s="1"/>
  <c r="E99" i="9"/>
  <c r="T20" i="9" s="1" a="1"/>
  <c r="T20" i="9" s="1"/>
  <c r="C104" i="9"/>
  <c r="R25" i="9" a="1"/>
  <c r="R25" i="9" s="1"/>
  <c r="O112" i="9"/>
  <c r="AD33" i="9"/>
  <c r="L61" i="9" a="1"/>
  <c r="L61" i="9" s="1"/>
  <c r="G87" i="9"/>
  <c r="V8" i="9" s="1" a="1"/>
  <c r="V8" i="9" s="1"/>
  <c r="D94" i="9"/>
  <c r="S15" i="9" s="1" a="1"/>
  <c r="S15" i="9" s="1"/>
  <c r="G74" i="9" a="1"/>
  <c r="G74" i="9" s="1"/>
  <c r="G101" i="9"/>
  <c r="I96" i="9"/>
  <c r="X17" i="9" s="1" a="1"/>
  <c r="X17" i="9" s="1"/>
  <c r="I60" i="9" a="1"/>
  <c r="I60" i="9" s="1"/>
  <c r="H98" i="9"/>
  <c r="K56" i="9" a="1"/>
  <c r="K56" i="9" s="1"/>
  <c r="L107" i="9"/>
  <c r="AA28" i="9" s="1" a="1"/>
  <c r="AA28" i="9" s="1"/>
  <c r="C90" i="9"/>
  <c r="R11" i="9" a="1"/>
  <c r="R11" i="9" s="1"/>
  <c r="G78" i="9" a="1"/>
  <c r="G78" i="9"/>
  <c r="J62" i="9" a="1"/>
  <c r="J62" i="9" s="1"/>
  <c r="F100" i="9"/>
  <c r="U21" i="9" s="1" a="1"/>
  <c r="U21" i="9" s="1"/>
  <c r="D14" i="19" s="1" a="1"/>
  <c r="D14" i="19" s="1"/>
  <c r="E14" i="19" s="1"/>
  <c r="O113" i="9"/>
  <c r="AD34" i="9" s="1"/>
  <c r="M106" i="9"/>
  <c r="AB27" i="9" a="1"/>
  <c r="AB27" i="9" s="1"/>
  <c r="M71" i="9" a="1"/>
  <c r="M71" i="9"/>
  <c r="F85" i="9"/>
  <c r="U6" i="9" s="1" a="1"/>
  <c r="U6" i="9" s="1"/>
  <c r="H109" i="9"/>
  <c r="W30" i="9" s="1" a="1"/>
  <c r="W30" i="9" s="1"/>
  <c r="H86" i="9"/>
  <c r="I76" i="9" a="1"/>
  <c r="I76" i="9" s="1"/>
  <c r="L93" i="9"/>
  <c r="AA14" i="9" s="1" a="1"/>
  <c r="AA14" i="9" s="1"/>
  <c r="L54" i="9" a="1"/>
  <c r="L54" i="9"/>
  <c r="M87" i="9"/>
  <c r="AB8" i="9" a="1"/>
  <c r="AB8" i="9" s="1"/>
  <c r="M92" i="9"/>
  <c r="AB13" i="9" a="1"/>
  <c r="AB13" i="9" s="1"/>
  <c r="H61" i="9" a="1"/>
  <c r="H61" i="9" s="1"/>
  <c r="O111" i="9"/>
  <c r="AD32" i="9" s="1"/>
  <c r="O52" i="9"/>
  <c r="H66" i="9" a="1"/>
  <c r="H66" i="9" s="1"/>
  <c r="G55" i="9" a="1"/>
  <c r="G55" i="9" s="1"/>
  <c r="N55" i="9" s="1"/>
  <c r="K107" i="9"/>
  <c r="Z28" i="9" s="1" a="1"/>
  <c r="Z28" i="9" s="1"/>
  <c r="D87" i="9"/>
  <c r="S8" i="9" s="1" a="1"/>
  <c r="S8" i="9" s="1"/>
  <c r="G104" i="9"/>
  <c r="K68" i="9" a="1"/>
  <c r="K68" i="9"/>
  <c r="L112" i="9"/>
  <c r="AA33" i="9" s="1" a="1"/>
  <c r="AA33" i="9" s="1"/>
  <c r="G96" i="9"/>
  <c r="G52" i="9" a="1"/>
  <c r="G52" i="9" s="1"/>
  <c r="K104" i="9"/>
  <c r="Z25" i="9" a="1"/>
  <c r="Z25" i="9" s="1"/>
  <c r="H103" i="9"/>
  <c r="W24" i="9" s="1" a="1"/>
  <c r="W24" i="9" s="1"/>
  <c r="I111" i="9"/>
  <c r="X32" i="9" s="1" a="1"/>
  <c r="X32" i="9" s="1"/>
  <c r="B49" i="9"/>
  <c r="F111" i="9"/>
  <c r="U32" i="9" s="1" a="1"/>
  <c r="U32" i="9" s="1"/>
  <c r="O63" i="9"/>
  <c r="M73" i="9" a="1"/>
  <c r="M73" i="9" s="1"/>
  <c r="B10" i="9"/>
  <c r="K100" i="9"/>
  <c r="Z21" i="9" s="1" a="1"/>
  <c r="Z21" i="9" s="1"/>
  <c r="I104" i="9"/>
  <c r="X25" i="9" s="1" a="1"/>
  <c r="X25" i="9" s="1"/>
  <c r="K76" i="9" a="1"/>
  <c r="K76" i="9" s="1"/>
  <c r="M74" i="9" a="1"/>
  <c r="M74" i="9" s="1"/>
  <c r="C93" i="9"/>
  <c r="R14" i="9" s="1" a="1"/>
  <c r="R14" i="9" s="1"/>
  <c r="G50" i="9" a="1"/>
  <c r="G50" i="9"/>
  <c r="L88" i="9"/>
  <c r="AA9" i="9" s="1" a="1"/>
  <c r="AA9" i="9" s="1"/>
  <c r="L76" i="9" a="1"/>
  <c r="L76" i="9" s="1"/>
  <c r="G73" i="9" a="1"/>
  <c r="G73" i="9" s="1"/>
  <c r="I51" i="9" a="1"/>
  <c r="I51" i="9" s="1"/>
  <c r="J68" i="9" a="1"/>
  <c r="J68" i="9" s="1"/>
  <c r="B9" i="9"/>
  <c r="J51" i="9" a="1"/>
  <c r="J51" i="9"/>
  <c r="L98" i="9"/>
  <c r="AA19" i="9" s="1" a="1"/>
  <c r="AA19" i="9" s="1"/>
  <c r="I72" i="9" a="1"/>
  <c r="I72" i="9" s="1"/>
  <c r="M103" i="9"/>
  <c r="AB24" i="9" s="1" a="1"/>
  <c r="AB24" i="9" s="1"/>
  <c r="O88" i="9"/>
  <c r="AD9" i="9" s="1"/>
  <c r="J61" i="9" a="1"/>
  <c r="J61" i="9" s="1"/>
  <c r="L50" i="9" a="1"/>
  <c r="L50" i="9" s="1"/>
  <c r="H79" i="9" a="1"/>
  <c r="H79" i="9"/>
  <c r="H106" i="9"/>
  <c r="H54" i="9" a="1"/>
  <c r="H54" i="9" s="1"/>
  <c r="H94" i="9"/>
  <c r="W15" i="9" s="1" a="1"/>
  <c r="W15" i="9" s="1"/>
  <c r="L85" i="9"/>
  <c r="AA6" i="9" s="1" a="1"/>
  <c r="AA6" i="9" s="1"/>
  <c r="C100" i="9"/>
  <c r="R21" i="9" s="1" a="1"/>
  <c r="R21" i="9" s="1"/>
  <c r="L108" i="9"/>
  <c r="AA29" i="9" a="1"/>
  <c r="AA29" i="9" s="1"/>
  <c r="J102" i="9"/>
  <c r="Y23" i="9" s="1" a="1"/>
  <c r="Y23" i="9" s="1"/>
  <c r="M107" i="9"/>
  <c r="AB28" i="9" s="1" a="1"/>
  <c r="AB28" i="9" s="1"/>
  <c r="M98" i="9"/>
  <c r="AB19" i="9" s="1" a="1"/>
  <c r="AB19" i="9" s="1"/>
  <c r="E111" i="9"/>
  <c r="T32" i="9" s="1" a="1"/>
  <c r="T32" i="9" s="1"/>
  <c r="C107" i="9"/>
  <c r="R28" i="9" s="1" a="1"/>
  <c r="R28" i="9" s="1"/>
  <c r="L55" i="9" a="1"/>
  <c r="L55" i="9" s="1"/>
  <c r="M59" i="9" a="1"/>
  <c r="M59" i="9" s="1"/>
  <c r="J56" i="9" a="1"/>
  <c r="J56" i="9" s="1"/>
  <c r="K91" i="9"/>
  <c r="Z12" i="9" s="1" a="1"/>
  <c r="Z12" i="9" s="1"/>
  <c r="J73" i="9" a="1"/>
  <c r="J73" i="9" s="1"/>
  <c r="K88" i="9"/>
  <c r="Z9" i="9" s="1" a="1"/>
  <c r="Z9" i="9" s="1"/>
  <c r="G114" i="9"/>
  <c r="V35" i="9" a="1"/>
  <c r="V35" i="9" s="1"/>
  <c r="K69" i="9" a="1"/>
  <c r="K69" i="9" s="1"/>
  <c r="M52" i="9" a="1"/>
  <c r="M52" i="9" s="1"/>
  <c r="O68" i="9"/>
  <c r="C92" i="9"/>
  <c r="R13" i="9" a="1"/>
  <c r="R13" i="9" s="1"/>
  <c r="K60" i="9" a="1"/>
  <c r="K60" i="9"/>
  <c r="I92" i="9"/>
  <c r="X13" i="9" s="1" a="1"/>
  <c r="X13" i="9" s="1"/>
  <c r="H72" i="9" a="1"/>
  <c r="H72" i="9" s="1"/>
  <c r="J100" i="9"/>
  <c r="Y21" i="9" a="1"/>
  <c r="Y21" i="9" s="1"/>
  <c r="H107" i="9"/>
  <c r="W28" i="9" s="1" a="1"/>
  <c r="W28" i="9" s="1"/>
  <c r="M58" i="9" a="1"/>
  <c r="M58" i="9" s="1"/>
  <c r="O100" i="9"/>
  <c r="AD21" i="9" s="1"/>
  <c r="F87" i="9"/>
  <c r="U8" i="9" s="1" a="1"/>
  <c r="U8" i="9" s="1"/>
  <c r="H112" i="9"/>
  <c r="J91" i="9"/>
  <c r="Y12" i="9" s="1" a="1"/>
  <c r="Y12" i="9" s="1"/>
  <c r="H68" i="9" a="1"/>
  <c r="H68" i="9" s="1"/>
  <c r="B6" i="9"/>
  <c r="M99" i="9"/>
  <c r="AB20" i="9" a="1"/>
  <c r="AB20" i="9" s="1"/>
  <c r="I100" i="9"/>
  <c r="X21" i="9" s="1" a="1"/>
  <c r="X21" i="9" s="1"/>
  <c r="E95" i="9"/>
  <c r="T16" i="9" a="1"/>
  <c r="T16" i="9" s="1"/>
  <c r="L65" i="9" a="1"/>
  <c r="L65" i="9" s="1"/>
  <c r="C97" i="9"/>
  <c r="R18" i="9" s="1" a="1"/>
  <c r="R18" i="9" s="1"/>
  <c r="B13" i="9"/>
  <c r="E13" i="9" s="1"/>
  <c r="K109" i="9"/>
  <c r="Z30" i="9" s="1" a="1"/>
  <c r="Z30" i="9" s="1"/>
  <c r="D109" i="9"/>
  <c r="S30" i="9" a="1"/>
  <c r="S30" i="9" s="1"/>
  <c r="I93" i="9"/>
  <c r="X14" i="9" s="1" a="1"/>
  <c r="X14" i="9" s="1"/>
  <c r="M112" i="9"/>
  <c r="AB33" i="9" s="1" a="1"/>
  <c r="AB33" i="9" s="1"/>
  <c r="L52" i="9" a="1"/>
  <c r="L52" i="9" s="1"/>
  <c r="O62" i="9"/>
  <c r="K75" i="9" a="1"/>
  <c r="K75" i="9" s="1"/>
  <c r="K92" i="9"/>
  <c r="Z13" i="9" a="1"/>
  <c r="Z13" i="9" s="1"/>
  <c r="L74" i="9" a="1"/>
  <c r="L74" i="9" s="1"/>
  <c r="M100" i="9"/>
  <c r="AB21" i="9" a="1"/>
  <c r="AB21" i="9" s="1"/>
  <c r="L66" i="9" a="1"/>
  <c r="L66" i="9"/>
  <c r="C88" i="9"/>
  <c r="R9" i="9" a="1"/>
  <c r="R9" i="9" s="1"/>
  <c r="K108" i="9"/>
  <c r="Z29" i="9" s="1" a="1"/>
  <c r="Z29" i="9" s="1"/>
  <c r="F95" i="9"/>
  <c r="U16" i="9" s="1" a="1"/>
  <c r="U16" i="9" s="1"/>
  <c r="B8" i="9"/>
  <c r="C8" i="9" s="1"/>
  <c r="D95" i="9"/>
  <c r="S16" i="9" s="1" a="1"/>
  <c r="S16" i="9" s="1"/>
  <c r="M96" i="9"/>
  <c r="AB17" i="9" s="1" a="1"/>
  <c r="AB17" i="9" s="1"/>
  <c r="J107" i="9"/>
  <c r="Y28" i="9" s="1" a="1"/>
  <c r="Y28" i="9" s="1"/>
  <c r="G66" i="9" a="1"/>
  <c r="G66" i="9" s="1"/>
  <c r="L79" i="9" a="1"/>
  <c r="L79" i="9" s="1"/>
  <c r="F108" i="9"/>
  <c r="U29" i="9" s="1" a="1"/>
  <c r="U29" i="9" s="1"/>
  <c r="C110" i="9"/>
  <c r="R31" i="9" s="1" a="1"/>
  <c r="R31" i="9" s="1"/>
  <c r="K103" i="9"/>
  <c r="Z24" i="9" s="1" a="1"/>
  <c r="Z24" i="9" s="1"/>
  <c r="F86" i="9"/>
  <c r="U7" i="9" s="1" a="1"/>
  <c r="U7" i="9" s="1"/>
  <c r="J111" i="9"/>
  <c r="Y32" i="9" s="1" a="1"/>
  <c r="Y32" i="9" s="1"/>
  <c r="J76" i="9" a="1"/>
  <c r="J76" i="9" s="1"/>
  <c r="D102" i="9"/>
  <c r="S23" i="9" s="1" a="1"/>
  <c r="S23" i="9" s="1"/>
  <c r="O95" i="9"/>
  <c r="AD16" i="9" s="1"/>
  <c r="J77" i="9" a="1"/>
  <c r="J77" i="9" s="1"/>
  <c r="K51" i="9" a="1"/>
  <c r="K51" i="9" s="1"/>
  <c r="L113" i="9"/>
  <c r="AA34" i="9" s="1" a="1"/>
  <c r="AA34" i="9" s="1"/>
  <c r="J55" i="9" a="1"/>
  <c r="J55" i="9" s="1"/>
  <c r="M78" i="9" a="1"/>
  <c r="M78" i="9" s="1"/>
  <c r="I97" i="9"/>
  <c r="X18" i="9" s="1" a="1"/>
  <c r="X18" i="9" s="1"/>
  <c r="K63" i="9" a="1"/>
  <c r="K63" i="9" s="1"/>
  <c r="G72" i="9" a="1"/>
  <c r="G72" i="9" s="1"/>
  <c r="C114" i="9"/>
  <c r="R35" i="9" s="1" a="1"/>
  <c r="R35" i="9" s="1"/>
  <c r="F90" i="9"/>
  <c r="U11" i="9" s="1" a="1"/>
  <c r="U11" i="9" s="1"/>
  <c r="J89" i="9"/>
  <c r="Y10" i="9" s="1" a="1"/>
  <c r="Y10" i="9" s="1"/>
  <c r="G109" i="9"/>
  <c r="V30" i="9" s="1" a="1"/>
  <c r="V30" i="9" s="1"/>
  <c r="E88" i="9"/>
  <c r="T9" i="9" s="1" a="1"/>
  <c r="T9" i="9"/>
  <c r="M105" i="9"/>
  <c r="AB26" i="9" a="1"/>
  <c r="AB26" i="9" s="1"/>
  <c r="J60" i="9" a="1"/>
  <c r="J60" i="9" s="1"/>
  <c r="H96" i="9"/>
  <c r="W17" i="9" s="1" a="1"/>
  <c r="W17" i="9" s="1"/>
  <c r="C103" i="9"/>
  <c r="R24" i="9" s="1" a="1"/>
  <c r="R24" i="9" s="1"/>
  <c r="L78" i="9" a="1"/>
  <c r="L78" i="9" s="1"/>
  <c r="E113" i="9"/>
  <c r="T34" i="9" s="1" a="1"/>
  <c r="T34" i="9" s="1"/>
  <c r="O59" i="9"/>
  <c r="K72" i="9" a="1"/>
  <c r="K72" i="9" s="1"/>
  <c r="G105" i="9"/>
  <c r="V26" i="9" s="1" a="1"/>
  <c r="V26" i="9" s="1"/>
  <c r="H58" i="9" a="1"/>
  <c r="H58" i="9" s="1"/>
  <c r="J114" i="9"/>
  <c r="Y35" i="9" s="1" a="1"/>
  <c r="Y35" i="9" s="1"/>
  <c r="G95" i="9"/>
  <c r="V16" i="9" s="1" a="1"/>
  <c r="V16" i="9" s="1"/>
  <c r="I57" i="9" a="1"/>
  <c r="I57" i="9" s="1"/>
  <c r="G85" i="9"/>
  <c r="V6" i="9" a="1"/>
  <c r="V6" i="9" s="1"/>
  <c r="O64" i="9"/>
  <c r="F113" i="9"/>
  <c r="U34" i="9" a="1"/>
  <c r="U34" i="9" s="1"/>
  <c r="M102" i="9"/>
  <c r="AB23" i="9" s="1" a="1"/>
  <c r="AB23" i="9" s="1"/>
  <c r="G60" i="9" a="1"/>
  <c r="G60" i="9" s="1"/>
  <c r="C106" i="9"/>
  <c r="R27" i="9" s="1" a="1"/>
  <c r="R27" i="9" s="1"/>
  <c r="M51" i="9" a="1"/>
  <c r="M51" i="9" s="1"/>
  <c r="H62" i="9" a="1"/>
  <c r="H62" i="9" s="1"/>
  <c r="J67" i="9" a="1"/>
  <c r="J67" i="9" s="1"/>
  <c r="K79" i="9" a="1"/>
  <c r="K79" i="9" s="1"/>
  <c r="D97" i="9"/>
  <c r="S18" i="9" s="1" a="1"/>
  <c r="S18" i="9"/>
  <c r="I55" i="9" a="1"/>
  <c r="I55" i="9"/>
  <c r="M108" i="9"/>
  <c r="AB29" i="9" a="1"/>
  <c r="AB29" i="9" s="1"/>
  <c r="L102" i="9"/>
  <c r="AA23" i="9" s="1" a="1"/>
  <c r="AA23" i="9" s="1"/>
  <c r="K98" i="9"/>
  <c r="Z19" i="9" s="1" a="1"/>
  <c r="Z19" i="9" s="1"/>
  <c r="H102" i="9"/>
  <c r="E90" i="9"/>
  <c r="T11" i="9" s="1" a="1"/>
  <c r="T11" i="9" s="1"/>
  <c r="D90" i="9"/>
  <c r="S11" i="9" s="1" a="1"/>
  <c r="S11" i="9" s="1"/>
  <c r="J63" i="9" a="1"/>
  <c r="J63" i="9" s="1"/>
  <c r="G89" i="9"/>
  <c r="E114" i="9"/>
  <c r="T35" i="9" a="1"/>
  <c r="T35" i="9" s="1"/>
  <c r="J54" i="9" a="1"/>
  <c r="J54" i="9" s="1"/>
  <c r="K61" i="9" a="1"/>
  <c r="K61" i="9" s="1"/>
  <c r="M69" i="9" a="1"/>
  <c r="M69" i="9" s="1"/>
  <c r="I54" i="9" a="1"/>
  <c r="I54" i="9"/>
  <c r="O108" i="9"/>
  <c r="AD29" i="9"/>
  <c r="I73" i="9" a="1"/>
  <c r="I73" i="9" s="1"/>
  <c r="I112" i="9"/>
  <c r="N112" i="9" s="1"/>
  <c r="P112" i="9" s="1"/>
  <c r="D113" i="9"/>
  <c r="S34" i="9" s="1" a="1"/>
  <c r="S34" i="9" s="1"/>
  <c r="H92" i="9"/>
  <c r="N92" i="9" s="1"/>
  <c r="P92" i="9" s="1"/>
  <c r="F106" i="9"/>
  <c r="U27" i="9" a="1"/>
  <c r="U27" i="9" s="1"/>
  <c r="J78" i="9" a="1"/>
  <c r="J78" i="9"/>
  <c r="C108" i="9"/>
  <c r="R29" i="9" a="1"/>
  <c r="R29" i="9" s="1"/>
  <c r="F103" i="9"/>
  <c r="U24" i="9" s="1" a="1"/>
  <c r="U24" i="9" s="1"/>
  <c r="I53" i="9" a="1"/>
  <c r="I53" i="9" s="1"/>
  <c r="L96" i="9"/>
  <c r="AA17" i="9" a="1"/>
  <c r="AA17" i="9" s="1"/>
  <c r="O77" i="9"/>
  <c r="I77" i="9" a="1"/>
  <c r="I77" i="9"/>
  <c r="J72" i="9" a="1"/>
  <c r="J72" i="9" s="1"/>
  <c r="N72" i="9" s="1"/>
  <c r="J112" i="9"/>
  <c r="Y33" i="9" s="1" a="1"/>
  <c r="Y33" i="9" s="1"/>
  <c r="J113" i="9"/>
  <c r="Y34" i="9" s="1" a="1"/>
  <c r="Y34" i="9" s="1"/>
  <c r="J105" i="9"/>
  <c r="Y26" i="9" a="1"/>
  <c r="Y26" i="9" s="1"/>
  <c r="E109" i="9"/>
  <c r="T30" i="9" s="1" a="1"/>
  <c r="T30" i="9" s="1"/>
  <c r="C89" i="9"/>
  <c r="R10" i="9" s="1" a="1"/>
  <c r="R10" i="9" s="1"/>
  <c r="G106" i="9"/>
  <c r="V27" i="9" s="1" a="1"/>
  <c r="V27" i="9" s="1"/>
  <c r="E94" i="9"/>
  <c r="T15" i="9" s="1" a="1"/>
  <c r="T15" i="9" s="1"/>
  <c r="O54" i="9"/>
  <c r="C113" i="9"/>
  <c r="R34" i="9" a="1"/>
  <c r="R34" i="9" s="1"/>
  <c r="J99" i="9"/>
  <c r="N99" i="9" s="1"/>
  <c r="P99" i="9" s="1"/>
  <c r="G62" i="9" a="1"/>
  <c r="G62" i="9" s="1"/>
  <c r="J64" i="9" a="1"/>
  <c r="J64" i="9"/>
  <c r="O71" i="9"/>
  <c r="K74" i="9" a="1"/>
  <c r="K74" i="9" s="1"/>
  <c r="L53" i="9" a="1"/>
  <c r="L53" i="9"/>
  <c r="M95" i="9"/>
  <c r="AB16" i="9" a="1"/>
  <c r="AB16" i="9" s="1"/>
  <c r="K73" i="9" a="1"/>
  <c r="K73" i="9" s="1"/>
  <c r="O91" i="9"/>
  <c r="AD12" i="9" s="1"/>
  <c r="C109" i="9"/>
  <c r="R30" i="9" s="1" a="1"/>
  <c r="R30" i="9" s="1"/>
  <c r="F89" i="9"/>
  <c r="U10" i="9" a="1"/>
  <c r="U10" i="9" s="1"/>
  <c r="K78" i="9" a="1"/>
  <c r="K78" i="9" s="1"/>
  <c r="H104" i="9"/>
  <c r="W25" i="9" s="1" a="1"/>
  <c r="W25" i="9" s="1"/>
  <c r="M62" i="9" a="1"/>
  <c r="M62" i="9"/>
  <c r="E96" i="9"/>
  <c r="T17" i="9" s="1" a="1"/>
  <c r="T17" i="9"/>
  <c r="K93" i="9"/>
  <c r="Z14" i="9" a="1"/>
  <c r="Z14" i="9" s="1"/>
  <c r="B11" i="9"/>
  <c r="E11" i="9" s="1"/>
  <c r="L51" i="9" a="1"/>
  <c r="L51" i="9"/>
  <c r="K66" i="9" a="1"/>
  <c r="K66" i="9" s="1"/>
  <c r="E107" i="9"/>
  <c r="T28" i="9" s="1" a="1"/>
  <c r="T28" i="9" s="1"/>
  <c r="D92" i="9"/>
  <c r="S13" i="9" s="1" a="1"/>
  <c r="S13" i="9" s="1"/>
  <c r="F97" i="9"/>
  <c r="U18" i="9" s="1" a="1"/>
  <c r="U18" i="9" s="1"/>
  <c r="G58" i="9" a="1"/>
  <c r="G58" i="9"/>
  <c r="O114" i="9"/>
  <c r="AD35" i="9" s="1"/>
  <c r="B32" i="20" s="1"/>
  <c r="I62" i="9" a="1"/>
  <c r="I62" i="9" s="1"/>
  <c r="N62" i="9" s="1"/>
  <c r="G111" i="9"/>
  <c r="F104" i="9"/>
  <c r="U25" i="9" s="1" a="1"/>
  <c r="U25" i="9" s="1"/>
  <c r="K95" i="9"/>
  <c r="Z16" i="9" s="1" a="1"/>
  <c r="Z16" i="9" s="1"/>
  <c r="I91" i="9"/>
  <c r="X12" i="9" a="1"/>
  <c r="X12" i="9" s="1"/>
  <c r="M89" i="9"/>
  <c r="AB10" i="9" s="1" a="1"/>
  <c r="AB10" i="9" s="1"/>
  <c r="L109" i="9"/>
  <c r="AA30" i="9" s="1" a="1"/>
  <c r="AA30" i="9" s="1"/>
  <c r="J90" i="9"/>
  <c r="Y11" i="9" a="1"/>
  <c r="Y11" i="9" s="1"/>
  <c r="M114" i="9"/>
  <c r="AB35" i="9" a="1"/>
  <c r="AB35" i="9"/>
  <c r="J94" i="9"/>
  <c r="Y15" i="9" a="1"/>
  <c r="Y15" i="9" s="1"/>
  <c r="J53" i="9" a="1"/>
  <c r="J53" i="9" s="1"/>
  <c r="I69" i="9" a="1"/>
  <c r="I69" i="9" s="1"/>
  <c r="M86" i="9"/>
  <c r="AB7" i="9" s="1" a="1"/>
  <c r="AB7" i="9" s="1"/>
  <c r="L95" i="9"/>
  <c r="AA16" i="9" a="1"/>
  <c r="AA16" i="9"/>
  <c r="L67" i="9" a="1"/>
  <c r="L67" i="9" s="1"/>
  <c r="M101" i="9"/>
  <c r="AB22" i="9" s="1" a="1"/>
  <c r="AB22" i="9" s="1"/>
  <c r="I68" i="9" a="1"/>
  <c r="I68" i="9" s="1"/>
  <c r="M79" i="9" a="1"/>
  <c r="M79" i="9" s="1"/>
  <c r="O55" i="9"/>
  <c r="L64" i="9" a="1"/>
  <c r="L64" i="9" s="1"/>
  <c r="F94" i="9"/>
  <c r="U15" i="9" a="1"/>
  <c r="U15" i="9" s="1"/>
  <c r="E104" i="9"/>
  <c r="T25" i="9" s="1" a="1"/>
  <c r="T25" i="9" s="1"/>
  <c r="D96" i="9"/>
  <c r="S17" i="9" s="1" a="1"/>
  <c r="S17" i="9" s="1"/>
  <c r="I107" i="9"/>
  <c r="X28" i="9" s="1" a="1"/>
  <c r="X28" i="9" s="1"/>
  <c r="O98" i="9"/>
  <c r="AD19" i="9"/>
  <c r="H87" i="9"/>
  <c r="N87" i="9" s="1"/>
  <c r="P87" i="9" s="1"/>
  <c r="W8" i="9" a="1"/>
  <c r="W8" i="9" s="1"/>
  <c r="G64" i="9" a="1"/>
  <c r="G64" i="9"/>
  <c r="I113" i="9"/>
  <c r="X34" i="9" s="1" a="1"/>
  <c r="X34" i="9" s="1"/>
  <c r="D104" i="9"/>
  <c r="S25" i="9" s="1" a="1"/>
  <c r="S25" i="9" s="1"/>
  <c r="E92" i="9"/>
  <c r="T13" i="9" s="1" a="1"/>
  <c r="T13" i="9"/>
  <c r="D108" i="9"/>
  <c r="S29" i="9" s="1" a="1"/>
  <c r="S29" i="9" s="1"/>
  <c r="C95" i="9"/>
  <c r="R16" i="9" s="1" a="1"/>
  <c r="R16" i="9" s="1"/>
  <c r="I114" i="9"/>
  <c r="X35" i="9" a="1"/>
  <c r="X35" i="9" s="1"/>
  <c r="G97" i="9"/>
  <c r="N97" i="9" s="1"/>
  <c r="P97" i="9" s="1"/>
  <c r="E105" i="9"/>
  <c r="T26" i="9" a="1"/>
  <c r="T26" i="9" s="1"/>
  <c r="K112" i="9"/>
  <c r="Z33" i="9" s="1" a="1"/>
  <c r="Z33" i="9" s="1"/>
  <c r="K58" i="9" a="1"/>
  <c r="K58" i="9" s="1"/>
  <c r="K53" i="9" a="1"/>
  <c r="K53" i="9" s="1"/>
  <c r="O96" i="9"/>
  <c r="AD17" i="9" s="1"/>
  <c r="H90" i="9"/>
  <c r="N90" i="9" s="1"/>
  <c r="P90" i="9" s="1"/>
  <c r="I101" i="9"/>
  <c r="X22" i="9" s="1" a="1"/>
  <c r="X22" i="9" s="1"/>
  <c r="J74" i="9" a="1"/>
  <c r="J74" i="9"/>
  <c r="L90" i="9"/>
  <c r="AA11" i="9" a="1"/>
  <c r="AA11" i="9" s="1"/>
  <c r="D91" i="9"/>
  <c r="S12" i="9" s="1" a="1"/>
  <c r="S12" i="9" s="1"/>
  <c r="J109" i="9"/>
  <c r="Y30" i="9" s="1" a="1"/>
  <c r="Y30" i="9" s="1"/>
  <c r="I78" i="9" a="1"/>
  <c r="I78" i="9" s="1"/>
  <c r="O75" i="9"/>
  <c r="E86" i="9"/>
  <c r="T7" i="9" s="1" a="1"/>
  <c r="T7" i="9" s="1"/>
  <c r="H85" i="9"/>
  <c r="N85" i="9" s="1"/>
  <c r="P85" i="9" s="1"/>
  <c r="O74" i="9"/>
  <c r="C94" i="9"/>
  <c r="R15" i="9" s="1" a="1"/>
  <c r="R15" i="9" s="1"/>
  <c r="O104" i="9"/>
  <c r="AD25" i="9"/>
  <c r="C99" i="9"/>
  <c r="R20" i="9" s="1" a="1"/>
  <c r="R20" i="9" s="1"/>
  <c r="I86" i="9"/>
  <c r="X7" i="9" s="1" a="1"/>
  <c r="X7" i="9" s="1"/>
  <c r="G113" i="9"/>
  <c r="O65" i="9"/>
  <c r="O101" i="9"/>
  <c r="AD22" i="9"/>
  <c r="K52" i="9" a="1"/>
  <c r="K52" i="9" s="1"/>
  <c r="N52" i="9" s="1"/>
  <c r="J110" i="9"/>
  <c r="Y31" i="9" s="1" a="1"/>
  <c r="Y31" i="9" s="1"/>
  <c r="K111" i="9"/>
  <c r="Z32" i="9" s="1" a="1"/>
  <c r="Z32" i="9" s="1"/>
  <c r="G77" i="9" a="1"/>
  <c r="G77" i="9" s="1"/>
  <c r="J70" i="9" a="1"/>
  <c r="J70" i="9" s="1"/>
  <c r="M60" i="9" a="1"/>
  <c r="M60" i="9" s="1"/>
  <c r="I71" i="9" a="1"/>
  <c r="I71" i="9" s="1"/>
  <c r="I74" i="9" a="1"/>
  <c r="I74" i="9" s="1"/>
  <c r="N74" i="9" s="1"/>
  <c r="A24" i="20"/>
  <c r="A31" i="20"/>
  <c r="A8" i="20"/>
  <c r="A26" i="20"/>
  <c r="A13" i="20"/>
  <c r="A7" i="20"/>
  <c r="A16" i="20"/>
  <c r="A6" i="20"/>
  <c r="A3" i="20"/>
  <c r="A10" i="20"/>
  <c r="A17" i="20"/>
  <c r="A11" i="20"/>
  <c r="A18" i="20"/>
  <c r="A32" i="20"/>
  <c r="A28" i="20"/>
  <c r="A19" i="20"/>
  <c r="A25" i="20"/>
  <c r="Q5" i="9"/>
  <c r="D10" i="19" s="1" a="1"/>
  <c r="D10" i="19" s="1"/>
  <c r="A4" i="20"/>
  <c r="F26" i="15"/>
  <c r="E65" i="7"/>
  <c r="C12" i="10"/>
  <c r="C18" i="9"/>
  <c r="E7" i="9" a="1"/>
  <c r="E7" i="9" s="1"/>
  <c r="H169" i="1"/>
  <c r="H164" i="1"/>
  <c r="H94" i="1"/>
  <c r="H92" i="1"/>
  <c r="H97" i="1"/>
  <c r="H101" i="1"/>
  <c r="H135" i="1"/>
  <c r="H79" i="1"/>
  <c r="H91" i="1"/>
  <c r="H87" i="1"/>
  <c r="H96" i="1"/>
  <c r="H88" i="1"/>
  <c r="H95" i="1"/>
  <c r="N115" i="9"/>
  <c r="P115" i="9" s="1"/>
  <c r="C4" i="9"/>
  <c r="E4" i="9"/>
  <c r="E5" i="9"/>
  <c r="C5" i="9"/>
  <c r="V18" i="9" a="1"/>
  <c r="V18" i="9" s="1"/>
  <c r="C10" i="9"/>
  <c r="E10" i="9"/>
  <c r="N88" i="9"/>
  <c r="P88" i="9" s="1"/>
  <c r="V20" i="9" a="1"/>
  <c r="V20" i="9" s="1"/>
  <c r="E15" i="9"/>
  <c r="C15" i="9"/>
  <c r="N102" i="9"/>
  <c r="P102" i="9" s="1"/>
  <c r="C14" i="9"/>
  <c r="E14" i="9"/>
  <c r="E6" i="9"/>
  <c r="C6" i="9"/>
  <c r="N107" i="9"/>
  <c r="P107" i="9"/>
  <c r="E8" i="9"/>
  <c r="C13" i="9"/>
  <c r="C84" i="9"/>
  <c r="R5" i="9" s="1" a="1"/>
  <c r="R5" i="9" s="1"/>
  <c r="M84" i="9"/>
  <c r="AB5" i="9" s="1" a="1"/>
  <c r="AB5" i="9" s="1"/>
  <c r="C49" i="9" a="1"/>
  <c r="C49" i="9" s="1"/>
  <c r="K49" i="9" a="1"/>
  <c r="K49" i="9" s="1"/>
  <c r="M49" i="9" a="1"/>
  <c r="M49" i="9" s="1"/>
  <c r="F84" i="9"/>
  <c r="U5" i="9" a="1"/>
  <c r="U5" i="9" s="1"/>
  <c r="O49" i="9"/>
  <c r="L84" i="9"/>
  <c r="K84" i="9"/>
  <c r="Z5" i="9" s="1" a="1"/>
  <c r="Z5" i="9" s="1"/>
  <c r="E49" i="9" a="1"/>
  <c r="E49" i="9" s="1"/>
  <c r="I49" i="9" a="1"/>
  <c r="I49" i="9" s="1"/>
  <c r="F49" i="9" a="1"/>
  <c r="F49" i="9" s="1"/>
  <c r="E84" i="9"/>
  <c r="T5" i="9" s="1" a="1"/>
  <c r="T5" i="9" s="1"/>
  <c r="I84" i="9"/>
  <c r="X5" i="9" a="1"/>
  <c r="X5" i="9" s="1"/>
  <c r="G84" i="9"/>
  <c r="H84" i="9"/>
  <c r="J84" i="9"/>
  <c r="B2" i="9"/>
  <c r="E2" i="9" s="1"/>
  <c r="N111" i="9"/>
  <c r="P111" i="9" s="1"/>
  <c r="E9" i="9"/>
  <c r="C9" i="9"/>
  <c r="V34" i="9" a="1"/>
  <c r="V34" i="9" s="1"/>
  <c r="W19" i="9" a="1"/>
  <c r="W19" i="9" s="1"/>
  <c r="V33" i="9" a="1"/>
  <c r="V33" i="9" s="1"/>
  <c r="V22" i="9" a="1"/>
  <c r="V22" i="9" s="1"/>
  <c r="C3" i="9"/>
  <c r="E3" i="9"/>
  <c r="N114" i="9"/>
  <c r="D49" i="9" a="1"/>
  <c r="D49" i="9" s="1"/>
  <c r="E16" i="9"/>
  <c r="C16" i="9"/>
  <c r="E12" i="9"/>
  <c r="C12" i="9"/>
  <c r="C17" i="9"/>
  <c r="E17" i="9"/>
  <c r="A2" i="20"/>
  <c r="W9" i="9" a="1"/>
  <c r="W9" i="9"/>
  <c r="C2" i="2"/>
  <c r="AC9" i="9" l="1"/>
  <c r="H50" i="9" a="1"/>
  <c r="H50" i="9" s="1"/>
  <c r="N50" i="9" s="1"/>
  <c r="V12" i="9" a="1"/>
  <c r="V12" i="9" s="1"/>
  <c r="V24" i="9" a="1"/>
  <c r="V24" i="9" s="1"/>
  <c r="G68" i="9" a="1"/>
  <c r="G68" i="9" s="1"/>
  <c r="N68" i="9" s="1"/>
  <c r="L68" i="9" a="1"/>
  <c r="L68" i="9" s="1"/>
  <c r="W13" i="9" a="1"/>
  <c r="W13" i="9" s="1"/>
  <c r="H57" i="9" a="1"/>
  <c r="H57" i="9" s="1"/>
  <c r="N57" i="9" s="1"/>
  <c r="N66" i="9"/>
  <c r="L49" i="9" a="1"/>
  <c r="L49" i="9" s="1"/>
  <c r="N79" i="9"/>
  <c r="H49" i="9" a="1"/>
  <c r="H49" i="9" s="1"/>
  <c r="W5" i="9" a="1"/>
  <c r="W5" i="9" s="1"/>
  <c r="G59" i="9" a="1"/>
  <c r="G59" i="9" s="1"/>
  <c r="V15" i="9" a="1"/>
  <c r="V15" i="9" s="1"/>
  <c r="V17" i="9" a="1"/>
  <c r="V17" i="9" s="1"/>
  <c r="G61" i="9" a="1"/>
  <c r="G61" i="9" s="1"/>
  <c r="N63" i="9"/>
  <c r="V10" i="9" a="1"/>
  <c r="V10" i="9" s="1"/>
  <c r="AA24" i="9" a="1"/>
  <c r="AA24" i="9" s="1"/>
  <c r="G67" i="9" a="1"/>
  <c r="G67" i="9" s="1"/>
  <c r="N67" i="9" s="1"/>
  <c r="P67" i="9" s="1"/>
  <c r="N64" i="9"/>
  <c r="N86" i="9"/>
  <c r="P86" i="9" s="1"/>
  <c r="Y20" i="9" a="1"/>
  <c r="Y20" i="9" s="1"/>
  <c r="AC20" i="9" s="1"/>
  <c r="AE20" i="9" s="1"/>
  <c r="C17" i="20" s="1"/>
  <c r="W11" i="9" a="1"/>
  <c r="W11" i="9" s="1"/>
  <c r="G56" i="9" a="1"/>
  <c r="G56" i="9" s="1"/>
  <c r="N109" i="9"/>
  <c r="P109" i="9" s="1"/>
  <c r="C11" i="9"/>
  <c r="AD5" i="9"/>
  <c r="C12" i="19" a="1"/>
  <c r="C12" i="19" s="1"/>
  <c r="E12" i="19" s="1"/>
  <c r="E16" i="19" s="1"/>
  <c r="N95" i="9"/>
  <c r="P95" i="9" s="1"/>
  <c r="N94" i="9"/>
  <c r="P94" i="9" s="1"/>
  <c r="G91" i="9"/>
  <c r="N91" i="9" s="1"/>
  <c r="P91" i="9" s="1"/>
  <c r="O84" i="9"/>
  <c r="D84" i="9"/>
  <c r="S5" i="9" s="1" a="1"/>
  <c r="S5" i="9" s="1"/>
  <c r="J49" i="9" a="1"/>
  <c r="J49" i="9" s="1"/>
  <c r="N78" i="9"/>
  <c r="N73" i="9"/>
  <c r="AC11" i="9"/>
  <c r="D12" i="19" a="1"/>
  <c r="D12" i="19" s="1"/>
  <c r="Y5" i="9" a="1"/>
  <c r="Y5" i="9" s="1"/>
  <c r="N70" i="9"/>
  <c r="I108" i="9"/>
  <c r="AA25" i="9" a="1"/>
  <c r="AA25" i="9" s="1"/>
  <c r="L100" i="9"/>
  <c r="O78" i="9"/>
  <c r="S26" i="9" a="1"/>
  <c r="S26" i="9" s="1"/>
  <c r="J59" i="9" a="1"/>
  <c r="J59" i="9" s="1"/>
  <c r="O105" i="9"/>
  <c r="AD26" i="9" s="1"/>
  <c r="X10" i="9" a="1"/>
  <c r="X10" i="9" s="1"/>
  <c r="G98" i="9"/>
  <c r="M94" i="9"/>
  <c r="AB15" i="9" s="1" a="1"/>
  <c r="AB15" i="9" s="1"/>
  <c r="W16" i="9" a="1"/>
  <c r="W16" i="9" s="1"/>
  <c r="E89" i="9"/>
  <c r="T10" i="9" s="1" a="1"/>
  <c r="T10" i="9" s="1"/>
  <c r="C2" i="9"/>
  <c r="N77" i="9"/>
  <c r="G54" i="9" a="1"/>
  <c r="G54" i="9" s="1"/>
  <c r="N101" i="9"/>
  <c r="P101" i="9" s="1"/>
  <c r="N58" i="9"/>
  <c r="N110" i="9"/>
  <c r="P110" i="9" s="1"/>
  <c r="N84" i="9"/>
  <c r="P84" i="9" s="1"/>
  <c r="N61" i="9"/>
  <c r="AC27" i="9"/>
  <c r="N53" i="9"/>
  <c r="N60" i="9"/>
  <c r="P60" i="9" s="1"/>
  <c r="W7" i="9" a="1"/>
  <c r="W7" i="9" s="1"/>
  <c r="H51" i="9" a="1"/>
  <c r="H51" i="9" s="1"/>
  <c r="AC22" i="9"/>
  <c r="AE22" i="9" s="1"/>
  <c r="C19" i="20" s="1"/>
  <c r="AC14" i="9"/>
  <c r="G76" i="9" a="1"/>
  <c r="G76" i="9" s="1"/>
  <c r="V32" i="9" a="1"/>
  <c r="V32" i="9" s="1"/>
  <c r="AC17" i="9"/>
  <c r="AE17" i="9" s="1"/>
  <c r="C14" i="20" s="1"/>
  <c r="AC16" i="9"/>
  <c r="AE16" i="9" s="1"/>
  <c r="C13" i="20" s="1"/>
  <c r="J199" i="1" a="1"/>
  <c r="J199" i="1" s="1"/>
  <c r="V5" i="9" a="1"/>
  <c r="V5" i="9" s="1"/>
  <c r="G49" i="9" a="1"/>
  <c r="G49" i="9" s="1"/>
  <c r="AC24" i="9"/>
  <c r="AE24" i="9" s="1"/>
  <c r="C21" i="20" s="1"/>
  <c r="AC30" i="9"/>
  <c r="AC35" i="9"/>
  <c r="D8" i="19" a="1"/>
  <c r="D8" i="19" s="1"/>
  <c r="AC26" i="9"/>
  <c r="AC34" i="9"/>
  <c r="AE34" i="9" s="1"/>
  <c r="C31" i="20" s="1"/>
  <c r="AC13" i="9"/>
  <c r="AE13" i="9" s="1"/>
  <c r="C10" i="20" s="1"/>
  <c r="AC6" i="9"/>
  <c r="AC28" i="9"/>
  <c r="AC36" i="9"/>
  <c r="N59" i="9"/>
  <c r="P59" i="9" s="1"/>
  <c r="V7" i="9" a="1"/>
  <c r="V7" i="9" s="1"/>
  <c r="G51" i="9" a="1"/>
  <c r="G51" i="9" s="1"/>
  <c r="N51" i="9" s="1"/>
  <c r="AC18" i="9"/>
  <c r="AE18" i="9" s="1"/>
  <c r="C15" i="20" s="1"/>
  <c r="N104" i="9"/>
  <c r="P104" i="9" s="1"/>
  <c r="P68" i="9"/>
  <c r="B11" i="20"/>
  <c r="N93" i="9"/>
  <c r="P93" i="9" s="1"/>
  <c r="N103" i="9"/>
  <c r="P103" i="9" s="1"/>
  <c r="N113" i="9"/>
  <c r="P113" i="9" s="1"/>
  <c r="N89" i="9"/>
  <c r="P89" i="9" s="1"/>
  <c r="H71" i="9" a="1"/>
  <c r="H71" i="9" s="1"/>
  <c r="N71" i="9" s="1"/>
  <c r="B19" i="20"/>
  <c r="B2" i="20"/>
  <c r="N105" i="9"/>
  <c r="B22" i="20"/>
  <c r="X33" i="9" a="1"/>
  <c r="X33" i="9" s="1"/>
  <c r="AA15" i="9" a="1"/>
  <c r="AA15" i="9" s="1"/>
  <c r="AC15" i="9" s="1"/>
  <c r="AE15" i="9" s="1"/>
  <c r="C12" i="20" s="1"/>
  <c r="B21" i="20"/>
  <c r="H56" i="9" a="1"/>
  <c r="H56" i="9" s="1"/>
  <c r="N56" i="9" s="1"/>
  <c r="P56" i="9" s="1"/>
  <c r="W12" i="9" a="1"/>
  <c r="W12" i="9" s="1"/>
  <c r="P72" i="9"/>
  <c r="B5" i="20"/>
  <c r="P70" i="9"/>
  <c r="B25" i="20"/>
  <c r="H75" i="9" a="1"/>
  <c r="H75" i="9" s="1"/>
  <c r="N75" i="9" s="1"/>
  <c r="P75" i="9" s="1"/>
  <c r="W31" i="9" a="1"/>
  <c r="W31" i="9" s="1"/>
  <c r="V25" i="9" a="1"/>
  <c r="V25" i="9" s="1"/>
  <c r="G69" i="9" a="1"/>
  <c r="G69" i="9" s="1"/>
  <c r="N69" i="9" s="1"/>
  <c r="P69" i="9" s="1"/>
  <c r="W21" i="9" a="1"/>
  <c r="W21" i="9" s="1"/>
  <c r="B28" i="20"/>
  <c r="N65" i="9"/>
  <c r="P51" i="9"/>
  <c r="P62" i="9"/>
  <c r="B26" i="20"/>
  <c r="AE9" i="9"/>
  <c r="C6" i="20" s="1"/>
  <c r="B30" i="20"/>
  <c r="P65" i="9"/>
  <c r="N96" i="9"/>
  <c r="P96" i="9" s="1"/>
  <c r="N106" i="9"/>
  <c r="P106" i="9" s="1"/>
  <c r="P64" i="9"/>
  <c r="E18" i="19" a="1"/>
  <c r="E18" i="19" s="1"/>
  <c r="P53" i="9"/>
  <c r="B8" i="20"/>
  <c r="P55" i="9"/>
  <c r="B29" i="20"/>
  <c r="B20" i="20"/>
  <c r="K199" i="1"/>
  <c r="W23" i="9" a="1"/>
  <c r="W23" i="9" s="1"/>
  <c r="W33" i="9" a="1"/>
  <c r="W33" i="9" s="1"/>
  <c r="H76" i="9" a="1"/>
  <c r="H76" i="9" s="1"/>
  <c r="W32" i="9" a="1"/>
  <c r="W32" i="9" s="1"/>
  <c r="K54" i="9" a="1"/>
  <c r="K54" i="9" s="1"/>
  <c r="N54" i="9" s="1"/>
  <c r="P54" i="9" s="1"/>
  <c r="Z10" i="9" a="1"/>
  <c r="Z10" i="9" s="1"/>
  <c r="AC10" i="9" s="1"/>
  <c r="AE10" i="9" s="1"/>
  <c r="C7" i="20" s="1"/>
  <c r="P77" i="9"/>
  <c r="P114" i="9"/>
  <c r="AC8" i="9"/>
  <c r="AE8" i="9" s="1"/>
  <c r="C5" i="20" s="1"/>
  <c r="P71" i="9"/>
  <c r="P50" i="9"/>
  <c r="P57" i="9"/>
  <c r="B23" i="20"/>
  <c r="P66" i="9"/>
  <c r="P58" i="9"/>
  <c r="AE6" i="9"/>
  <c r="C3" i="20" s="1"/>
  <c r="P74" i="9"/>
  <c r="B27" i="20"/>
  <c r="P78" i="9"/>
  <c r="B4" i="20"/>
  <c r="P52" i="9"/>
  <c r="D536" i="17"/>
  <c r="K5" i="17" s="1"/>
  <c r="P63" i="9"/>
  <c r="B17" i="20"/>
  <c r="B7" i="20"/>
  <c r="AE27" i="9"/>
  <c r="C24" i="20" s="1"/>
  <c r="P73" i="9"/>
  <c r="P61" i="9"/>
  <c r="K4" i="17"/>
  <c r="N5" i="17"/>
  <c r="C9" i="8"/>
  <c r="E9" i="8" s="1"/>
  <c r="H19" i="7"/>
  <c r="H20" i="7"/>
  <c r="B10" i="20"/>
  <c r="B24" i="20"/>
  <c r="B18" i="20"/>
  <c r="B3" i="20"/>
  <c r="B31" i="20"/>
  <c r="AE30" i="9"/>
  <c r="C27" i="20" s="1"/>
  <c r="B9" i="20"/>
  <c r="AE35" i="9"/>
  <c r="C32" i="20" s="1"/>
  <c r="B14" i="20"/>
  <c r="AE28" i="9"/>
  <c r="C25" i="20" s="1"/>
  <c r="B12" i="20"/>
  <c r="B6" i="20"/>
  <c r="G26" i="15"/>
  <c r="C43" i="12"/>
  <c r="D42" i="14"/>
  <c r="C10" i="8" s="1"/>
  <c r="E10" i="8" s="1"/>
  <c r="J43" i="14"/>
  <c r="C12" i="8" s="1"/>
  <c r="E12" i="8" s="1"/>
  <c r="E44" i="18"/>
  <c r="C5" i="8"/>
  <c r="E5" i="8" s="1"/>
  <c r="D44" i="18"/>
  <c r="I37" i="12"/>
  <c r="H21" i="7"/>
  <c r="H26" i="15"/>
  <c r="I143" i="6"/>
  <c r="E26" i="7"/>
  <c r="H143" i="6"/>
  <c r="B16" i="20"/>
  <c r="B15" i="20"/>
  <c r="B13" i="20"/>
  <c r="AE14" i="9"/>
  <c r="C11" i="20" s="1"/>
  <c r="AE11" i="9"/>
  <c r="C8" i="20" s="1"/>
  <c r="D2" i="2"/>
  <c r="E7" i="8"/>
  <c r="E6" i="8"/>
  <c r="E13" i="8"/>
  <c r="E8" i="8"/>
  <c r="E4" i="8"/>
  <c r="AA21" i="9" l="1" a="1"/>
  <c r="AA21" i="9" s="1"/>
  <c r="AC21" i="9" s="1"/>
  <c r="AE21" i="9" s="1"/>
  <c r="N100" i="9"/>
  <c r="P100" i="9" s="1"/>
  <c r="N49" i="9"/>
  <c r="X29" i="9" a="1"/>
  <c r="X29" i="9" s="1"/>
  <c r="AC29" i="9" s="1"/>
  <c r="AE29" i="9" s="1"/>
  <c r="C26" i="20" s="1"/>
  <c r="N108" i="9"/>
  <c r="P108" i="9" s="1"/>
  <c r="V19" i="9" a="1"/>
  <c r="V19" i="9" s="1"/>
  <c r="AC19" i="9" s="1"/>
  <c r="AE19" i="9" s="1"/>
  <c r="C16" i="20" s="1"/>
  <c r="N98" i="9"/>
  <c r="P98" i="9" s="1"/>
  <c r="P105" i="9"/>
  <c r="AE26" i="9"/>
  <c r="C23" i="20" s="1"/>
  <c r="AC5" i="9"/>
  <c r="AE5" i="9" s="1"/>
  <c r="C2" i="20" s="1"/>
  <c r="N7" i="17"/>
  <c r="AC23" i="9"/>
  <c r="AE23" i="9" s="1"/>
  <c r="C20" i="20" s="1"/>
  <c r="C21" i="9"/>
  <c r="AC25" i="9"/>
  <c r="AE25" i="9" s="1"/>
  <c r="C22" i="20" s="1"/>
  <c r="AC32" i="9"/>
  <c r="AE32" i="9" s="1"/>
  <c r="C29" i="20" s="1"/>
  <c r="F536" i="17"/>
  <c r="AC31" i="9"/>
  <c r="AE31" i="9" s="1"/>
  <c r="C28" i="20" s="1"/>
  <c r="AC12" i="9"/>
  <c r="AE12" i="9" s="1"/>
  <c r="C9" i="20" s="1"/>
  <c r="N76" i="9"/>
  <c r="P76" i="9" s="1"/>
  <c r="K6" i="17"/>
  <c r="P49" i="9"/>
  <c r="AC7" i="9"/>
  <c r="AE7" i="9" s="1"/>
  <c r="C4" i="20" s="1"/>
  <c r="AC33" i="9"/>
  <c r="AE33" i="9" s="1"/>
  <c r="C30" i="20" s="1"/>
  <c r="P7" i="17"/>
  <c r="C19" i="10"/>
  <c r="H26" i="7"/>
  <c r="F44" i="18"/>
  <c r="C11" i="8"/>
  <c r="E11" i="8" s="1"/>
  <c r="E14" i="8" s="1"/>
  <c r="C14" i="8"/>
  <c r="C4" i="10" s="1"/>
  <c r="C18" i="20" l="1"/>
  <c r="E20" i="19" a="1"/>
  <c r="E20" i="19" s="1"/>
  <c r="C23" i="9"/>
  <c r="C3" i="10" s="1"/>
  <c r="C11" i="10" s="1"/>
  <c r="C13" i="10" s="1"/>
  <c r="C15" i="10"/>
  <c r="C17" i="10" s="1"/>
  <c r="C21" i="10" l="1"/>
  <c r="C5" i="10"/>
  <c r="F2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Khata (2).xlsx!Table4" type="102" refreshedVersion="8" minRefreshableVersion="5" refreshOnLoad="1" saveData="1">
    <extLst>
      <ext xmlns:x15="http://schemas.microsoft.com/office/spreadsheetml/2010/11/main" uri="{DE250136-89BD-433C-8126-D09CA5730AF9}">
        <x15:connection id="Table4" autoDelete="1">
          <x15:rangePr sourceName="_xlcn.WorksheetConnection_Khata2.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<sst xmlns="http://schemas.openxmlformats.org/spreadsheetml/2006/main" count="2797" uniqueCount="601">
  <si>
    <t>Billing</t>
  </si>
  <si>
    <t>Billing Total</t>
  </si>
  <si>
    <t>Party Name</t>
  </si>
  <si>
    <t>Tiyaar</t>
  </si>
  <si>
    <t>Rate</t>
  </si>
  <si>
    <t>Total</t>
  </si>
  <si>
    <t>Row Labels</t>
  </si>
  <si>
    <t>Sum of Tiyaar</t>
  </si>
  <si>
    <t>Sum of Total</t>
  </si>
  <si>
    <t>Arshad</t>
  </si>
  <si>
    <t>Gaz</t>
  </si>
  <si>
    <t>Total Metres</t>
  </si>
  <si>
    <t>Total Chamki</t>
  </si>
  <si>
    <t>Total Super Silky</t>
  </si>
  <si>
    <t>Billing (Chamki/Crinkle)</t>
  </si>
  <si>
    <t>Billing (Super Chamki)</t>
  </si>
  <si>
    <t>Adjusted Bill</t>
  </si>
  <si>
    <t>Amount Paid</t>
  </si>
  <si>
    <t>Balance</t>
  </si>
  <si>
    <t>Rate (Chamki)</t>
  </si>
  <si>
    <t>Rate (Super Silky)</t>
  </si>
  <si>
    <t>BSC</t>
  </si>
  <si>
    <t>Ejaz Sahab</t>
  </si>
  <si>
    <t>Shehzad Kamoki</t>
  </si>
  <si>
    <t>Sufi Nawaz Sahab</t>
  </si>
  <si>
    <t>Sajad Khan</t>
  </si>
  <si>
    <t>Raaz Fabrics</t>
  </si>
  <si>
    <t>Hafiz Qureshi</t>
  </si>
  <si>
    <t>Grand Total</t>
  </si>
  <si>
    <t>Total:</t>
  </si>
  <si>
    <t>(Real Figure)</t>
  </si>
  <si>
    <t>Total influx</t>
  </si>
  <si>
    <t>(considering 10.5)</t>
  </si>
  <si>
    <t>Parties:</t>
  </si>
  <si>
    <t>Party Names:</t>
  </si>
  <si>
    <t>Ubaidullah</t>
  </si>
  <si>
    <t>Description</t>
  </si>
  <si>
    <t>Total Gazana/gaz</t>
  </si>
  <si>
    <t>Gazana/meters</t>
  </si>
  <si>
    <t>Total Chamki-crinkle/meters</t>
  </si>
  <si>
    <t>Total Super Silky/meters</t>
  </si>
  <si>
    <t>Total Billing</t>
  </si>
  <si>
    <t>Total Paid</t>
  </si>
  <si>
    <t>Total Balance</t>
  </si>
  <si>
    <t>Expenses</t>
  </si>
  <si>
    <t>Type</t>
  </si>
  <si>
    <t>Amount</t>
  </si>
  <si>
    <t>Wood</t>
  </si>
  <si>
    <t>Dyes/Chemical</t>
  </si>
  <si>
    <t xml:space="preserve">Finish </t>
  </si>
  <si>
    <t>Misc</t>
  </si>
  <si>
    <t>Electricity</t>
  </si>
  <si>
    <t>Salary</t>
  </si>
  <si>
    <t>Running Acc</t>
  </si>
  <si>
    <t>Transport</t>
  </si>
  <si>
    <t>Parts</t>
  </si>
  <si>
    <t>Stock (for next 15th)</t>
  </si>
  <si>
    <t>Stock</t>
  </si>
  <si>
    <t>quantity</t>
  </si>
  <si>
    <t>Column3</t>
  </si>
  <si>
    <t>mann</t>
  </si>
  <si>
    <t>Starch</t>
  </si>
  <si>
    <t>Kg</t>
  </si>
  <si>
    <t>Pva</t>
  </si>
  <si>
    <t>Dyes</t>
  </si>
  <si>
    <t>Nil</t>
  </si>
  <si>
    <t>Column1</t>
  </si>
  <si>
    <t>Column2</t>
  </si>
  <si>
    <t>Profit</t>
  </si>
  <si>
    <t>Credit</t>
  </si>
  <si>
    <t>Debit</t>
  </si>
  <si>
    <t>Exp Balance</t>
  </si>
  <si>
    <t>Cash in hand</t>
  </si>
  <si>
    <t>Difference</t>
  </si>
  <si>
    <t>My share:</t>
  </si>
  <si>
    <t>Date</t>
  </si>
  <si>
    <t>Diff</t>
  </si>
  <si>
    <t>Bill Number</t>
  </si>
  <si>
    <t>Quality</t>
  </si>
  <si>
    <t>Shipment Number</t>
  </si>
  <si>
    <t>Kora/metre</t>
  </si>
  <si>
    <t>Tiyaar/gaz</t>
  </si>
  <si>
    <t>shortage %</t>
  </si>
  <si>
    <t>tiyar/meters</t>
  </si>
  <si>
    <t>billing</t>
  </si>
  <si>
    <t>Chamki</t>
  </si>
  <si>
    <t>Silky</t>
  </si>
  <si>
    <t>(All)</t>
  </si>
  <si>
    <t>Sum of Tiyaar/gaz</t>
  </si>
  <si>
    <t>Vehicle Number</t>
  </si>
  <si>
    <t>Weight</t>
  </si>
  <si>
    <t>Rent</t>
  </si>
  <si>
    <t>Paid</t>
  </si>
  <si>
    <t>balance</t>
  </si>
  <si>
    <t>Malik Zaheer</t>
  </si>
  <si>
    <t>Closing Balance CF</t>
  </si>
  <si>
    <t>Aqib</t>
  </si>
  <si>
    <t>-</t>
  </si>
  <si>
    <t>Gari #</t>
  </si>
  <si>
    <t>Sum of Weight</t>
  </si>
  <si>
    <t>Sum of total</t>
  </si>
  <si>
    <t>Sum of Paid</t>
  </si>
  <si>
    <t>Sum of balance</t>
  </si>
  <si>
    <t>(blank)</t>
  </si>
  <si>
    <t>amount</t>
  </si>
  <si>
    <t>Actual</t>
  </si>
  <si>
    <t>Cash in hand (July):</t>
  </si>
  <si>
    <t>Bank Withdrawal</t>
  </si>
  <si>
    <t>Bank</t>
  </si>
  <si>
    <t>Cash</t>
  </si>
  <si>
    <t>Party</t>
  </si>
  <si>
    <t>Mode</t>
  </si>
  <si>
    <t>Withdrawal</t>
  </si>
  <si>
    <t>Rashan</t>
  </si>
  <si>
    <t>H3R</t>
  </si>
  <si>
    <t>Unicolour</t>
  </si>
  <si>
    <t>Faysal Akraam</t>
  </si>
  <si>
    <t>Finish</t>
  </si>
  <si>
    <t>Sum of Credit</t>
  </si>
  <si>
    <t>Sum of Debit</t>
  </si>
  <si>
    <t>Chemical Name</t>
  </si>
  <si>
    <t>Boxes</t>
  </si>
  <si>
    <t>Price</t>
  </si>
  <si>
    <t>info</t>
  </si>
  <si>
    <t>chemicals</t>
  </si>
  <si>
    <t>Navy Blue</t>
  </si>
  <si>
    <t>Rubine B</t>
  </si>
  <si>
    <t>Sum of Price</t>
  </si>
  <si>
    <t>Sum of Balance</t>
  </si>
  <si>
    <t>Blue SE2R</t>
  </si>
  <si>
    <t>Red F3BS</t>
  </si>
  <si>
    <t>Violet 3R</t>
  </si>
  <si>
    <t>Violet 5R</t>
  </si>
  <si>
    <t>Yellow 10GF</t>
  </si>
  <si>
    <t>Item</t>
  </si>
  <si>
    <t>Quantity</t>
  </si>
  <si>
    <t>Bill number</t>
  </si>
  <si>
    <t>Units</t>
  </si>
  <si>
    <t>Advance</t>
  </si>
  <si>
    <t>Person</t>
  </si>
  <si>
    <t>Shipment number</t>
  </si>
  <si>
    <t>Max of Kora/metre</t>
  </si>
  <si>
    <t>cost</t>
  </si>
  <si>
    <t>Max of Kora/gaz</t>
  </si>
  <si>
    <t>Tiyar/metre</t>
  </si>
  <si>
    <t>Cost</t>
  </si>
  <si>
    <t>Yellow 4G</t>
  </si>
  <si>
    <t>Scarlet B</t>
  </si>
  <si>
    <t>Ashraf Zia</t>
  </si>
  <si>
    <t>Rafaqat</t>
  </si>
  <si>
    <t>gazana</t>
  </si>
  <si>
    <t>sum</t>
  </si>
  <si>
    <t>Azam</t>
  </si>
  <si>
    <t>Blue GSL</t>
  </si>
  <si>
    <t>Billing (Previous)</t>
  </si>
  <si>
    <t>Billing September</t>
  </si>
  <si>
    <t>boxes</t>
  </si>
  <si>
    <t>kgs</t>
  </si>
  <si>
    <t>total</t>
  </si>
  <si>
    <t>Black</t>
  </si>
  <si>
    <t>Red FB</t>
  </si>
  <si>
    <t>Yellow GG</t>
  </si>
  <si>
    <t>T blue</t>
  </si>
  <si>
    <t>LAST Month Stock</t>
  </si>
  <si>
    <t>BP26</t>
  </si>
  <si>
    <t>AS Traders</t>
  </si>
  <si>
    <t>Badshah Fabrics</t>
  </si>
  <si>
    <t>Party Names</t>
  </si>
  <si>
    <t>Reject</t>
  </si>
  <si>
    <t>Kaleem ullah</t>
  </si>
  <si>
    <t>Amjad 7up</t>
  </si>
  <si>
    <t>Hazrat Khan</t>
  </si>
  <si>
    <t>Ishaq</t>
  </si>
  <si>
    <t>Haseeb Shamsi</t>
  </si>
  <si>
    <t>(Last month)</t>
  </si>
  <si>
    <t>Faizan</t>
  </si>
  <si>
    <t>madina dyes</t>
  </si>
  <si>
    <t>Shafique Ansari</t>
  </si>
  <si>
    <t>Amjad sohail</t>
  </si>
  <si>
    <t>Billing (Slub)</t>
  </si>
  <si>
    <t>Billing (Satin)</t>
  </si>
  <si>
    <t>Aurangzeb</t>
  </si>
  <si>
    <t>General Dyes</t>
  </si>
  <si>
    <t>Salman Zaffar</t>
  </si>
  <si>
    <t>Slub</t>
  </si>
  <si>
    <t>Satin</t>
  </si>
  <si>
    <t>closing CF</t>
  </si>
  <si>
    <t>black</t>
  </si>
  <si>
    <t>Shahid Qasayi</t>
  </si>
  <si>
    <t>Abid ghafoor</t>
  </si>
  <si>
    <t>ibraheem behraam</t>
  </si>
  <si>
    <t>Hameed corporation</t>
  </si>
  <si>
    <t>Shafi Dyes</t>
  </si>
  <si>
    <t>Madina Dyes</t>
  </si>
  <si>
    <t>Irfan Punjabi</t>
  </si>
  <si>
    <t>Zia-ullah karachi</t>
  </si>
  <si>
    <t>Amjad wood</t>
  </si>
  <si>
    <t>Black-Chamki</t>
  </si>
  <si>
    <t>Billing (Black-chamki)</t>
  </si>
  <si>
    <t>Billing (Kataan)</t>
  </si>
  <si>
    <t>ZA</t>
  </si>
  <si>
    <t>This month</t>
  </si>
  <si>
    <t>Ahmad Javaid</t>
  </si>
  <si>
    <t>Munaar</t>
  </si>
  <si>
    <t>Billing (Munaar)</t>
  </si>
  <si>
    <t>Kataan</t>
  </si>
  <si>
    <t>billing (Slub)</t>
  </si>
  <si>
    <t>Billing (Black-Chamki)</t>
  </si>
  <si>
    <t>Billing (kataan</t>
  </si>
  <si>
    <t>Closing CF</t>
  </si>
  <si>
    <t>omer</t>
  </si>
  <si>
    <t>Rana Babar</t>
  </si>
  <si>
    <t>PVA</t>
  </si>
  <si>
    <t>Dec-Jan</t>
  </si>
  <si>
    <t>Bill Nill</t>
  </si>
  <si>
    <t>cost per meter</t>
  </si>
  <si>
    <t>aslam Multani</t>
  </si>
  <si>
    <t>Gauhar Kashif</t>
  </si>
  <si>
    <t>2017-b</t>
  </si>
  <si>
    <t>December Closing CF</t>
  </si>
  <si>
    <t>Arb Dasti</t>
  </si>
  <si>
    <t>Amp meter</t>
  </si>
  <si>
    <t>Dasti</t>
  </si>
  <si>
    <t>mazdoor</t>
  </si>
  <si>
    <t>karaya</t>
  </si>
  <si>
    <t>Advance salary</t>
  </si>
  <si>
    <t>imtiaz opt</t>
  </si>
  <si>
    <t>raksha karaya</t>
  </si>
  <si>
    <t>diesel</t>
  </si>
  <si>
    <t>rashan</t>
  </si>
  <si>
    <t>atta</t>
  </si>
  <si>
    <t>khubaib</t>
  </si>
  <si>
    <t>boiler chemicals</t>
  </si>
  <si>
    <t>salman Zaffar</t>
  </si>
  <si>
    <t>TID:638585</t>
  </si>
  <si>
    <t>Salman zaffar</t>
  </si>
  <si>
    <t>TID:115665</t>
  </si>
  <si>
    <t>khalid sahab</t>
  </si>
  <si>
    <t>Rashan bill Nill</t>
  </si>
  <si>
    <t>ubaidullah</t>
  </si>
  <si>
    <t>TID:282717</t>
  </si>
  <si>
    <t>medicine</t>
  </si>
  <si>
    <t>iqbal Fitter</t>
  </si>
  <si>
    <t>Master Tanveer</t>
  </si>
  <si>
    <t>naeem driver//mali</t>
  </si>
  <si>
    <t>Ashfaq Sahab theka</t>
  </si>
  <si>
    <t>grocceries</t>
  </si>
  <si>
    <t>bike</t>
  </si>
  <si>
    <t>loom ac</t>
  </si>
  <si>
    <t>abid sahab</t>
  </si>
  <si>
    <t>6 pheray</t>
  </si>
  <si>
    <t>package</t>
  </si>
  <si>
    <t>TID:689702</t>
  </si>
  <si>
    <t>TID:864276</t>
  </si>
  <si>
    <t>shahid Qasayi</t>
  </si>
  <si>
    <t>TID:594554</t>
  </si>
  <si>
    <t>TID:718636</t>
  </si>
  <si>
    <t>TID:202050</t>
  </si>
  <si>
    <t>irfan Punjabi</t>
  </si>
  <si>
    <t>TID:749744</t>
  </si>
  <si>
    <t>Aslam Multani</t>
  </si>
  <si>
    <t>TID:815907</t>
  </si>
  <si>
    <t>TID:048910</t>
  </si>
  <si>
    <t>TID:482867</t>
  </si>
  <si>
    <t>dhaga cones</t>
  </si>
  <si>
    <t>electric</t>
  </si>
  <si>
    <t>TID:152405</t>
  </si>
  <si>
    <t>TID:411138</t>
  </si>
  <si>
    <t>Nasir opt</t>
  </si>
  <si>
    <t>food</t>
  </si>
  <si>
    <t>oil change</t>
  </si>
  <si>
    <t>petrol</t>
  </si>
  <si>
    <t>Altaf Stenter</t>
  </si>
  <si>
    <t>Dec Balance</t>
  </si>
  <si>
    <t>Malik zaheer</t>
  </si>
  <si>
    <t>bearings 206</t>
  </si>
  <si>
    <t>bike petrol</t>
  </si>
  <si>
    <t>bearings 207</t>
  </si>
  <si>
    <t>ghulam abbas</t>
  </si>
  <si>
    <t>TID:385554</t>
  </si>
  <si>
    <t>TID:345956</t>
  </si>
  <si>
    <t>TID:997746</t>
  </si>
  <si>
    <t>TID:942006</t>
  </si>
  <si>
    <t>Madina dyes</t>
  </si>
  <si>
    <t>cash</t>
  </si>
  <si>
    <t>mithai</t>
  </si>
  <si>
    <t>sirens</t>
  </si>
  <si>
    <t>Ejaz sahab</t>
  </si>
  <si>
    <t>TID:785409</t>
  </si>
  <si>
    <t>TID:652533</t>
  </si>
  <si>
    <t>sunsuper parts</t>
  </si>
  <si>
    <t>TID:262592</t>
  </si>
  <si>
    <t>TID:293711</t>
  </si>
  <si>
    <t>TID:105048</t>
  </si>
  <si>
    <t>TID:530992</t>
  </si>
  <si>
    <t>civil defence xyz</t>
  </si>
  <si>
    <t>8x fire buckets</t>
  </si>
  <si>
    <t>TID:519631</t>
  </si>
  <si>
    <t>sajad khan</t>
  </si>
  <si>
    <t>TID:585792</t>
  </si>
  <si>
    <t>Car petrol</t>
  </si>
  <si>
    <t>naeem electric</t>
  </si>
  <si>
    <t>2035-b</t>
  </si>
  <si>
    <t>SM</t>
  </si>
  <si>
    <t>Shengtai</t>
  </si>
  <si>
    <t>25K-5k</t>
  </si>
  <si>
    <t>sm karaya</t>
  </si>
  <si>
    <t>dyes karaya</t>
  </si>
  <si>
    <t>General</t>
  </si>
  <si>
    <t>daig</t>
  </si>
  <si>
    <t>TID:090225</t>
  </si>
  <si>
    <t>Cash//Farman sahab</t>
  </si>
  <si>
    <t>Master Tanveer//daig</t>
  </si>
  <si>
    <t>Abdullah indrive</t>
  </si>
  <si>
    <t>farhaan</t>
  </si>
  <si>
    <t>Waqas ADM</t>
  </si>
  <si>
    <t>L key bolts</t>
  </si>
  <si>
    <t>TID:150159</t>
  </si>
  <si>
    <t>belt</t>
  </si>
  <si>
    <t>sadapay</t>
  </si>
  <si>
    <t>nuts</t>
  </si>
  <si>
    <t>TID:142712</t>
  </si>
  <si>
    <t>looper</t>
  </si>
  <si>
    <t>TID:387084</t>
  </si>
  <si>
    <t>TID:437715</t>
  </si>
  <si>
    <t>TID:742063</t>
  </si>
  <si>
    <t>TID:818579</t>
  </si>
  <si>
    <t>TID:965652</t>
  </si>
  <si>
    <t>box</t>
  </si>
  <si>
    <t>500+500 karaya</t>
  </si>
  <si>
    <t>cylinder</t>
  </si>
  <si>
    <t>TID:836243</t>
  </si>
  <si>
    <t>Salman zaffar//cash</t>
  </si>
  <si>
    <t>Rehman Ali</t>
  </si>
  <si>
    <t>2053+2038</t>
  </si>
  <si>
    <t>Shani Badshah</t>
  </si>
  <si>
    <t>TID:741025</t>
  </si>
  <si>
    <t>temp</t>
  </si>
  <si>
    <t>naeem driver dasti</t>
  </si>
  <si>
    <t>TID:500949</t>
  </si>
  <si>
    <t>TID:688367</t>
  </si>
  <si>
    <t>TID:067596</t>
  </si>
  <si>
    <t>kora karaya</t>
  </si>
  <si>
    <t>TID:842255</t>
  </si>
  <si>
    <t>TID:181245</t>
  </si>
  <si>
    <t>arshad</t>
  </si>
  <si>
    <t>TID:204907</t>
  </si>
  <si>
    <t>Fast//Abdullah</t>
  </si>
  <si>
    <t>fuel pump</t>
  </si>
  <si>
    <t>registers</t>
  </si>
  <si>
    <t>fuel pipe</t>
  </si>
  <si>
    <t>chain oil</t>
  </si>
  <si>
    <t>Environment</t>
  </si>
  <si>
    <t>TID:949920</t>
  </si>
  <si>
    <t>TID:311969</t>
  </si>
  <si>
    <t>Bank charges BAHL</t>
  </si>
  <si>
    <t>E 3628</t>
  </si>
  <si>
    <t>Faizan//Transport</t>
  </si>
  <si>
    <t>Transport adjust</t>
  </si>
  <si>
    <t>Ali Raza</t>
  </si>
  <si>
    <t>TID:515154</t>
  </si>
  <si>
    <t>package device</t>
  </si>
  <si>
    <t>Bajwa</t>
  </si>
  <si>
    <t>Kora sale</t>
  </si>
  <si>
    <t>waseem helper</t>
  </si>
  <si>
    <t>builty karaya</t>
  </si>
  <si>
    <t>workshop</t>
  </si>
  <si>
    <t xml:space="preserve">looms </t>
  </si>
  <si>
    <t>TID:241738</t>
  </si>
  <si>
    <t>amjad sohail kora</t>
  </si>
  <si>
    <t>lights</t>
  </si>
  <si>
    <t>copper</t>
  </si>
  <si>
    <t>TID:183397</t>
  </si>
  <si>
    <t>Master abid</t>
  </si>
  <si>
    <t>imtiaz operator</t>
  </si>
  <si>
    <t>TID:074649</t>
  </si>
  <si>
    <t>kfc//Ahmad</t>
  </si>
  <si>
    <t>TID:882485</t>
  </si>
  <si>
    <t>N blue,Black,5R,3R,SE2R,10GF,F3BS,H3R</t>
  </si>
  <si>
    <t>Scarlet B,4G</t>
  </si>
  <si>
    <t>MAK dyes</t>
  </si>
  <si>
    <t>Lot Number</t>
  </si>
  <si>
    <t>Gazana</t>
  </si>
  <si>
    <t>Zahid Ejaz</t>
  </si>
  <si>
    <t>Crinkle</t>
  </si>
  <si>
    <t>Amjad Sohail</t>
  </si>
  <si>
    <t>chamki</t>
  </si>
  <si>
    <t>Temp</t>
  </si>
  <si>
    <t>Ahmad shafique</t>
  </si>
  <si>
    <t>Badshah</t>
  </si>
  <si>
    <t>loom</t>
  </si>
  <si>
    <t>kataan</t>
  </si>
  <si>
    <t>952/2</t>
  </si>
  <si>
    <t>Against Cash//Jahangir Sb</t>
  </si>
  <si>
    <t>Petrol 464</t>
  </si>
  <si>
    <t>ID fan</t>
  </si>
  <si>
    <t>TID:934904</t>
  </si>
  <si>
    <t>Usama jet Depart</t>
  </si>
  <si>
    <t>TID:994315</t>
  </si>
  <si>
    <t>Dilawar elc</t>
  </si>
  <si>
    <t>750c+1100b</t>
  </si>
  <si>
    <t>TID:002397</t>
  </si>
  <si>
    <t>TID:837554</t>
  </si>
  <si>
    <t>TID:096345</t>
  </si>
  <si>
    <t>Dec Salary</t>
  </si>
  <si>
    <t>Adjustment</t>
  </si>
  <si>
    <t>petrol 697</t>
  </si>
  <si>
    <t>Ejaz Sahab//TID:520945</t>
  </si>
  <si>
    <t>khubaib//Package</t>
  </si>
  <si>
    <t>TID:573841</t>
  </si>
  <si>
    <t>NP9</t>
  </si>
  <si>
    <t>TID:544807</t>
  </si>
  <si>
    <t>TID:573157</t>
  </si>
  <si>
    <t>TID:135016</t>
  </si>
  <si>
    <t>Freight</t>
  </si>
  <si>
    <t>TID:738450</t>
  </si>
  <si>
    <t>TID:577812</t>
  </si>
  <si>
    <t>Master Waheed</t>
  </si>
  <si>
    <t>Nazam</t>
  </si>
  <si>
    <t>1500paint+1000painter</t>
  </si>
  <si>
    <t>Navy</t>
  </si>
  <si>
    <t>Anayat headman</t>
  </si>
  <si>
    <t>prints//stamps//stapler pins etc</t>
  </si>
  <si>
    <t>Reciept#430</t>
  </si>
  <si>
    <t>Bill Adjusted-Nill</t>
  </si>
  <si>
    <t>Stenter/300*3</t>
  </si>
  <si>
    <t>petrol loader</t>
  </si>
  <si>
    <t>Aslam multani</t>
  </si>
  <si>
    <t>TID:667482</t>
  </si>
  <si>
    <t>TID:130258</t>
  </si>
  <si>
    <t>TID:174429</t>
  </si>
  <si>
    <t>TID:482908</t>
  </si>
  <si>
    <t>Faisal Dyes</t>
  </si>
  <si>
    <t>Blackx3,Rubinex2</t>
  </si>
  <si>
    <t>TID:466306</t>
  </si>
  <si>
    <t>TID:773600</t>
  </si>
  <si>
    <t>TID:819124</t>
  </si>
  <si>
    <t>TID:296596</t>
  </si>
  <si>
    <t>Ahmad Shafique</t>
  </si>
  <si>
    <t>TID:787978</t>
  </si>
  <si>
    <t>Kataan 8439/52</t>
  </si>
  <si>
    <t>Shoaib Folding</t>
  </si>
  <si>
    <t>TID:967204</t>
  </si>
  <si>
    <t>TID:577818</t>
  </si>
  <si>
    <t>TID:296975</t>
  </si>
  <si>
    <t>market phera</t>
  </si>
  <si>
    <t>ghar exp</t>
  </si>
  <si>
    <t>Unloading</t>
  </si>
  <si>
    <t>Cash BSC</t>
  </si>
  <si>
    <t>Wazir Dyes</t>
  </si>
  <si>
    <t>silai cones</t>
  </si>
  <si>
    <t>Malik tahir</t>
  </si>
  <si>
    <t>waqas drv</t>
  </si>
  <si>
    <t>Hafiz qureshi</t>
  </si>
  <si>
    <t>HQ 400</t>
  </si>
  <si>
    <t>HQ 600</t>
  </si>
  <si>
    <t>Cheque</t>
  </si>
  <si>
    <t>GK 500</t>
  </si>
  <si>
    <t>GK 228</t>
  </si>
  <si>
    <t>Ubaid 418</t>
  </si>
  <si>
    <t>RA 250</t>
  </si>
  <si>
    <t>Maal BSC</t>
  </si>
  <si>
    <t>Qasayi 100</t>
  </si>
  <si>
    <t>Qasayi 38</t>
  </si>
  <si>
    <t>kora sale</t>
  </si>
  <si>
    <t>Receipt #411</t>
  </si>
  <si>
    <t>Transfer</t>
  </si>
  <si>
    <t>230Cash+170Transfer</t>
  </si>
  <si>
    <t>Meezan</t>
  </si>
  <si>
    <t>200cash+168transfer</t>
  </si>
  <si>
    <t>Azam 390</t>
  </si>
  <si>
    <t>Azam 235</t>
  </si>
  <si>
    <t>Azam 100</t>
  </si>
  <si>
    <t>Azam 400</t>
  </si>
  <si>
    <t>Azam 225</t>
  </si>
  <si>
    <t>Azam 220</t>
  </si>
  <si>
    <t>Azam 120</t>
  </si>
  <si>
    <t>Azam 368</t>
  </si>
  <si>
    <t>Cash OSF</t>
  </si>
  <si>
    <t>Cash Farman sb</t>
  </si>
  <si>
    <t>4G,Blackx2,navy</t>
  </si>
  <si>
    <t>misc</t>
  </si>
  <si>
    <t>loom dhaga toll+godaam</t>
  </si>
  <si>
    <t>chakku x2 + tire puncture</t>
  </si>
  <si>
    <t>Ashraf guard transfer</t>
  </si>
  <si>
    <t>Petrol Bike</t>
  </si>
  <si>
    <t>TID:427043</t>
  </si>
  <si>
    <t>T rods/Fitter</t>
  </si>
  <si>
    <t>stationary</t>
  </si>
  <si>
    <t>Mtag 697</t>
  </si>
  <si>
    <t>Optix</t>
  </si>
  <si>
    <t>Chain oil</t>
  </si>
  <si>
    <t>Medicine</t>
  </si>
  <si>
    <t>Copper+elect</t>
  </si>
  <si>
    <t>TID:337088</t>
  </si>
  <si>
    <t>Garari+copper+elect</t>
  </si>
  <si>
    <t>TID:783166</t>
  </si>
  <si>
    <t>4drums ok</t>
  </si>
  <si>
    <t>2035-a</t>
  </si>
  <si>
    <t>petrol 464</t>
  </si>
  <si>
    <t>Mazdoor</t>
  </si>
  <si>
    <t>chai x5</t>
  </si>
  <si>
    <t>Master Akbar</t>
  </si>
  <si>
    <t>Amjad fitter</t>
  </si>
  <si>
    <t>Mali</t>
  </si>
  <si>
    <t>belt kangi</t>
  </si>
  <si>
    <t>TID:493709</t>
  </si>
  <si>
    <t>Bearings 4602</t>
  </si>
  <si>
    <t>TID:304250</t>
  </si>
  <si>
    <t>TID:458392</t>
  </si>
  <si>
    <t>TID:575952</t>
  </si>
  <si>
    <t>Ghulam Abbas Chakki</t>
  </si>
  <si>
    <t>engine oil x2</t>
  </si>
  <si>
    <t>Hafiz Shawl</t>
  </si>
  <si>
    <t>TID:431637</t>
  </si>
  <si>
    <t>Bill Nill 13/2/26</t>
  </si>
  <si>
    <t>TID:467194</t>
  </si>
  <si>
    <t>Babar jet depart</t>
  </si>
  <si>
    <t>dori+shopper</t>
  </si>
  <si>
    <t>2046-b</t>
  </si>
  <si>
    <t>TID:646544</t>
  </si>
  <si>
    <t>TID:562939</t>
  </si>
  <si>
    <t>leaveling+acid</t>
  </si>
  <si>
    <t>TID:739994</t>
  </si>
  <si>
    <t>Umer Farooq</t>
  </si>
  <si>
    <t>rubine x2, Navy x2</t>
  </si>
  <si>
    <t>Sabir salary</t>
  </si>
  <si>
    <t>Building Acc</t>
  </si>
  <si>
    <t>Cement x20</t>
  </si>
  <si>
    <t>UC207 x2</t>
  </si>
  <si>
    <t>Ball valve x2</t>
  </si>
  <si>
    <t>inch tape</t>
  </si>
  <si>
    <t>Black x2</t>
  </si>
  <si>
    <t>TID:538710</t>
  </si>
  <si>
    <t>TID:708711</t>
  </si>
  <si>
    <t>MZ freight</t>
  </si>
  <si>
    <t>Kanta charges govt</t>
  </si>
  <si>
    <t>Leaveling+Acid</t>
  </si>
  <si>
    <t>Rubine x2, Navy x2, Black x2</t>
  </si>
  <si>
    <t>500+800 tapes</t>
  </si>
  <si>
    <t>tire repair</t>
  </si>
  <si>
    <t>Faizan Kora</t>
  </si>
  <si>
    <t>Package</t>
  </si>
  <si>
    <t>Aslam multani freight</t>
  </si>
  <si>
    <t>3000 bricks</t>
  </si>
  <si>
    <t>eentt 3000</t>
  </si>
  <si>
    <t>Zodian 12 number+disc+valves</t>
  </si>
  <si>
    <t>parts</t>
  </si>
  <si>
    <t>Diesel x5l</t>
  </si>
  <si>
    <t>Hamid baba</t>
  </si>
  <si>
    <t>TID:570508</t>
  </si>
  <si>
    <t>TID:213548</t>
  </si>
  <si>
    <t>TID:219153</t>
  </si>
  <si>
    <t>136-76 pakiza</t>
  </si>
  <si>
    <t>TID:485192</t>
  </si>
  <si>
    <t>Mtag 464</t>
  </si>
  <si>
    <t>Nasir operator</t>
  </si>
  <si>
    <t>TID:395981</t>
  </si>
  <si>
    <t>receipt #438</t>
  </si>
  <si>
    <t>sunsuper</t>
  </si>
  <si>
    <t>paitay maal karaya</t>
  </si>
  <si>
    <t>builty</t>
  </si>
  <si>
    <t>Pins//awan</t>
  </si>
  <si>
    <t>TID:019650</t>
  </si>
  <si>
    <t>TID:287168</t>
  </si>
  <si>
    <t>Zubair anjum 10k</t>
  </si>
  <si>
    <t>Saif Silai</t>
  </si>
  <si>
    <t>TID:551478</t>
  </si>
  <si>
    <t>Asif photocell</t>
  </si>
  <si>
    <t>Raksha</t>
  </si>
  <si>
    <t>TID:270488</t>
  </si>
  <si>
    <t>TID:521261</t>
  </si>
  <si>
    <t>TID:6109299</t>
  </si>
  <si>
    <t>Boiler bricks</t>
  </si>
  <si>
    <t>mandi</t>
  </si>
  <si>
    <t>valves etc</t>
  </si>
  <si>
    <t>TID:910064</t>
  </si>
  <si>
    <t>wazir dyes</t>
  </si>
  <si>
    <t>Orange H3r</t>
  </si>
  <si>
    <t>shaft</t>
  </si>
  <si>
    <t>Crescent dyes</t>
  </si>
  <si>
    <t>TID:854863</t>
  </si>
  <si>
    <t>Zaheer shah wood</t>
  </si>
  <si>
    <t>Kora transport</t>
  </si>
  <si>
    <t>adjustment</t>
  </si>
  <si>
    <t>Khubaib</t>
  </si>
  <si>
    <t>salary</t>
  </si>
  <si>
    <t>Ashfaq sahab boiler theka</t>
  </si>
  <si>
    <t>Ashraf Guard</t>
  </si>
  <si>
    <t>Naeem Electric</t>
  </si>
  <si>
    <t>Ghulam abbas chakki</t>
  </si>
  <si>
    <t>Khurrum</t>
  </si>
  <si>
    <t>Khalid Sahab</t>
  </si>
  <si>
    <t>Nasir</t>
  </si>
  <si>
    <t>aslam</t>
  </si>
  <si>
    <t>Zubair Gujjar</t>
  </si>
  <si>
    <t>`</t>
  </si>
  <si>
    <t>ashfaq sahab</t>
  </si>
  <si>
    <t>Nazim 4 dihari</t>
  </si>
  <si>
    <t>nazim</t>
  </si>
  <si>
    <t>waheed 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</si>
</sst>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4" x14ac:knownFonts="1">
    <font>
      <sz val="11"/>
      <color theme="1"/>
      <name val="Aptos Narrow"/>
      <family val="2"/>
      <scheme val="minor"/>
    </font>
    <font>
      <b/>
      <sz val="11"/>
      <color theme="1"/>
      <name val="Aptos Narrow"/>
      <family val="2"/>
      <scheme val="minor"/>
    </font>
    <font>
      <b/>
      <i/>
      <sz val="11"/>
      <color theme="1"/>
      <name val="Aptos Narrow"/>
      <family val="2"/>
      <scheme val="minor"/>
    </font>
    <font>
      <b/>
      <i/>
      <u/>
      <sz val="20"/>
      <color theme="1"/>
      <name val="Aptos Narrow"/>
      <family val="2"/>
      <scheme val="minor"/>
    </font>
    <font>
      <sz val="8"/>
      <name val="Aptos Narrow"/>
      <family val="2"/>
      <scheme val="minor"/>
    </font>
    <font>
      <b/>
      <i/>
      <u/>
      <sz val="22"/>
      <color theme="1"/>
      <name val="Aptos Narrow"/>
      <family val="2"/>
      <scheme val="minor"/>
    </font>
    <font>
      <sz val="11"/>
      <color theme="1"/>
      <name val="Aptos Narrow"/>
      <family val="2"/>
      <scheme val="minor"/>
    </font>
    <font>
      <sz val="6"/>
      <name val="Yu Gothic"/>
      <family val="2"/>
      <charset val="128"/>
    </font>
    <font>
      <b/>
      <sz val="14"/>
      <color theme="1"/>
      <name val="Aptos Narrow"/>
      <family val="2"/>
      <scheme val="minor"/>
    </font>
    <font>
      <b/>
      <sz val="12"/>
      <color theme="1"/>
      <name val="Aptos Narrow"/>
      <family val="2"/>
      <scheme val="minor"/>
    </font>
    <font>
      <b/>
      <sz val="16"/>
      <color theme="1"/>
      <name val="Aptos Narrow"/>
      <family val="2"/>
      <scheme val="minor"/>
    </font>
    <font>
      <sz val="14"/>
      <color theme="1"/>
      <name val="Aptos Narrow"/>
      <family val="2"/>
      <scheme val="minor"/>
    </font>
    <font>
      <b/>
      <sz val="11"/>
      <color theme="0"/>
      <name val="Aptos Narrow"/>
      <family val="2"/>
      <scheme val="minor"/>
    </font>
    <font>
      <sz val="16"/>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4"/>
        <bgColor indexed="64"/>
      </patternFill>
    </fill>
    <fill>
      <patternFill patternType="solid">
        <fgColor theme="0" tint="-0.3499862666707357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double">
        <color theme="4"/>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505050"/>
      </left>
      <right/>
      <top style="medium">
        <color rgb="FF505050"/>
      </top>
      <bottom style="medium">
        <color rgb="FF505050"/>
      </bottom>
      <diagonal/>
    </border>
    <border>
      <left/>
      <right style="medium">
        <color rgb="FF505050"/>
      </right>
      <top style="medium">
        <color rgb="FF505050"/>
      </top>
      <bottom style="medium">
        <color rgb="FF505050"/>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auto="1"/>
      </left>
      <right style="thin">
        <color auto="1"/>
      </right>
      <top style="thin">
        <color auto="1"/>
      </top>
      <bottom/>
      <diagonal/>
    </border>
    <border>
      <left/>
      <right/>
      <top/>
      <bottom style="thin">
        <color indexed="64"/>
      </bottom>
      <diagonal/>
    </border>
  </borders>
  <cellStyleXfs count="2">
    <xf numFmtId="0" fontId="0" fillId="0" borderId="0"/>
    <xf numFmtId="43" fontId="6" fillId="0" borderId="0" applyFont="0" applyFill="0" applyBorder="0" applyAlignment="0" applyProtection="0"/>
  </cellStyleXfs>
  <cellXfs count="142">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3" fillId="0" borderId="0" xfId="0" applyFont="1"/>
    <xf numFmtId="0" fontId="1" fillId="0" borderId="3" xfId="0" applyFont="1" applyBorder="1" applyAlignment="1">
      <alignment horizontal="center" vertical="top"/>
    </xf>
    <xf numFmtId="0" fontId="5" fillId="0" borderId="0" xfId="0" applyFont="1"/>
    <xf numFmtId="43" fontId="0" fillId="0" borderId="0" xfId="1" applyFont="1"/>
    <xf numFmtId="164" fontId="0" fillId="0" borderId="0" xfId="1" applyNumberFormat="1" applyFont="1"/>
    <xf numFmtId="164" fontId="1" fillId="0" borderId="3" xfId="1" applyNumberFormat="1" applyFont="1" applyBorder="1" applyAlignment="1">
      <alignment horizontal="center" vertical="top"/>
    </xf>
    <xf numFmtId="164" fontId="1" fillId="0" borderId="3" xfId="1" applyNumberFormat="1" applyFont="1" applyBorder="1"/>
    <xf numFmtId="164" fontId="0" fillId="0" borderId="0" xfId="0" applyNumberFormat="1"/>
    <xf numFmtId="164" fontId="2" fillId="0" borderId="0" xfId="1" applyNumberFormat="1" applyFont="1"/>
    <xf numFmtId="164" fontId="0" fillId="0" borderId="0" xfId="0" applyNumberFormat="1" applyAlignment="1">
      <alignment horizontal="left"/>
    </xf>
    <xf numFmtId="164" fontId="1" fillId="0" borderId="4" xfId="0" applyNumberFormat="1" applyFont="1" applyBorder="1"/>
    <xf numFmtId="1" fontId="0" fillId="0" borderId="0" xfId="0" applyNumberFormat="1"/>
    <xf numFmtId="0" fontId="0" fillId="2" borderId="0" xfId="0" applyFill="1"/>
    <xf numFmtId="164" fontId="0" fillId="2" borderId="0" xfId="1" applyNumberFormat="1" applyFont="1" applyFill="1"/>
    <xf numFmtId="0" fontId="0" fillId="0" borderId="1" xfId="0" applyBorder="1"/>
    <xf numFmtId="164" fontId="0" fillId="0" borderId="1" xfId="1" applyNumberFormat="1" applyFont="1" applyBorder="1"/>
    <xf numFmtId="0" fontId="1" fillId="3" borderId="1" xfId="0" applyFont="1" applyFill="1" applyBorder="1"/>
    <xf numFmtId="0" fontId="1" fillId="0" borderId="1" xfId="0" applyFont="1" applyBorder="1"/>
    <xf numFmtId="164" fontId="0" fillId="2" borderId="0" xfId="0" applyNumberFormat="1" applyFill="1"/>
    <xf numFmtId="14" fontId="0" fillId="0" borderId="0" xfId="0" applyNumberFormat="1" applyAlignment="1">
      <alignment horizontal="left"/>
    </xf>
    <xf numFmtId="0" fontId="1" fillId="0" borderId="2" xfId="1" applyNumberFormat="1" applyFont="1" applyBorder="1" applyAlignment="1">
      <alignment horizontal="center" vertical="top"/>
    </xf>
    <xf numFmtId="43" fontId="0" fillId="0" borderId="0" xfId="0" applyNumberFormat="1"/>
    <xf numFmtId="164" fontId="0" fillId="4" borderId="0" xfId="1" applyNumberFormat="1" applyFont="1" applyFill="1"/>
    <xf numFmtId="164" fontId="0" fillId="6" borderId="0" xfId="0" applyNumberFormat="1" applyFill="1"/>
    <xf numFmtId="0" fontId="1" fillId="5" borderId="1" xfId="0" applyFont="1" applyFill="1" applyBorder="1"/>
    <xf numFmtId="164" fontId="1" fillId="5" borderId="1" xfId="0" applyNumberFormat="1" applyFont="1" applyFill="1" applyBorder="1"/>
    <xf numFmtId="164" fontId="1" fillId="5" borderId="1" xfId="1" applyNumberFormat="1" applyFont="1" applyFill="1" applyBorder="1"/>
    <xf numFmtId="164" fontId="0" fillId="0" borderId="3" xfId="0" pivotButton="1" applyNumberFormat="1" applyBorder="1"/>
    <xf numFmtId="164" fontId="0" fillId="0" borderId="5" xfId="0" applyNumberFormat="1" applyBorder="1"/>
    <xf numFmtId="164" fontId="0" fillId="0" borderId="6" xfId="0" applyNumberFormat="1" applyBorder="1"/>
    <xf numFmtId="164" fontId="1" fillId="0" borderId="1" xfId="1" applyNumberFormat="1" applyFont="1" applyBorder="1"/>
    <xf numFmtId="14" fontId="0" fillId="0" borderId="8" xfId="0" applyNumberFormat="1" applyBorder="1"/>
    <xf numFmtId="164" fontId="0" fillId="0" borderId="1" xfId="0" applyNumberFormat="1" applyBorder="1"/>
    <xf numFmtId="0" fontId="2" fillId="0" borderId="1" xfId="0" applyFont="1" applyBorder="1"/>
    <xf numFmtId="164" fontId="2" fillId="0" borderId="1" xfId="0" applyNumberFormat="1" applyFont="1" applyBorder="1"/>
    <xf numFmtId="0" fontId="0" fillId="0" borderId="0" xfId="0" applyAlignment="1">
      <alignment horizontal="left" indent="1"/>
    </xf>
    <xf numFmtId="165" fontId="0" fillId="0" borderId="0" xfId="0" applyNumberFormat="1"/>
    <xf numFmtId="164" fontId="0" fillId="0" borderId="0" xfId="0" pivotButton="1" applyNumberFormat="1"/>
    <xf numFmtId="0" fontId="0" fillId="0" borderId="9" xfId="0" applyBorder="1"/>
    <xf numFmtId="164" fontId="0" fillId="0" borderId="10" xfId="0" applyNumberFormat="1" applyBorder="1"/>
    <xf numFmtId="0" fontId="0" fillId="0" borderId="6" xfId="0" applyBorder="1"/>
    <xf numFmtId="0" fontId="0" fillId="0" borderId="11" xfId="0" applyBorder="1"/>
    <xf numFmtId="164" fontId="0" fillId="0" borderId="12" xfId="0" applyNumberFormat="1" applyBorder="1"/>
    <xf numFmtId="0" fontId="0" fillId="0" borderId="5" xfId="0" applyBorder="1"/>
    <xf numFmtId="0" fontId="0" fillId="0" borderId="10" xfId="0" applyBorder="1"/>
    <xf numFmtId="0" fontId="1" fillId="0" borderId="11" xfId="0" applyFont="1" applyBorder="1"/>
    <xf numFmtId="164" fontId="1" fillId="0" borderId="12" xfId="0" applyNumberFormat="1" applyFont="1" applyBorder="1"/>
    <xf numFmtId="164" fontId="0" fillId="7" borderId="0" xfId="0" applyNumberFormat="1" applyFill="1"/>
    <xf numFmtId="0" fontId="8" fillId="0" borderId="0" xfId="0" applyFont="1"/>
    <xf numFmtId="0" fontId="0" fillId="0" borderId="13" xfId="0" applyBorder="1"/>
    <xf numFmtId="164" fontId="0" fillId="0" borderId="14" xfId="0" applyNumberFormat="1" applyBorder="1"/>
    <xf numFmtId="0" fontId="0" fillId="0" borderId="15" xfId="0" applyBorder="1"/>
    <xf numFmtId="164" fontId="0" fillId="0" borderId="16" xfId="0" applyNumberFormat="1" applyBorder="1"/>
    <xf numFmtId="0" fontId="1" fillId="0" borderId="19" xfId="0" applyFont="1" applyBorder="1"/>
    <xf numFmtId="164" fontId="1" fillId="0" borderId="20" xfId="0" applyNumberFormat="1" applyFont="1" applyBorder="1"/>
    <xf numFmtId="0" fontId="9" fillId="0" borderId="0" xfId="0" applyFont="1"/>
    <xf numFmtId="165" fontId="0" fillId="0" borderId="1" xfId="1" applyNumberFormat="1" applyFont="1" applyBorder="1"/>
    <xf numFmtId="0" fontId="10" fillId="3" borderId="1" xfId="0" applyFont="1" applyFill="1" applyBorder="1"/>
    <xf numFmtId="0" fontId="11" fillId="0" borderId="0" xfId="0" applyFont="1"/>
    <xf numFmtId="165" fontId="8" fillId="0" borderId="0" xfId="1" applyNumberFormat="1" applyFont="1" applyBorder="1"/>
    <xf numFmtId="165" fontId="11" fillId="0" borderId="0" xfId="1" applyNumberFormat="1" applyFont="1" applyBorder="1"/>
    <xf numFmtId="164" fontId="8" fillId="0" borderId="0" xfId="1" applyNumberFormat="1" applyFont="1" applyBorder="1"/>
    <xf numFmtId="164" fontId="11" fillId="0" borderId="0" xfId="1" applyNumberFormat="1" applyFont="1" applyBorder="1"/>
    <xf numFmtId="43" fontId="0" fillId="0" borderId="1" xfId="1" applyFont="1" applyBorder="1"/>
    <xf numFmtId="0" fontId="1" fillId="0" borderId="15" xfId="0" applyFont="1" applyBorder="1"/>
    <xf numFmtId="164" fontId="1" fillId="0" borderId="16" xfId="0" applyNumberFormat="1" applyFont="1" applyBorder="1"/>
    <xf numFmtId="164" fontId="1" fillId="0" borderId="18" xfId="0" applyNumberFormat="1" applyFont="1" applyBorder="1"/>
    <xf numFmtId="0" fontId="1" fillId="0" borderId="17" xfId="0" applyFont="1" applyBorder="1"/>
    <xf numFmtId="0" fontId="1" fillId="0" borderId="21" xfId="0" applyFont="1" applyBorder="1"/>
    <xf numFmtId="164" fontId="1" fillId="0" borderId="22" xfId="0" applyNumberFormat="1" applyFont="1" applyBorder="1"/>
    <xf numFmtId="0" fontId="1" fillId="5" borderId="0" xfId="0" applyFont="1" applyFill="1"/>
    <xf numFmtId="2" fontId="1" fillId="0" borderId="0" xfId="0" applyNumberFormat="1" applyFont="1"/>
    <xf numFmtId="0" fontId="12" fillId="0" borderId="19" xfId="0" applyFont="1" applyBorder="1"/>
    <xf numFmtId="0" fontId="1" fillId="0" borderId="0" xfId="0" applyFont="1"/>
    <xf numFmtId="0" fontId="1" fillId="0" borderId="0" xfId="0" applyFont="1" applyAlignment="1">
      <alignment horizontal="center" vertical="top"/>
    </xf>
    <xf numFmtId="164" fontId="1" fillId="0" borderId="0" xfId="1" applyNumberFormat="1" applyFont="1" applyBorder="1" applyAlignment="1">
      <alignment horizontal="center" vertical="top"/>
    </xf>
    <xf numFmtId="164" fontId="1" fillId="0" borderId="0" xfId="1" applyNumberFormat="1" applyFont="1" applyBorder="1"/>
    <xf numFmtId="14" fontId="1" fillId="0" borderId="0" xfId="0" applyNumberFormat="1" applyFont="1" applyAlignment="1">
      <alignment horizontal="center" vertical="top"/>
    </xf>
    <xf numFmtId="14" fontId="1" fillId="0" borderId="7" xfId="0" applyNumberFormat="1" applyFont="1" applyBorder="1"/>
    <xf numFmtId="164" fontId="1" fillId="0" borderId="0" xfId="1" applyNumberFormat="1" applyFont="1"/>
    <xf numFmtId="0" fontId="1" fillId="0" borderId="0" xfId="0" applyFont="1" applyAlignment="1">
      <alignment horizontal="center"/>
    </xf>
    <xf numFmtId="0" fontId="0" fillId="0" borderId="3" xfId="0" applyBorder="1"/>
    <xf numFmtId="0" fontId="0" fillId="0" borderId="24" xfId="0" applyBorder="1"/>
    <xf numFmtId="165" fontId="8" fillId="0" borderId="0" xfId="1" applyNumberFormat="1" applyFont="1"/>
    <xf numFmtId="165" fontId="8" fillId="0" borderId="23" xfId="1" applyNumberFormat="1" applyFont="1" applyBorder="1"/>
    <xf numFmtId="164" fontId="8" fillId="0" borderId="23" xfId="1" applyNumberFormat="1" applyFont="1" applyBorder="1"/>
    <xf numFmtId="165" fontId="0" fillId="8" borderId="0" xfId="0" applyNumberFormat="1" applyFill="1"/>
    <xf numFmtId="14" fontId="1" fillId="0" borderId="0" xfId="0" applyNumberFormat="1" applyFont="1"/>
    <xf numFmtId="164" fontId="0" fillId="0" borderId="0" xfId="1" applyNumberFormat="1" applyFont="1" applyBorder="1"/>
    <xf numFmtId="0" fontId="1" fillId="0" borderId="0" xfId="0" applyFont="1" applyAlignment="1">
      <alignment horizontal="left" vertical="top"/>
    </xf>
    <xf numFmtId="0" fontId="1" fillId="0" borderId="1" xfId="0" applyFont="1" applyBorder="1" applyAlignment="1">
      <alignment horizontal="left"/>
    </xf>
    <xf numFmtId="164" fontId="1" fillId="0" borderId="1" xfId="0" applyNumberFormat="1" applyFont="1" applyBorder="1" applyAlignment="1">
      <alignment horizontal="left"/>
    </xf>
    <xf numFmtId="0" fontId="0" fillId="9" borderId="0" xfId="0" applyFill="1"/>
    <xf numFmtId="164" fontId="8" fillId="9" borderId="23" xfId="1" applyNumberFormat="1" applyFont="1" applyFill="1" applyBorder="1"/>
    <xf numFmtId="0" fontId="10" fillId="0" borderId="0" xfId="0" applyFont="1"/>
    <xf numFmtId="164" fontId="10" fillId="7" borderId="0" xfId="0" applyNumberFormat="1" applyFont="1" applyFill="1"/>
    <xf numFmtId="164" fontId="10" fillId="8" borderId="0" xfId="0" applyNumberFormat="1" applyFont="1" applyFill="1"/>
    <xf numFmtId="164" fontId="13" fillId="0" borderId="0" xfId="0" applyNumberFormat="1" applyFont="1"/>
    <xf numFmtId="0" fontId="1" fillId="0" borderId="25" xfId="1" applyNumberFormat="1" applyFont="1" applyBorder="1" applyAlignment="1">
      <alignment horizontal="center" vertical="top"/>
    </xf>
    <xf numFmtId="14" fontId="1" fillId="0" borderId="1" xfId="1" applyNumberFormat="1" applyFont="1" applyBorder="1"/>
    <xf numFmtId="0" fontId="1" fillId="0" borderId="1" xfId="1" applyNumberFormat="1" applyFont="1" applyBorder="1"/>
    <xf numFmtId="164" fontId="1" fillId="0" borderId="1" xfId="1" applyNumberFormat="1" applyFont="1" applyFill="1" applyBorder="1"/>
    <xf numFmtId="165" fontId="1" fillId="0" borderId="1" xfId="1" applyNumberFormat="1" applyFont="1" applyBorder="1"/>
    <xf numFmtId="0" fontId="0" fillId="0" borderId="0" xfId="0" applyAlignment="1">
      <alignment horizontal="center"/>
    </xf>
    <xf numFmtId="0" fontId="1" fillId="0" borderId="3" xfId="1" applyNumberFormat="1" applyFont="1" applyBorder="1"/>
    <xf numFmtId="165" fontId="1" fillId="0" borderId="3" xfId="1" applyNumberFormat="1" applyFont="1" applyBorder="1"/>
    <xf numFmtId="0" fontId="1" fillId="3" borderId="2" xfId="0" applyFont="1" applyFill="1" applyBorder="1"/>
    <xf numFmtId="14" fontId="0" fillId="0" borderId="7" xfId="0" applyNumberFormat="1" applyBorder="1"/>
    <xf numFmtId="14" fontId="1" fillId="0" borderId="0" xfId="0" applyNumberFormat="1" applyFont="1" applyAlignment="1">
      <alignment horizontal="center"/>
    </xf>
    <xf numFmtId="0" fontId="1" fillId="0" borderId="26" xfId="0" applyFont="1" applyBorder="1"/>
    <xf numFmtId="0" fontId="0" fillId="0" borderId="0" xfId="1" applyNumberFormat="1" applyFont="1"/>
    <xf numFmtId="165" fontId="1" fillId="0" borderId="0" xfId="1" applyNumberFormat="1" applyFont="1"/>
    <xf numFmtId="165" fontId="0" fillId="0" borderId="0" xfId="1" applyNumberFormat="1" applyFont="1"/>
    <xf numFmtId="14" fontId="0" fillId="0" borderId="0" xfId="1" applyNumberFormat="1" applyFont="1"/>
    <xf numFmtId="0" fontId="1" fillId="0" borderId="0" xfId="1" applyNumberFormat="1" applyFont="1"/>
    <xf numFmtId="164" fontId="0" fillId="7" borderId="0" xfId="1" applyNumberFormat="1" applyFont="1" applyFill="1"/>
    <xf numFmtId="14" fontId="0" fillId="10" borderId="0" xfId="1" applyNumberFormat="1" applyFont="1" applyFill="1"/>
    <xf numFmtId="0" fontId="1" fillId="10" borderId="0" xfId="1" applyNumberFormat="1" applyFont="1" applyFill="1"/>
    <xf numFmtId="0" fontId="0" fillId="10" borderId="0" xfId="1" applyNumberFormat="1" applyFont="1" applyFill="1"/>
    <xf numFmtId="164" fontId="0" fillId="10" borderId="0" xfId="1" applyNumberFormat="1" applyFont="1" applyFill="1"/>
    <xf numFmtId="165" fontId="1" fillId="10" borderId="0" xfId="1" applyNumberFormat="1" applyFont="1" applyFill="1"/>
    <xf numFmtId="165" fontId="0" fillId="10" borderId="0" xfId="1" applyNumberFormat="1" applyFont="1" applyFill="1"/>
    <xf numFmtId="14" fontId="1" fillId="0" borderId="0" xfId="1" applyNumberFormat="1" applyFont="1"/>
    <xf numFmtId="0" fontId="0" fillId="7" borderId="0" xfId="0" applyFill="1"/>
    <xf numFmtId="14" fontId="0" fillId="7" borderId="7" xfId="0" applyNumberFormat="1" applyFill="1" applyBorder="1"/>
    <xf numFmtId="0" fontId="0" fillId="7" borderId="0" xfId="0" applyFill="1" applyAlignment="1">
      <alignment horizontal="center"/>
    </xf>
    <xf numFmtId="16" fontId="0" fillId="0" borderId="0" xfId="0" applyNumberFormat="1"/>
    <xf numFmtId="0" fontId="0" fillId="0" borderId="0" xfId="0" applyAlignment="1">
      <alignment horizontal="right"/>
    </xf>
    <xf numFmtId="14" fontId="0" fillId="10" borderId="8" xfId="0" applyNumberFormat="1" applyFill="1" applyBorder="1"/>
    <xf numFmtId="0" fontId="0" fillId="10" borderId="0" xfId="0" applyFill="1"/>
    <xf numFmtId="164" fontId="0" fillId="10" borderId="0" xfId="1" applyNumberFormat="1" applyFont="1" applyFill="1" applyBorder="1"/>
    <xf numFmtId="0" fontId="0" fillId="10" borderId="0" xfId="0" applyFill="1" applyAlignment="1">
      <alignment horizontal="center"/>
    </xf>
    <xf numFmtId="16" fontId="0" fillId="0" borderId="0" xfId="1" applyNumberFormat="1" applyFont="1"/>
    <xf numFmtId="16" fontId="0" fillId="10" borderId="0" xfId="1" applyNumberFormat="1" applyFont="1" applyFill="1"/>
    <xf numFmtId="43" fontId="12" fillId="10" borderId="23" xfId="0" applyNumberFormat="1" applyFont="1" applyFill="1" applyBorder="1"/>
  </cellXfs>
  <cellStyles count="2">
    <cellStyle name="Comma" xfId="1" builtinId="3"/>
    <cellStyle name="Normal" xfId="0" builtinId="0"/>
  </cellStyles>
  <dxfs count="135">
    <dxf>
      <numFmt numFmtId="164" formatCode="_-* #,##0_-;\-* #,##0_-;_-* &quot;-&quot;??_-;_-@_-"/>
      <fill>
        <patternFill patternType="solid">
          <fgColor indexed="64"/>
          <bgColor rgb="FFFF0000"/>
        </patternFill>
      </fill>
    </dxf>
    <dxf>
      <numFmt numFmtId="164" formatCode="_-* #,##0_-;\-* #,##0_-;_-* &quot;-&quot;??_-;_-@_-"/>
    </dxf>
    <dxf>
      <numFmt numFmtId="164" formatCode="_-* #,##0_-;\-* #,##0_-;_-* &quot;-&quot;??_-;_-@_-"/>
    </dxf>
    <dxf>
      <numFmt numFmtId="19" formatCode="dd/mm/yyyy"/>
      <border diagonalUp="0" diagonalDown="0" outline="0">
        <left style="thin">
          <color theme="4" tint="0.39997558519241921"/>
        </left>
        <right/>
        <top style="thin">
          <color theme="4" tint="0.39997558519241921"/>
        </top>
        <bottom/>
      </border>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ont>
        <b val="0"/>
        <i val="0"/>
        <strike val="0"/>
        <condense val="0"/>
        <extend val="0"/>
        <outline val="0"/>
        <shadow val="0"/>
        <u val="none"/>
        <vertAlign val="baseline"/>
        <sz val="11"/>
        <color theme="1"/>
        <name val="Aptos Narrow"/>
        <family val="2"/>
        <scheme val="minor"/>
      </font>
      <numFmt numFmtId="35" formatCode="_-* #,##0.00_-;\-* #,##0.00_-;_-* &quot;-&quot;??_-;_-@_-"/>
    </dxf>
    <dxf>
      <font>
        <b/>
        <i val="0"/>
        <strike val="0"/>
        <condense val="0"/>
        <extend val="0"/>
        <outline val="0"/>
        <shadow val="0"/>
        <u val="none"/>
        <vertAlign val="baseline"/>
        <sz val="11"/>
        <color theme="1"/>
        <name val="Aptos Narrow"/>
        <family val="2"/>
        <scheme val="minor"/>
      </font>
    </dxf>
    <dxf>
      <font>
        <b val="0"/>
        <strike val="0"/>
        <outline val="0"/>
        <shadow val="0"/>
        <u val="none"/>
        <vertAlign val="baseline"/>
        <sz val="16"/>
        <color theme="1"/>
        <name val="Aptos Narrow"/>
        <family val="2"/>
        <scheme val="minor"/>
      </font>
      <numFmt numFmtId="164" formatCode="_-* #,##0_-;\-* #,##0_-;_-* &quot;-&quot;??_-;_-@_-"/>
    </dxf>
    <dxf>
      <numFmt numFmtId="0" formatCode="General"/>
    </dxf>
    <dxf>
      <numFmt numFmtId="19" formatCode="dd/mm/yyyy"/>
    </dxf>
    <dxf>
      <numFmt numFmtId="19" formatCode="dd/mm/yyyy"/>
    </dxf>
    <dxf>
      <numFmt numFmtId="19" formatCode="dd/mm/yyyy"/>
    </dxf>
    <dxf>
      <numFmt numFmtId="19" formatCode="dd/mm/yyyy"/>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1"/>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numFmt numFmtId="164" formatCode="_-* #,##0_-;\-* #,##0_-;_-* &quot;-&quot;??_-;_-@_-"/>
      <fill>
        <patternFill patternType="solid">
          <fgColor indexed="64"/>
          <bgColor rgb="FFFFFF00"/>
        </patternFill>
      </fill>
    </dxf>
    <dxf>
      <numFmt numFmtId="164" formatCode="_-* #,##0_-;\-* #,##0_-;_-* &quot;-&quot;??_-;_-@_-"/>
      <fill>
        <patternFill patternType="solid">
          <fgColor indexed="64"/>
          <bgColor rgb="FFFFFF00"/>
        </patternFill>
      </fill>
    </dxf>
    <dxf>
      <numFmt numFmtId="19" formatCode="dd/mm/yyyy"/>
    </dxf>
    <dxf>
      <numFmt numFmtId="19" formatCode="dd/mm/yyyy"/>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19" formatCode="dd/mm/yyyy"/>
    </dxf>
    <dxf>
      <numFmt numFmtId="19" formatCode="dd/mm/yyyy"/>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0_-;\-* #,##0_-;_-* &quot;-&quot;??_-;_-@_-"/>
    </dxf>
    <dxf>
      <numFmt numFmtId="164" formatCode="_-* #,##0_-;\-* #,##0_-;_-* &quot;-&quot;??_-;_-@_-"/>
    </dxf>
    <dxf>
      <numFmt numFmtId="19" formatCode="dd/mm/yyyy"/>
    </dxf>
    <dxf>
      <numFmt numFmtId="19" formatCode="dd/mm/yyyy"/>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14"/>
      </font>
    </dxf>
    <dxf>
      <font>
        <b/>
      </font>
    </dxf>
    <dxf>
      <numFmt numFmtId="164" formatCode="_-* #,##0_-;\-* #,##0_-;_-* &quot;-&quot;??_-;_-@_-"/>
    </dxf>
    <dxf>
      <numFmt numFmtId="0" formatCode="General"/>
    </dxf>
    <dxf>
      <numFmt numFmtId="165" formatCode="_-* #,##0.0_-;\-* #,##0.0_-;_-* &quot;-&quot;??_-;_-@_-"/>
    </dxf>
    <dxf>
      <numFmt numFmtId="165" formatCode="_-* #,##0.0_-;\-* #,##0.0_-;_-* &quot;-&quot;??_-;_-@_-"/>
    </dxf>
    <dxf>
      <numFmt numFmtId="165" formatCode="_-* #,##0.0_-;\-* #,##0.0_-;_-* &quot;-&quot;??_-;_-@_-"/>
      <fill>
        <patternFill patternType="solid">
          <fgColor indexed="64"/>
          <bgColor rgb="FF92D050"/>
        </patternFill>
      </fill>
    </dxf>
    <dxf>
      <numFmt numFmtId="165" formatCode="_-* #,##0.0_-;\-* #,##0.0_-;_-* &quot;-&quot;??_-;_-@_-"/>
    </dxf>
    <dxf>
      <numFmt numFmtId="165" formatCode="_-* #,##0.0_-;\-* #,##0.0_-;_-* &quot;-&quot;??_-;_-@_-"/>
    </dxf>
    <dxf>
      <font>
        <b/>
      </font>
      <numFmt numFmtId="165" formatCode="_-* #,##0.0_-;\-* #,##0.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font>
        <b/>
      </font>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numFmt numFmtId="0" formatCode="Genera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9" formatCode="dd/mm/yyyy"/>
    </dxf>
    <dxf>
      <numFmt numFmtId="19" formatCode="dd/mm/yyyy"/>
    </dxf>
    <dxf>
      <numFmt numFmtId="164" formatCode="_-* #,##0_-;\-* #,##0_-;_-* &quot;-&quot;??_-;_-@_-"/>
      <border diagonalUp="0" diagonalDown="0">
        <left/>
        <right style="medium">
          <color indexed="64"/>
        </right>
        <vertical/>
      </border>
    </dxf>
    <dxf>
      <border diagonalUp="0" diagonalDown="0">
        <left style="medium">
          <color indexed="64"/>
        </left>
        <right/>
        <vertical/>
      </border>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numFmt numFmtId="164" formatCode="_-* #,##0_-;\-* #,##0_-;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 #,##0_-;_-* &quot;-&quot;??_-;_-@_-"/>
    </dxf>
    <dxf>
      <numFmt numFmtId="165" formatCode="_-* #,##0.0_-;\-* #,##0.0_-;_-* &quot;-&quot;??_-;_-@_-"/>
    </dxf>
    <dxf>
      <numFmt numFmtId="0" formatCode="General"/>
    </dxf>
    <dxf>
      <numFmt numFmtId="164" formatCode="_-* #,##0_-;\-* #,##0_-;_-* &quot;-&quot;??_-;_-@_-"/>
    </dxf>
    <dxf>
      <numFmt numFmtId="164" formatCode="_-* #,##0_-;\-* #,##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numFmt numFmtId="165" formatCode="_-* #,##0.0_-;\-* #,##0.0_-;_-* &quot;-&quot;??_-;_-@_-"/>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4"/>
        <color theme="1"/>
        <name val="Aptos Narrow"/>
        <family val="2"/>
        <scheme val="minor"/>
      </font>
    </dxf>
    <dxf>
      <font>
        <b/>
        <i val="0"/>
        <strike val="0"/>
        <condense val="0"/>
        <extend val="0"/>
        <outline val="0"/>
        <shadow val="0"/>
        <u val="none"/>
        <vertAlign val="baseline"/>
        <sz val="12"/>
        <color theme="1"/>
        <name val="Aptos Narrow"/>
        <family val="2"/>
        <scheme val="minor"/>
      </font>
    </dxf>
    <dxf>
      <numFmt numFmtId="164" formatCode="_-* #,##0_-;\-* #,##0_-;_-* &quot;-&quot;??_-;_-@_-"/>
    </dxf>
    <dxf>
      <numFmt numFmtId="1" formatCode="0"/>
    </dxf>
    <dxf>
      <numFmt numFmtId="0" formatCode="General"/>
    </dxf>
    <dxf>
      <numFmt numFmtId="2" formatCode="0.00"/>
    </dxf>
    <dxf>
      <numFmt numFmtId="1" formatCode="0"/>
    </dxf>
    <dxf>
      <numFmt numFmtId="164" formatCode="_-* #,##0_-;\-* #,##0_-;_-* &quot;-&quot;??_-;_-@_-"/>
    </dxf>
    <dxf>
      <numFmt numFmtId="164" formatCode="_-* #,##0_-;\-* #,##0_-;_-* &quot;-&quot;??_-;_-@_-"/>
    </dxf>
    <dxf>
      <border diagonalUp="0" diagonalDown="0" outline="0">
        <left/>
        <right/>
        <top style="thin">
          <color auto="1"/>
        </top>
        <bottom/>
      </border>
    </dxf>
    <dxf>
      <numFmt numFmtId="164" formatCode="_-* #,##0_-;\-* #,##0_-;_-* &quot;-&quot;??_-;_-@_-"/>
      <border diagonalUp="0" diagonalDown="0" outline="0">
        <left style="thin">
          <color auto="1"/>
        </left>
        <right/>
        <top style="thin">
          <color auto="1"/>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border diagonalUp="0" diagonalDown="0" outline="0">
        <left style="thin">
          <color indexed="64"/>
        </left>
        <right style="thin">
          <color indexed="64"/>
        </right>
        <top/>
        <bottom/>
      </border>
    </dxf>
    <dxf>
      <numFmt numFmtId="164" formatCode="_-* #,##0_-;\-* #,##0_-;_-* &quot;-&quot;??_-;_-@_-"/>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alignment horizontal="center" vertical="bottom" textRotation="0" wrapText="0" indent="0" justifyLastLine="0" shrinkToFit="0" readingOrder="0"/>
    </dxf>
    <dxf>
      <numFmt numFmtId="164" formatCode="_-* #,##0_-;\-* #,##0_-;_-* &quot;-&quot;??_-;_-@_-"/>
    </dxf>
    <dxf>
      <numFmt numFmtId="164" formatCode="_-* #,##0_-;\-* #,##0_-;_-* &quot;-&quot;??_-;_-@_-"/>
    </dxf>
    <dxf>
      <font>
        <b val="0"/>
        <i val="0"/>
        <strike val="0"/>
        <condense val="0"/>
        <extend val="0"/>
        <outline val="0"/>
        <shadow val="0"/>
        <u val="none"/>
        <vertAlign val="baseline"/>
        <sz val="11"/>
        <color theme="1"/>
        <name val="Aptos Narrow"/>
        <family val="2"/>
        <scheme val="minor"/>
      </font>
      <numFmt numFmtId="19" formatCode="dd/mm/yyyy"/>
      <border diagonalUp="0" diagonalDown="0">
        <left style="thin">
          <color theme="4" tint="0.39997558519241921"/>
        </left>
        <right/>
        <top style="thin">
          <color theme="4" tint="0.39997558519241921"/>
        </top>
        <bottom style="thin">
          <color theme="4" tint="0.39997558519241921"/>
        </bottom>
        <vertical/>
        <horizontal/>
      </border>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powerPivotData" Target="model/item.data"/><Relationship Id="rId21" Type="http://schemas.openxmlformats.org/officeDocument/2006/relationships/pivotCacheDefinition" Target="pivotCache/pivotCacheDefinition2.xml"/><Relationship Id="rId34" Type="http://schemas.openxmlformats.org/officeDocument/2006/relationships/theme" Target="theme/theme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7.xml"/><Relationship Id="rId37" Type="http://schemas.openxmlformats.org/officeDocument/2006/relationships/sharedStrings" Target="sharedString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8.xml"/><Relationship Id="rId38"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11</xdr:col>
      <xdr:colOff>693606</xdr:colOff>
      <xdr:row>109</xdr:row>
      <xdr:rowOff>87338</xdr:rowOff>
    </xdr:from>
    <xdr:to>
      <xdr:col>15</xdr:col>
      <xdr:colOff>817243</xdr:colOff>
      <xdr:row>116</xdr:row>
      <xdr:rowOff>158331</xdr:rowOff>
    </xdr:to>
    <mc:AlternateContent xmlns:mc="http://schemas.openxmlformats.org/markup-compatibility/2006" xmlns:sle15="http://schemas.microsoft.com/office/drawing/2012/slicer">
      <mc:Choice Requires="sle15">
        <xdr:graphicFrame macro="">
          <xdr:nvGraphicFramePr>
            <xdr:cNvPr id="2" name="Party Name">
              <a:extLst>
                <a:ext uri="{FF2B5EF4-FFF2-40B4-BE49-F238E27FC236}">
                  <a16:creationId xmlns:a16="http://schemas.microsoft.com/office/drawing/2014/main" id="{8259DA32-45F5-EBDD-5B95-34700BFA09B9}"/>
                </a:ext>
              </a:extLst>
            </xdr:cNvPr>
            <xdr:cNvGraphicFramePr/>
          </xdr:nvGraphicFramePr>
          <xdr:xfrm>
            <a:off x="0" y="0"/>
            <a:ext cx="0" cy="0"/>
          </xdr:xfrm>
          <a:graphic>
            <a:graphicData uri="http://schemas.microsoft.com/office/drawing/2010/slicer">
              <sle:slicer xmlns:sle="http://schemas.microsoft.com/office/drawing/2010/slicer" name="Party Name"/>
            </a:graphicData>
          </a:graphic>
        </xdr:graphicFrame>
      </mc:Choice>
      <mc:Fallback xmlns="">
        <xdr:sp macro="" textlink="">
          <xdr:nvSpPr>
            <xdr:cNvPr id="0" name=""/>
            <xdr:cNvSpPr>
              <a:spLocks noTextEdit="1"/>
            </xdr:cNvSpPr>
          </xdr:nvSpPr>
          <xdr:spPr>
            <a:xfrm>
              <a:off x="13068703" y="20345387"/>
              <a:ext cx="4416856" cy="137196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503230</xdr:colOff>
      <xdr:row>249</xdr:row>
      <xdr:rowOff>80205</xdr:rowOff>
    </xdr:from>
    <xdr:to>
      <xdr:col>2</xdr:col>
      <xdr:colOff>138447</xdr:colOff>
      <xdr:row>257</xdr:row>
      <xdr:rowOff>138604</xdr:rowOff>
    </xdr:to>
    <mc:AlternateContent xmlns:mc="http://schemas.openxmlformats.org/markup-compatibility/2006" xmlns:sle15="http://schemas.microsoft.com/office/drawing/2012/slicer">
      <mc:Choice Requires="sle15">
        <xdr:graphicFrame macro="">
          <xdr:nvGraphicFramePr>
            <xdr:cNvPr id="3" name="Date">
              <a:extLst>
                <a:ext uri="{FF2B5EF4-FFF2-40B4-BE49-F238E27FC236}">
                  <a16:creationId xmlns:a16="http://schemas.microsoft.com/office/drawing/2014/main" id="{21711736-4BA5-0C40-7222-5B278D3B7DEA}"/>
                </a:ext>
                <a:ext uri="{147F2762-F138-4A5C-976F-8EAC2B608ADB}">
                  <a16:predDERef xmlns:a16="http://schemas.microsoft.com/office/drawing/2014/main" pred="{8259DA32-45F5-EBDD-5B95-34700BFA09B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03230" y="45950930"/>
              <a:ext cx="1879349" cy="1532158"/>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461699</xdr:colOff>
      <xdr:row>27</xdr:row>
      <xdr:rowOff>48614</xdr:rowOff>
    </xdr:from>
    <xdr:to>
      <xdr:col>11</xdr:col>
      <xdr:colOff>66829</xdr:colOff>
      <xdr:row>40</xdr:row>
      <xdr:rowOff>85188</xdr:rowOff>
    </xdr:to>
    <mc:AlternateContent xmlns:mc="http://schemas.openxmlformats.org/markup-compatibility/2006" xmlns:sle15="http://schemas.microsoft.com/office/drawing/2012/slicer">
      <mc:Choice Requires="sle15">
        <xdr:graphicFrame macro="">
          <xdr:nvGraphicFramePr>
            <xdr:cNvPr id="2" name="Party Name 1">
              <a:extLst>
                <a:ext uri="{FF2B5EF4-FFF2-40B4-BE49-F238E27FC236}">
                  <a16:creationId xmlns:a16="http://schemas.microsoft.com/office/drawing/2014/main" id="{2078434D-1B2A-7CD5-B26B-3D2054BBA3D8}"/>
                </a:ext>
              </a:extLst>
            </xdr:cNvPr>
            <xdr:cNvGraphicFramePr/>
          </xdr:nvGraphicFramePr>
          <xdr:xfrm>
            <a:off x="0" y="0"/>
            <a:ext cx="0" cy="0"/>
          </xdr:xfrm>
          <a:graphic>
            <a:graphicData uri="http://schemas.microsoft.com/office/drawing/2010/slicer">
              <sle:slicer xmlns:sle="http://schemas.microsoft.com/office/drawing/2010/slicer" name="Party Name 1"/>
            </a:graphicData>
          </a:graphic>
        </xdr:graphicFrame>
      </mc:Choice>
      <mc:Fallback xmlns="">
        <xdr:sp macro="" textlink="">
          <xdr:nvSpPr>
            <xdr:cNvPr id="0" name=""/>
            <xdr:cNvSpPr>
              <a:spLocks noTextEdit="1"/>
            </xdr:cNvSpPr>
          </xdr:nvSpPr>
          <xdr:spPr>
            <a:xfrm>
              <a:off x="10010347" y="5033071"/>
              <a:ext cx="1859599" cy="24276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544046</xdr:colOff>
      <xdr:row>7</xdr:row>
      <xdr:rowOff>43181</xdr:rowOff>
    </xdr:from>
    <xdr:to>
      <xdr:col>13</xdr:col>
      <xdr:colOff>400823</xdr:colOff>
      <xdr:row>11</xdr:row>
      <xdr:rowOff>141514</xdr:rowOff>
    </xdr:to>
    <mc:AlternateContent xmlns:mc="http://schemas.openxmlformats.org/markup-compatibility/2006" xmlns:sle15="http://schemas.microsoft.com/office/drawing/2012/slicer">
      <mc:Choice Requires="sle15">
        <xdr:graphicFrame macro="">
          <xdr:nvGraphicFramePr>
            <xdr:cNvPr id="3" name="Date 1">
              <a:extLst>
                <a:ext uri="{FF2B5EF4-FFF2-40B4-BE49-F238E27FC236}">
                  <a16:creationId xmlns:a16="http://schemas.microsoft.com/office/drawing/2014/main" id="{2FD3A6BB-AB30-2E41-D0AA-0842C10BDF2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27522" y="1347048"/>
              <a:ext cx="2251238" cy="84339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242335</xdr:colOff>
      <xdr:row>12</xdr:row>
      <xdr:rowOff>138748</xdr:rowOff>
    </xdr:from>
    <xdr:to>
      <xdr:col>14</xdr:col>
      <xdr:colOff>536567</xdr:colOff>
      <xdr:row>21</xdr:row>
      <xdr:rowOff>81973</xdr:rowOff>
    </xdr:to>
    <mc:AlternateContent xmlns:mc="http://schemas.openxmlformats.org/markup-compatibility/2006" xmlns:sle15="http://schemas.microsoft.com/office/drawing/2012/slicer">
      <mc:Choice Requires="sle15">
        <xdr:graphicFrame macro="">
          <xdr:nvGraphicFramePr>
            <xdr:cNvPr id="2" name="Party">
              <a:extLst>
                <a:ext uri="{FF2B5EF4-FFF2-40B4-BE49-F238E27FC236}">
                  <a16:creationId xmlns:a16="http://schemas.microsoft.com/office/drawing/2014/main" id="{46A80067-1595-EB06-C9E8-CC1ACACB97FE}"/>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0419892" y="2355475"/>
              <a:ext cx="3441644" cy="160577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8</xdr:col>
      <xdr:colOff>546660</xdr:colOff>
      <xdr:row>10</xdr:row>
      <xdr:rowOff>152401</xdr:rowOff>
    </xdr:from>
    <xdr:to>
      <xdr:col>11</xdr:col>
      <xdr:colOff>41514</xdr:colOff>
      <xdr:row>17</xdr:row>
      <xdr:rowOff>7620</xdr:rowOff>
    </xdr:to>
    <mc:AlternateContent xmlns:mc="http://schemas.openxmlformats.org/markup-compatibility/2006" xmlns:sle15="http://schemas.microsoft.com/office/drawing/2012/slicer">
      <mc:Choice Requires="sle15">
        <xdr:graphicFrame macro="">
          <xdr:nvGraphicFramePr>
            <xdr:cNvPr id="2" name="Party Name 2">
              <a:extLst>
                <a:ext uri="{FF2B5EF4-FFF2-40B4-BE49-F238E27FC236}">
                  <a16:creationId xmlns:a16="http://schemas.microsoft.com/office/drawing/2014/main" id="{982FB2B7-BB79-2919-5556-DB024E50BA32}"/>
                </a:ext>
              </a:extLst>
            </xdr:cNvPr>
            <xdr:cNvGraphicFramePr/>
          </xdr:nvGraphicFramePr>
          <xdr:xfrm>
            <a:off x="0" y="0"/>
            <a:ext cx="0" cy="0"/>
          </xdr:xfrm>
          <a:graphic>
            <a:graphicData uri="http://schemas.microsoft.com/office/drawing/2010/slicer">
              <sle:slicer xmlns:sle="http://schemas.microsoft.com/office/drawing/2010/slicer" name="Party Name 2"/>
            </a:graphicData>
          </a:graphic>
        </xdr:graphicFrame>
      </mc:Choice>
      <mc:Fallback xmlns="">
        <xdr:sp macro="" textlink="">
          <xdr:nvSpPr>
            <xdr:cNvPr id="0" name=""/>
            <xdr:cNvSpPr>
              <a:spLocks noTextEdit="1"/>
            </xdr:cNvSpPr>
          </xdr:nvSpPr>
          <xdr:spPr>
            <a:xfrm>
              <a:off x="7008420" y="1981201"/>
              <a:ext cx="1959924" cy="113537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11</xdr:col>
      <xdr:colOff>463399</xdr:colOff>
      <xdr:row>10</xdr:row>
      <xdr:rowOff>30996</xdr:rowOff>
    </xdr:from>
    <xdr:to>
      <xdr:col>14</xdr:col>
      <xdr:colOff>471148</xdr:colOff>
      <xdr:row>24</xdr:row>
      <xdr:rowOff>80882</xdr:rowOff>
    </xdr:to>
    <mc:AlternateContent xmlns:mc="http://schemas.openxmlformats.org/markup-compatibility/2006" xmlns:sle15="http://schemas.microsoft.com/office/drawing/2012/slicer">
      <mc:Choice Requires="sle15">
        <xdr:graphicFrame macro="">
          <xdr:nvGraphicFramePr>
            <xdr:cNvPr id="2" name="Person">
              <a:extLst>
                <a:ext uri="{FF2B5EF4-FFF2-40B4-BE49-F238E27FC236}">
                  <a16:creationId xmlns:a16="http://schemas.microsoft.com/office/drawing/2014/main" id="{61B25ECF-139D-2B91-5D20-EAF105CE751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8399823" y="1839132"/>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150706</xdr:colOff>
      <xdr:row>3</xdr:row>
      <xdr:rowOff>67734</xdr:rowOff>
    </xdr:from>
    <xdr:to>
      <xdr:col>12</xdr:col>
      <xdr:colOff>438577</xdr:colOff>
      <xdr:row>17</xdr:row>
      <xdr:rowOff>41276</xdr:rowOff>
    </xdr:to>
    <mc:AlternateContent xmlns:mc="http://schemas.openxmlformats.org/markup-compatibility/2006" xmlns:a14="http://schemas.microsoft.com/office/drawing/2010/main">
      <mc:Choice Requires="a14">
        <xdr:graphicFrame macro="">
          <xdr:nvGraphicFramePr>
            <xdr:cNvPr id="2" name="Shipment Number">
              <a:extLst>
                <a:ext uri="{FF2B5EF4-FFF2-40B4-BE49-F238E27FC236}">
                  <a16:creationId xmlns:a16="http://schemas.microsoft.com/office/drawing/2014/main" id="{46BC7137-382B-BA5E-E548-421ADD6BCB8A}"/>
                </a:ext>
              </a:extLst>
            </xdr:cNvPr>
            <xdr:cNvGraphicFramePr/>
          </xdr:nvGraphicFramePr>
          <xdr:xfrm>
            <a:off x="0" y="0"/>
            <a:ext cx="0" cy="0"/>
          </xdr:xfrm>
          <a:graphic>
            <a:graphicData uri="http://schemas.microsoft.com/office/drawing/2010/slicer">
              <sle:slicer xmlns:sle="http://schemas.microsoft.com/office/drawing/2010/slicer" name="Shipment Number"/>
            </a:graphicData>
          </a:graphic>
        </xdr:graphicFrame>
      </mc:Choice>
      <mc:Fallback xmlns="">
        <xdr:sp macro="" textlink="">
          <xdr:nvSpPr>
            <xdr:cNvPr id="0" name=""/>
            <xdr:cNvSpPr>
              <a:spLocks noTextEdit="1"/>
            </xdr:cNvSpPr>
          </xdr:nvSpPr>
          <xdr:spPr>
            <a:xfrm>
              <a:off x="10920306" y="626534"/>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ern-my.sharepoint.com/personal/25020299_lums_edu_pk/Documents/Desktop/Factory/Factory_Khata_December.xlsx" TargetMode="External"/><Relationship Id="rId1" Type="http://schemas.openxmlformats.org/officeDocument/2006/relationships/externalLinkPath" Target="Factory_Khata_Decem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ing"/>
      <sheetName val="Bill Print"/>
      <sheetName val="Expenses"/>
      <sheetName val="Profit"/>
      <sheetName val="Transport"/>
      <sheetName val="ledger"/>
      <sheetName val="Wood"/>
      <sheetName val="Cashbook"/>
      <sheetName val="Dyes"/>
      <sheetName val="Finish"/>
      <sheetName val="Electricity"/>
      <sheetName val="Miscellaneous"/>
      <sheetName val="Salary Acc"/>
      <sheetName val="pivot "/>
      <sheetName val="Running Acc"/>
      <sheetName val="Balance"/>
      <sheetName val="Cashflow"/>
    </sheetNames>
    <sheetDataSet>
      <sheetData sheetId="0">
        <row r="5">
          <cell r="Q5" t="str">
            <v>BSC</v>
          </cell>
          <cell r="R5">
            <v>3114572.8824</v>
          </cell>
          <cell r="S5">
            <v>2848000.0753474766</v>
          </cell>
          <cell r="T5">
            <v>2468066.8273591809</v>
          </cell>
          <cell r="U5">
            <v>379933.24798829557</v>
          </cell>
          <cell r="V5">
            <v>24680668.273591813</v>
          </cell>
          <cell r="W5">
            <v>4850776.335040235</v>
          </cell>
          <cell r="X5">
            <v>0</v>
          </cell>
          <cell r="Y5">
            <v>0</v>
          </cell>
          <cell r="Z5">
            <v>0</v>
          </cell>
          <cell r="AA5">
            <v>0</v>
          </cell>
          <cell r="AB5">
            <v>0</v>
          </cell>
          <cell r="AD5">
            <v>19750734</v>
          </cell>
        </row>
        <row r="6">
          <cell r="Q6" t="str">
            <v>Ejaz Sahab</v>
          </cell>
          <cell r="R6">
            <v>479409</v>
          </cell>
          <cell r="S6">
            <v>438376.92026335048</v>
          </cell>
          <cell r="T6">
            <v>148145.57425018289</v>
          </cell>
          <cell r="U6">
            <v>290231.34601316752</v>
          </cell>
          <cell r="V6">
            <v>1481455.7425018288</v>
          </cell>
          <cell r="W6">
            <v>3713863.386978786</v>
          </cell>
          <cell r="X6">
            <v>0</v>
          </cell>
          <cell r="Y6">
            <v>0</v>
          </cell>
          <cell r="Z6">
            <v>0</v>
          </cell>
          <cell r="AA6">
            <v>0</v>
          </cell>
          <cell r="AB6">
            <v>0</v>
          </cell>
          <cell r="AD6">
            <v>5195319</v>
          </cell>
        </row>
        <row r="7">
          <cell r="Q7" t="str">
            <v>Arshad</v>
          </cell>
          <cell r="R7">
            <v>823577</v>
          </cell>
          <cell r="S7">
            <v>753087.9663496709</v>
          </cell>
          <cell r="T7">
            <v>626388.07607900514</v>
          </cell>
          <cell r="U7">
            <v>126699.8902706657</v>
          </cell>
          <cell r="V7">
            <v>6263880.7607900519</v>
          </cell>
          <cell r="W7">
            <v>1632304.3160204829</v>
          </cell>
          <cell r="X7">
            <v>0</v>
          </cell>
          <cell r="Y7">
            <v>0</v>
          </cell>
          <cell r="Z7">
            <v>0</v>
          </cell>
          <cell r="AA7">
            <v>0</v>
          </cell>
          <cell r="AB7">
            <v>0</v>
          </cell>
          <cell r="AD7">
            <v>7835501</v>
          </cell>
        </row>
        <row r="8">
          <cell r="Q8" t="str">
            <v>Shehzad Kamoki</v>
          </cell>
          <cell r="R8">
            <v>143457</v>
          </cell>
          <cell r="S8">
            <v>131178.67593269935</v>
          </cell>
          <cell r="T8">
            <v>131178.67593269935</v>
          </cell>
          <cell r="U8">
            <v>0</v>
          </cell>
          <cell r="V8">
            <v>1354241.9972933433</v>
          </cell>
          <cell r="W8">
            <v>0</v>
          </cell>
          <cell r="X8">
            <v>0</v>
          </cell>
          <cell r="Y8">
            <v>0</v>
          </cell>
          <cell r="Z8">
            <v>0</v>
          </cell>
          <cell r="AA8">
            <v>0</v>
          </cell>
          <cell r="AB8">
            <v>0</v>
          </cell>
          <cell r="AD8">
            <v>1353710</v>
          </cell>
        </row>
        <row r="9">
          <cell r="Q9" t="str">
            <v>Sufi Nawaz Sahab</v>
          </cell>
          <cell r="R9">
            <v>1212967</v>
          </cell>
          <cell r="S9">
            <v>1109150.5120702267</v>
          </cell>
          <cell r="T9">
            <v>599330.65106071695</v>
          </cell>
          <cell r="U9">
            <v>485823.88441843458</v>
          </cell>
          <cell r="V9">
            <v>5408917.8595464528</v>
          </cell>
          <cell r="W9">
            <v>5829886.6130212145</v>
          </cell>
          <cell r="X9">
            <v>0</v>
          </cell>
          <cell r="Y9">
            <v>239959.76591075349</v>
          </cell>
          <cell r="Z9">
            <v>0</v>
          </cell>
          <cell r="AA9">
            <v>0</v>
          </cell>
          <cell r="AB9">
            <v>0</v>
          </cell>
          <cell r="AD9">
            <v>11478764</v>
          </cell>
        </row>
        <row r="10">
          <cell r="Q10" t="str">
            <v>Sajad Khan</v>
          </cell>
          <cell r="R10">
            <v>922283</v>
          </cell>
          <cell r="S10">
            <v>843345.83028529643</v>
          </cell>
          <cell r="T10">
            <v>837856.62033650337</v>
          </cell>
          <cell r="U10">
            <v>0</v>
          </cell>
          <cell r="V10">
            <v>8378566.2033650335</v>
          </cell>
          <cell r="W10">
            <v>0</v>
          </cell>
          <cell r="X10">
            <v>71359.729334308722</v>
          </cell>
          <cell r="Y10">
            <v>0</v>
          </cell>
          <cell r="Z10">
            <v>0</v>
          </cell>
          <cell r="AA10">
            <v>0</v>
          </cell>
          <cell r="AB10">
            <v>0</v>
          </cell>
          <cell r="AD10">
            <v>7997871</v>
          </cell>
        </row>
        <row r="11">
          <cell r="Q11" t="str">
            <v>Raaz Fabrics</v>
          </cell>
          <cell r="R11">
            <v>177861</v>
          </cell>
          <cell r="S11">
            <v>162638.07607900514</v>
          </cell>
          <cell r="T11">
            <v>162638.07607900514</v>
          </cell>
          <cell r="U11">
            <v>0</v>
          </cell>
          <cell r="V11">
            <v>1626380.7607900514</v>
          </cell>
          <cell r="W11">
            <v>0</v>
          </cell>
          <cell r="X11">
            <v>0</v>
          </cell>
          <cell r="Y11">
            <v>0</v>
          </cell>
          <cell r="Z11">
            <v>0</v>
          </cell>
          <cell r="AA11">
            <v>0</v>
          </cell>
          <cell r="AB11">
            <v>0</v>
          </cell>
          <cell r="AD11">
            <v>1526321</v>
          </cell>
        </row>
        <row r="12">
          <cell r="Q12" t="str">
            <v>Azam</v>
          </cell>
          <cell r="R12">
            <v>543437</v>
          </cell>
          <cell r="S12">
            <v>496924.83540599863</v>
          </cell>
          <cell r="T12">
            <v>400309.07095830288</v>
          </cell>
          <cell r="U12">
            <v>96615.764447695692</v>
          </cell>
          <cell r="V12">
            <v>4003090.7095830292</v>
          </cell>
          <cell r="W12">
            <v>1256004.9378200439</v>
          </cell>
          <cell r="X12">
            <v>0</v>
          </cell>
          <cell r="Y12">
            <v>0</v>
          </cell>
          <cell r="Z12">
            <v>0</v>
          </cell>
          <cell r="AA12">
            <v>0</v>
          </cell>
          <cell r="AB12">
            <v>0</v>
          </cell>
          <cell r="AD12">
            <v>5089540</v>
          </cell>
        </row>
        <row r="13">
          <cell r="Q13" t="str">
            <v>Ubaidullah</v>
          </cell>
          <cell r="R13">
            <v>126448</v>
          </cell>
          <cell r="S13">
            <v>115625.45720555962</v>
          </cell>
          <cell r="T13">
            <v>46132.955376737387</v>
          </cell>
          <cell r="U13">
            <v>69492.501828822249</v>
          </cell>
          <cell r="V13">
            <v>461329.5537673739</v>
          </cell>
          <cell r="W13">
            <v>888407.09583028522</v>
          </cell>
          <cell r="X13">
            <v>0</v>
          </cell>
          <cell r="Y13">
            <v>0</v>
          </cell>
          <cell r="Z13">
            <v>0</v>
          </cell>
          <cell r="AA13">
            <v>0</v>
          </cell>
          <cell r="AB13">
            <v>0</v>
          </cell>
          <cell r="AD13">
            <v>1390190</v>
          </cell>
        </row>
        <row r="14">
          <cell r="Q14" t="str">
            <v>Ashraf Zia</v>
          </cell>
          <cell r="R14">
            <v>23305</v>
          </cell>
          <cell r="S14">
            <v>21310.35113386979</v>
          </cell>
          <cell r="T14">
            <v>21310.35113386979</v>
          </cell>
          <cell r="U14">
            <v>0</v>
          </cell>
          <cell r="V14">
            <v>255724.21360643749</v>
          </cell>
          <cell r="W14">
            <v>0</v>
          </cell>
          <cell r="X14">
            <v>0</v>
          </cell>
          <cell r="Y14">
            <v>0</v>
          </cell>
          <cell r="Z14">
            <v>0</v>
          </cell>
          <cell r="AA14">
            <v>0</v>
          </cell>
          <cell r="AB14">
            <v>0</v>
          </cell>
          <cell r="AD14">
            <v>130000</v>
          </cell>
        </row>
        <row r="15">
          <cell r="Q15" t="str">
            <v>Hafiz Qureshi</v>
          </cell>
          <cell r="R15">
            <v>314924</v>
          </cell>
          <cell r="S15">
            <v>287970.007315289</v>
          </cell>
          <cell r="T15">
            <v>287970.007315289</v>
          </cell>
          <cell r="U15">
            <v>0</v>
          </cell>
          <cell r="V15">
            <v>2879700.07315289</v>
          </cell>
          <cell r="W15">
            <v>0</v>
          </cell>
          <cell r="X15">
            <v>0</v>
          </cell>
          <cell r="Y15">
            <v>0</v>
          </cell>
          <cell r="Z15">
            <v>0</v>
          </cell>
          <cell r="AA15">
            <v>0</v>
          </cell>
          <cell r="AB15">
            <v>0</v>
          </cell>
          <cell r="AD15">
            <v>2869679</v>
          </cell>
        </row>
        <row r="16">
          <cell r="Q16" t="str">
            <v>Badshah Fabrics</v>
          </cell>
          <cell r="R16">
            <v>681314</v>
          </cell>
          <cell r="S16">
            <v>623001.09729334316</v>
          </cell>
          <cell r="T16">
            <v>481526.15215801029</v>
          </cell>
          <cell r="U16">
            <v>141474.94513533285</v>
          </cell>
          <cell r="V16">
            <v>4861679.7732260432</v>
          </cell>
          <cell r="W16">
            <v>1776019.5683979518</v>
          </cell>
          <cell r="X16">
            <v>0</v>
          </cell>
          <cell r="Y16">
            <v>0</v>
          </cell>
          <cell r="Z16">
            <v>0</v>
          </cell>
          <cell r="AA16">
            <v>0</v>
          </cell>
          <cell r="AB16">
            <v>0</v>
          </cell>
          <cell r="AD16">
            <v>6545761</v>
          </cell>
        </row>
        <row r="17">
          <cell r="Q17" t="str">
            <v>Reject</v>
          </cell>
          <cell r="R17">
            <v>0</v>
          </cell>
          <cell r="S17">
            <v>0</v>
          </cell>
          <cell r="T17">
            <v>0</v>
          </cell>
          <cell r="U17">
            <v>0</v>
          </cell>
          <cell r="V17">
            <v>0</v>
          </cell>
          <cell r="W17">
            <v>0</v>
          </cell>
          <cell r="X17">
            <v>0</v>
          </cell>
          <cell r="Y17">
            <v>0</v>
          </cell>
          <cell r="Z17">
            <v>0</v>
          </cell>
          <cell r="AA17">
            <v>0</v>
          </cell>
          <cell r="AB17">
            <v>0</v>
          </cell>
          <cell r="AD17">
            <v>0</v>
          </cell>
        </row>
        <row r="18">
          <cell r="Q18" t="str">
            <v>Amjad 7up</v>
          </cell>
          <cell r="R18">
            <v>52914</v>
          </cell>
          <cell r="S18">
            <v>48385.149963423559</v>
          </cell>
          <cell r="T18">
            <v>48385.149963423559</v>
          </cell>
          <cell r="U18">
            <v>0</v>
          </cell>
          <cell r="V18">
            <v>483851.49963423557</v>
          </cell>
          <cell r="W18">
            <v>0</v>
          </cell>
          <cell r="X18">
            <v>0</v>
          </cell>
          <cell r="Y18">
            <v>0</v>
          </cell>
          <cell r="Z18">
            <v>0</v>
          </cell>
          <cell r="AA18">
            <v>0</v>
          </cell>
          <cell r="AB18">
            <v>0</v>
          </cell>
          <cell r="AD18">
            <v>480000</v>
          </cell>
        </row>
        <row r="19">
          <cell r="Q19" t="str">
            <v>Hazrat Khan</v>
          </cell>
          <cell r="R19">
            <v>9750</v>
          </cell>
          <cell r="S19">
            <v>8915.5084125822978</v>
          </cell>
          <cell r="T19">
            <v>8915.5084125822978</v>
          </cell>
          <cell r="U19">
            <v>0</v>
          </cell>
          <cell r="V19">
            <v>89155.084125822978</v>
          </cell>
          <cell r="W19">
            <v>0</v>
          </cell>
          <cell r="X19">
            <v>0</v>
          </cell>
          <cell r="Y19">
            <v>0</v>
          </cell>
          <cell r="Z19">
            <v>0</v>
          </cell>
          <cell r="AA19">
            <v>0</v>
          </cell>
          <cell r="AB19">
            <v>0</v>
          </cell>
          <cell r="AD19">
            <v>95000</v>
          </cell>
        </row>
        <row r="20">
          <cell r="Q20" t="str">
            <v>Haseeb Shamsi</v>
          </cell>
          <cell r="R20">
            <v>61975</v>
          </cell>
          <cell r="S20">
            <v>56670.629114850046</v>
          </cell>
          <cell r="T20">
            <v>47437.820043891741</v>
          </cell>
          <cell r="U20">
            <v>9232.809070958303</v>
          </cell>
          <cell r="V20">
            <v>474378.20043891744</v>
          </cell>
          <cell r="W20">
            <v>120026.51792245793</v>
          </cell>
          <cell r="X20">
            <v>0</v>
          </cell>
          <cell r="Y20">
            <v>0</v>
          </cell>
          <cell r="Z20">
            <v>0</v>
          </cell>
          <cell r="AA20">
            <v>0</v>
          </cell>
          <cell r="AB20">
            <v>0</v>
          </cell>
          <cell r="AD20">
            <v>594405</v>
          </cell>
        </row>
        <row r="21">
          <cell r="Q21" t="str">
            <v>Faizan</v>
          </cell>
          <cell r="R21">
            <v>438975</v>
          </cell>
          <cell r="S21">
            <v>401403.62106803223</v>
          </cell>
          <cell r="T21">
            <v>0</v>
          </cell>
          <cell r="U21">
            <v>398433.61375274323</v>
          </cell>
          <cell r="V21">
            <v>0</v>
          </cell>
          <cell r="W21">
            <v>5179636.9787856629</v>
          </cell>
          <cell r="X21">
            <v>44550.109729334312</v>
          </cell>
          <cell r="Y21">
            <v>0</v>
          </cell>
          <cell r="Z21">
            <v>0</v>
          </cell>
          <cell r="AA21">
            <v>0</v>
          </cell>
          <cell r="AB21">
            <v>0</v>
          </cell>
          <cell r="AD21">
            <v>4915571</v>
          </cell>
        </row>
        <row r="22">
          <cell r="Q22" t="str">
            <v>Shafique Ansari</v>
          </cell>
          <cell r="R22">
            <v>82290</v>
          </cell>
          <cell r="S22">
            <v>75246.891002194592</v>
          </cell>
          <cell r="T22">
            <v>64300.475493782011</v>
          </cell>
          <cell r="U22">
            <v>7565.8376005852242</v>
          </cell>
          <cell r="V22">
            <v>643004.75493782014</v>
          </cell>
          <cell r="W22">
            <v>98355.888807607917</v>
          </cell>
          <cell r="X22">
            <v>0</v>
          </cell>
          <cell r="Y22">
            <v>94656.181419166067</v>
          </cell>
          <cell r="Z22">
            <v>0</v>
          </cell>
          <cell r="AA22">
            <v>0</v>
          </cell>
          <cell r="AB22">
            <v>0</v>
          </cell>
          <cell r="AD22">
            <v>835660</v>
          </cell>
        </row>
        <row r="23">
          <cell r="Q23" t="str">
            <v>Amjad sohail</v>
          </cell>
          <cell r="R23">
            <v>320608</v>
          </cell>
          <cell r="S23">
            <v>293167.52011704462</v>
          </cell>
          <cell r="T23">
            <v>249333.39429407462</v>
          </cell>
          <cell r="U23">
            <v>43834.125822970011</v>
          </cell>
          <cell r="V23">
            <v>2493333.9429407464</v>
          </cell>
          <cell r="W23">
            <v>569843.63569861022</v>
          </cell>
          <cell r="X23">
            <v>0</v>
          </cell>
          <cell r="Y23">
            <v>0</v>
          </cell>
          <cell r="Z23">
            <v>0</v>
          </cell>
          <cell r="AA23">
            <v>0</v>
          </cell>
          <cell r="AB23">
            <v>0</v>
          </cell>
          <cell r="AD23">
            <v>2909310</v>
          </cell>
        </row>
        <row r="24">
          <cell r="Q24" t="str">
            <v>Salman Zaffar</v>
          </cell>
          <cell r="R24">
            <v>275656</v>
          </cell>
          <cell r="S24">
            <v>252062.91148500369</v>
          </cell>
          <cell r="T24">
            <v>52616.130212143384</v>
          </cell>
          <cell r="U24">
            <v>31409.107534747625</v>
          </cell>
          <cell r="V24">
            <v>526161.30212143378</v>
          </cell>
          <cell r="W24">
            <v>408318.39795171918</v>
          </cell>
          <cell r="X24">
            <v>0</v>
          </cell>
          <cell r="Y24">
            <v>0</v>
          </cell>
          <cell r="Z24">
            <v>161653.2553035845</v>
          </cell>
          <cell r="AA24">
            <v>1545665.6912948061</v>
          </cell>
          <cell r="AB24">
            <v>0</v>
          </cell>
          <cell r="AD24">
            <v>2146025</v>
          </cell>
        </row>
        <row r="25">
          <cell r="Q25" t="str">
            <v>Shahid Qasayi</v>
          </cell>
          <cell r="R25">
            <v>315508</v>
          </cell>
          <cell r="S25">
            <v>288504.0234089247</v>
          </cell>
          <cell r="T25">
            <v>238964.88661302123</v>
          </cell>
          <cell r="U25">
            <v>0</v>
          </cell>
          <cell r="V25">
            <v>2389648.8661302123</v>
          </cell>
          <cell r="W25">
            <v>0</v>
          </cell>
          <cell r="X25">
            <v>0</v>
          </cell>
          <cell r="Y25">
            <v>0</v>
          </cell>
          <cell r="Z25">
            <v>23767.373811265548</v>
          </cell>
          <cell r="AA25">
            <v>523143.74542794435</v>
          </cell>
          <cell r="AB25">
            <v>0</v>
          </cell>
          <cell r="AD25">
            <v>2761895</v>
          </cell>
        </row>
        <row r="26">
          <cell r="Q26" t="str">
            <v>Hameed corporation</v>
          </cell>
          <cell r="R26">
            <v>46404</v>
          </cell>
          <cell r="S26">
            <v>42432.333577176301</v>
          </cell>
          <cell r="T26">
            <v>42432.333577176301</v>
          </cell>
          <cell r="U26">
            <v>0</v>
          </cell>
          <cell r="V26">
            <v>424323.335771763</v>
          </cell>
          <cell r="W26">
            <v>0</v>
          </cell>
          <cell r="X26">
            <v>0</v>
          </cell>
          <cell r="Y26">
            <v>0</v>
          </cell>
          <cell r="Z26">
            <v>0</v>
          </cell>
          <cell r="AA26">
            <v>0</v>
          </cell>
          <cell r="AB26">
            <v>0</v>
          </cell>
          <cell r="AD26">
            <v>424323</v>
          </cell>
        </row>
        <row r="27">
          <cell r="Q27" t="str">
            <v>ibraheem behraam</v>
          </cell>
          <cell r="R27">
            <v>66705</v>
          </cell>
          <cell r="S27">
            <v>60995.793708851503</v>
          </cell>
          <cell r="T27">
            <v>0</v>
          </cell>
          <cell r="U27">
            <v>60995.793708851503</v>
          </cell>
          <cell r="V27">
            <v>0</v>
          </cell>
          <cell r="W27">
            <v>792945.31821506959</v>
          </cell>
          <cell r="X27">
            <v>0</v>
          </cell>
          <cell r="Y27">
            <v>0</v>
          </cell>
          <cell r="Z27">
            <v>0</v>
          </cell>
          <cell r="AA27">
            <v>0</v>
          </cell>
          <cell r="AB27">
            <v>0</v>
          </cell>
          <cell r="AD27">
            <v>790500</v>
          </cell>
        </row>
        <row r="28">
          <cell r="Q28" t="str">
            <v>Zia-ullah karachi</v>
          </cell>
          <cell r="R28">
            <v>13622</v>
          </cell>
          <cell r="S28">
            <v>12456.108266276518</v>
          </cell>
          <cell r="T28">
            <v>12456.108266276518</v>
          </cell>
          <cell r="U28">
            <v>0</v>
          </cell>
          <cell r="V28">
            <v>124561.08266276518</v>
          </cell>
          <cell r="W28">
            <v>0</v>
          </cell>
          <cell r="X28">
            <v>0</v>
          </cell>
          <cell r="Y28">
            <v>0</v>
          </cell>
          <cell r="Z28">
            <v>0</v>
          </cell>
          <cell r="AA28">
            <v>0</v>
          </cell>
          <cell r="AB28">
            <v>0</v>
          </cell>
          <cell r="AD28">
            <v>124560</v>
          </cell>
        </row>
        <row r="29">
          <cell r="Q29" t="str">
            <v>ZA</v>
          </cell>
          <cell r="R29">
            <v>32399</v>
          </cell>
          <cell r="S29">
            <v>29626.005852231167</v>
          </cell>
          <cell r="T29">
            <v>0</v>
          </cell>
          <cell r="U29">
            <v>29626.005852231167</v>
          </cell>
          <cell r="V29">
            <v>0</v>
          </cell>
          <cell r="W29">
            <v>385138.07607900514</v>
          </cell>
          <cell r="X29">
            <v>0</v>
          </cell>
          <cell r="Y29">
            <v>0</v>
          </cell>
          <cell r="Z29">
            <v>0</v>
          </cell>
          <cell r="AA29">
            <v>0</v>
          </cell>
          <cell r="AB29">
            <v>0</v>
          </cell>
          <cell r="AD29">
            <v>250000</v>
          </cell>
        </row>
        <row r="30">
          <cell r="Q30" t="str">
            <v>Ahmad Javaid</v>
          </cell>
          <cell r="R30">
            <v>12745</v>
          </cell>
          <cell r="S30">
            <v>11654.16971470373</v>
          </cell>
          <cell r="T30">
            <v>0</v>
          </cell>
          <cell r="U30">
            <v>0</v>
          </cell>
          <cell r="V30">
            <v>0</v>
          </cell>
          <cell r="W30">
            <v>0</v>
          </cell>
          <cell r="X30">
            <v>0</v>
          </cell>
          <cell r="Y30">
            <v>0</v>
          </cell>
          <cell r="Z30">
            <v>0</v>
          </cell>
          <cell r="AA30">
            <v>0</v>
          </cell>
          <cell r="AB30">
            <v>151504.2062911485</v>
          </cell>
          <cell r="AD30">
            <v>0</v>
          </cell>
        </row>
        <row r="31">
          <cell r="Q31" t="str">
            <v>Gauhar Kashif</v>
          </cell>
          <cell r="R31">
            <v>55125</v>
          </cell>
          <cell r="S31">
            <v>50406.91294806145</v>
          </cell>
          <cell r="T31">
            <v>50406.91294806145</v>
          </cell>
          <cell r="U31">
            <v>0</v>
          </cell>
          <cell r="V31">
            <v>504069.1294806145</v>
          </cell>
          <cell r="W31">
            <v>0</v>
          </cell>
          <cell r="X31">
            <v>0</v>
          </cell>
          <cell r="Y31">
            <v>0</v>
          </cell>
          <cell r="Z31">
            <v>0</v>
          </cell>
          <cell r="AA31">
            <v>0</v>
          </cell>
          <cell r="AB31">
            <v>0</v>
          </cell>
          <cell r="AD31">
            <v>485800</v>
          </cell>
        </row>
        <row r="32">
          <cell r="Q32">
            <v>0</v>
          </cell>
          <cell r="R32">
            <v>0</v>
          </cell>
          <cell r="S32">
            <v>0</v>
          </cell>
          <cell r="T32">
            <v>0</v>
          </cell>
          <cell r="U32">
            <v>0</v>
          </cell>
          <cell r="V32">
            <v>0</v>
          </cell>
          <cell r="W32">
            <v>0</v>
          </cell>
          <cell r="X32">
            <v>0</v>
          </cell>
          <cell r="Y32">
            <v>0</v>
          </cell>
          <cell r="Z32">
            <v>0</v>
          </cell>
          <cell r="AA32">
            <v>0</v>
          </cell>
          <cell r="AB32">
            <v>0</v>
          </cell>
          <cell r="AD32">
            <v>0</v>
          </cell>
        </row>
        <row r="33">
          <cell r="R33">
            <v>0</v>
          </cell>
          <cell r="S33">
            <v>0</v>
          </cell>
          <cell r="T33">
            <v>0</v>
          </cell>
          <cell r="U33">
            <v>0</v>
          </cell>
          <cell r="V33">
            <v>0</v>
          </cell>
          <cell r="W33">
            <v>0</v>
          </cell>
          <cell r="X33">
            <v>0</v>
          </cell>
          <cell r="Y33">
            <v>0</v>
          </cell>
          <cell r="Z33">
            <v>0</v>
          </cell>
          <cell r="AA33">
            <v>0</v>
          </cell>
          <cell r="AB33">
            <v>0</v>
          </cell>
          <cell r="AD33">
            <v>0</v>
          </cell>
        </row>
        <row r="34">
          <cell r="R34">
            <v>0</v>
          </cell>
          <cell r="S34">
            <v>0</v>
          </cell>
          <cell r="T34">
            <v>0</v>
          </cell>
          <cell r="U34">
            <v>0</v>
          </cell>
          <cell r="V34">
            <v>0</v>
          </cell>
          <cell r="W34">
            <v>0</v>
          </cell>
          <cell r="X34">
            <v>0</v>
          </cell>
          <cell r="Y34">
            <v>0</v>
          </cell>
          <cell r="Z34">
            <v>0</v>
          </cell>
          <cell r="AA34">
            <v>0</v>
          </cell>
          <cell r="AB34">
            <v>0</v>
          </cell>
          <cell r="AD34">
            <v>0</v>
          </cell>
        </row>
        <row r="35">
          <cell r="R35">
            <v>0</v>
          </cell>
          <cell r="S35">
            <v>0</v>
          </cell>
          <cell r="T35">
            <v>0</v>
          </cell>
          <cell r="U35">
            <v>0</v>
          </cell>
          <cell r="V35">
            <v>0</v>
          </cell>
          <cell r="W35">
            <v>0</v>
          </cell>
          <cell r="X35">
            <v>0</v>
          </cell>
          <cell r="Y35">
            <v>0</v>
          </cell>
          <cell r="Z35">
            <v>0</v>
          </cell>
          <cell r="AA35">
            <v>0</v>
          </cell>
          <cell r="AB35">
            <v>0</v>
          </cell>
          <cell r="AD35">
            <v>0</v>
          </cell>
        </row>
        <row r="36">
          <cell r="V36">
            <v>0</v>
          </cell>
          <cell r="W36">
            <v>0</v>
          </cell>
          <cell r="X36">
            <v>0</v>
          </cell>
          <cell r="Y36">
            <v>0</v>
          </cell>
          <cell r="Z36">
            <v>0</v>
          </cell>
          <cell r="AA36">
            <v>0</v>
          </cell>
          <cell r="AB36">
            <v>0</v>
          </cell>
          <cell r="AD36">
            <v>0</v>
          </cell>
        </row>
      </sheetData>
      <sheetData sheetId="1" refreshError="1"/>
      <sheetData sheetId="2" refreshError="1"/>
      <sheetData sheetId="3">
        <row r="21">
          <cell r="F21">
            <v>136637.20398683249</v>
          </cell>
        </row>
      </sheetData>
      <sheetData sheetId="4" refreshError="1"/>
      <sheetData sheetId="5" refreshError="1"/>
      <sheetData sheetId="6" refreshError="1"/>
      <sheetData sheetId="7">
        <row r="5">
          <cell r="N5">
            <v>3576278</v>
          </cell>
        </row>
        <row r="6">
          <cell r="N6">
            <v>-610916</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75.875133564812" createdVersion="8" refreshedVersion="8" minRefreshableVersion="3" recordCount="21" xr:uid="{376A650C-1F79-4049-BC45-E34989F046B2}">
  <cacheSource type="worksheet">
    <worksheetSource name="Table2"/>
  </cacheSource>
  <cacheFields count="8">
    <cacheField name="Date" numFmtId="14">
      <sharedItems containsNonDate="0" containsDate="1" containsString="0" containsBlank="1" minDate="2026-01-20T00:00:00" maxDate="2026-02-22T00:00:00"/>
    </cacheField>
    <cacheField name="Party Name" numFmtId="14">
      <sharedItems containsBlank="1" count="9">
        <s v="Finish"/>
        <s v="Faysal Akraam"/>
        <s v="AS Traders"/>
        <s v="Abid ghafoor"/>
        <s v="Madina Dyes"/>
        <s v="Shengtai"/>
        <m/>
        <s v="-" u="1"/>
        <s v="Faysal" u="1"/>
      </sharedItems>
    </cacheField>
    <cacheField name="Item" numFmtId="0">
      <sharedItems containsBlank="1"/>
    </cacheField>
    <cacheField name="Boxes" numFmtId="0">
      <sharedItems containsString="0" containsBlank="1" containsNumber="1" containsInteger="1" minValue="2" maxValue="45"/>
    </cacheField>
    <cacheField name="Quantity" numFmtId="0">
      <sharedItems containsString="0" containsBlank="1" containsNumber="1" containsInteger="1" minValue="125" maxValue="125"/>
    </cacheField>
    <cacheField name="Price" numFmtId="0">
      <sharedItems containsString="0" containsBlank="1" containsNumber="1" containsInteger="1" minValue="0" maxValue="351000"/>
    </cacheField>
    <cacheField name="Paid" numFmtId="0">
      <sharedItems containsSemiMixedTypes="0" containsString="0" containsNumber="1" containsInteger="1" minValue="0" maxValue="351000"/>
    </cacheField>
    <cacheField name="Balance" numFmtId="0">
      <sharedItems containsSemiMixedTypes="0" containsString="0" containsNumber="1" containsInteger="1" minValue="-351000" maxValue="351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75.875133796297" createdVersion="8" refreshedVersion="8" minRefreshableVersion="3" recordCount="121" xr:uid="{3E5C2981-ACF5-44A9-8567-B1D65DB3A8D2}">
  <cacheSource type="worksheet">
    <worksheetSource name="Table3"/>
  </cacheSource>
  <cacheFields count="9">
    <cacheField name="Date" numFmtId="14">
      <sharedItems containsNonDate="0" containsDate="1" containsString="0" containsBlank="1" minDate="2025-05-02T00:00:00" maxDate="2026-12-28T00:00:00" count="194">
        <d v="2026-01-20T00:00:00"/>
        <m/>
        <d v="2026-01-22T00:00:00"/>
        <d v="2026-01-26T00:00:00"/>
        <d v="2026-01-27T00:00:00"/>
        <d v="2026-01-28T00:00:00"/>
        <d v="2026-01-30T00:00:00"/>
        <d v="2026-02-01T00:00:00"/>
        <d v="2026-01-31T00:00:00"/>
        <d v="2026-02-02T00:00:00"/>
        <d v="2026-02-04T00:00:00"/>
        <d v="2026-02-06T00:00:00"/>
        <d v="2026-02-03T00:00:00"/>
        <d v="2026-02-07T00:00:00"/>
        <d v="2026-02-08T00:00:00"/>
        <d v="2026-02-09T00:00:00"/>
        <d v="2026-02-10T00:00:00"/>
        <d v="2026-02-11T00:00:00"/>
        <d v="2026-02-13T00:00:00"/>
        <d v="2026-02-14T00:00:00"/>
        <d v="2026-02-15T00:00:00"/>
        <d v="2026-02-16T00:00:00"/>
        <d v="2026-02-17T00:00:00"/>
        <d v="2026-02-18T00:00:00"/>
        <d v="2026-02-19T00:00:00"/>
        <d v="2026-02-20T00:00:00"/>
        <d v="2026-01-03T00:00:00" u="1"/>
        <d v="2026-01-02T00:00:00" u="1"/>
        <d v="2025-12-17T00:00:00" u="1"/>
        <d v="2025-12-18T00:00:00" u="1"/>
        <d v="2025-12-19T00:00:00" u="1"/>
        <d v="2025-12-20T00:00:00" u="1"/>
        <d v="2025-12-22T00:00:00" u="1"/>
        <d v="2025-12-21T00:00:00" u="1"/>
        <d v="2025-12-23T00:00:00" u="1"/>
        <d v="2025-12-24T00:00:00" u="1"/>
        <d v="2025-12-25T00:00:00" u="1"/>
        <d v="2025-12-26T00:00:00" u="1"/>
        <d v="2025-12-27T00:00:00" u="1"/>
        <d v="2025-12-29T00:00:00" u="1"/>
        <d v="2025-12-28T00:00:00" u="1"/>
        <d v="2025-12-30T00:00:00" u="1"/>
        <d v="2025-12-31T00:00:00" u="1"/>
        <d v="2026-01-01T00:00:00" u="1"/>
        <d v="2026-01-05T00:00:00" u="1"/>
        <d v="2026-01-04T00:00:00" u="1"/>
        <d v="2026-01-06T00:00:00" u="1"/>
        <d v="2026-01-07T00:00:00" u="1"/>
        <d v="2026-01-08T00:00:00" u="1"/>
        <d v="2026-01-09T00:00:00" u="1"/>
        <d v="2026-01-10T00:00:00" u="1"/>
        <d v="2026-01-12T00:00:00" u="1"/>
        <d v="2026-01-11T00:00:00" u="1"/>
        <d v="2026-01-13T00:00:00" u="1"/>
        <d v="2026-01-14T00:00:00" u="1"/>
        <d v="2026-01-15T00:00:00" u="1"/>
        <d v="2026-01-16T00:00:00" u="1"/>
        <d v="2026-01-18T00:00:00" u="1"/>
        <d v="2026-01-19T00:00:00" u="1"/>
        <d v="2026-12-27T00:00:00" u="1"/>
        <d v="2025-10-17T00:00:00" u="1"/>
        <d v="2025-11-18T00:00:00" u="1"/>
        <d v="2025-11-19T00:00:00" u="1"/>
        <d v="2025-11-20T00:00:00" u="1"/>
        <d v="2025-11-21T00:00:00" u="1"/>
        <d v="2025-11-23T00:00:00" u="1"/>
        <d v="2025-11-24T00:00:00" u="1"/>
        <d v="2025-11-25T00:00:00" u="1"/>
        <d v="2025-11-26T00:00:00" u="1"/>
        <d v="2025-11-27T00:00:00" u="1"/>
        <d v="2025-11-28T00:00:00" u="1"/>
        <d v="2025-11-29T00:00:00" u="1"/>
        <d v="2025-12-01T00:00:00" u="1"/>
        <d v="2025-12-02T00:00:00" u="1"/>
        <d v="2025-12-03T00:00:00" u="1"/>
        <d v="2025-12-04T00:00:00" u="1"/>
        <d v="2025-12-05T00:00:00" u="1"/>
        <d v="2025-12-06T00:00:00" u="1"/>
        <d v="2025-12-07T00:00:00" u="1"/>
        <d v="2025-12-08T00:00:00" u="1"/>
        <d v="2025-12-09T00:00:00" u="1"/>
        <d v="2025-12-10T00:00:00" u="1"/>
        <d v="2025-12-11T00:00:00" u="1"/>
        <d v="2025-12-12T00:00:00" u="1"/>
        <d v="2025-12-14T00:00:00" u="1"/>
        <d v="2025-12-13T00:00:00" u="1"/>
        <d v="2025-12-15T00:00:00" u="1"/>
        <d v="2025-12-16T00:00:00" u="1"/>
        <d v="2025-10-18T00:00:00" u="1"/>
        <d v="2025-10-20T00:00:00" u="1"/>
        <d v="2025-10-21T00:00:00" u="1"/>
        <d v="2025-10-22T00:00:00" u="1"/>
        <d v="2025-10-23T00:00:00" u="1"/>
        <d v="2025-10-24T00:00:00" u="1"/>
        <d v="2025-10-25T00:00:00" u="1"/>
        <d v="2025-10-26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0-09T00:00:00" u="1"/>
        <d v="2025-11-10T00:00:00" u="1"/>
        <d v="2025-11-11T00:00:00" u="1"/>
        <d v="2025-11-12T00:00:00" u="1"/>
        <d v="2025-11-14T00:00:00" u="1"/>
        <d v="2025-11-17T00:00:00" u="1"/>
        <d v="2025-09-16T00:00:00" u="1"/>
        <d v="2025-09-17T00:00:00" u="1"/>
        <d v="2025-09-18T00:00:00" u="1"/>
        <d v="2025-09-19T00:00:00" u="1"/>
        <d v="2025-09-20T00:00:00" u="1"/>
        <d v="2025-09-21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5T00:00:00" u="1"/>
        <d v="2025-10-06T00:00:00" u="1"/>
        <d v="2025-10-07T00:00:00" u="1"/>
        <d v="2025-10-08T00:00:00" u="1"/>
        <d v="2025-10-10T00:00:00" u="1"/>
        <d v="2025-10-12T00:00:00" u="1"/>
        <d v="2025-10-13T00:00:00" u="1"/>
        <d v="2025-10-14T00:00:00" u="1"/>
        <d v="2025-10-15T00:00:00" u="1"/>
        <d v="2025-10-16T00:00:00" u="1"/>
        <d v="2025-09-01T00:00:00" u="1"/>
        <d v="2025-08-16T00:00:00" u="1"/>
        <d v="2025-08-12T00:00:00" u="1"/>
        <d v="2025-08-13T00:00:00" u="1"/>
        <d v="2025-08-15T00:00:00" u="1"/>
        <d v="2025-08-17T00:00:00" u="1"/>
        <d v="2025-08-18T00:00:00" u="1"/>
        <d v="2025-08-19T00:00:00" u="1"/>
        <d v="2025-08-20T00:00:00" u="1"/>
        <d v="2025-08-21T00:00:00" u="1"/>
        <d v="2025-08-23T00:00:00" u="1"/>
        <d v="2025-08-25T00:00:00" u="1"/>
        <d v="2025-08-24T00:00:00" u="1"/>
        <d v="2025-08-26T00:00:00" u="1"/>
        <d v="2025-08-27T00:00:00" u="1"/>
        <d v="2025-08-28T00:00:00" u="1"/>
        <d v="2025-08-30T00:00:00" u="1"/>
        <d v="2025-08-31T00:00:00" u="1"/>
        <d v="2025-09-02T00:00:00" u="1"/>
        <d v="2025-09-03T00:00:00" u="1"/>
        <d v="2025-09-04T00:00:00" u="1"/>
        <d v="2025-09-05T00:00:00" u="1"/>
        <d v="2025-09-07T00:00:00" u="1"/>
        <d v="2025-09-08T00:00:00" u="1"/>
        <d v="2025-09-09T00:00:00" u="1"/>
        <d v="2025-09-10T00:00:00" u="1"/>
        <d v="2025-09-11T00:00:00" u="1"/>
        <d v="2025-09-12T00:00:00" u="1"/>
        <d v="2025-09-13T00:00:00" u="1"/>
        <d v="2025-09-14T00:00:00" u="1"/>
        <d v="2025-09-15T00:00:00" u="1"/>
        <d v="2025-08-02T00:00:00" u="1"/>
        <d v="2025-07-02T00:00:00" u="1"/>
        <d v="2025-06-02T00:00:00" u="1"/>
        <d v="2025-05-02T00:00:00" u="1"/>
        <d v="2025-07-13T00:00:00" u="1"/>
        <d v="2025-07-14T00:00:00" u="1"/>
        <d v="2025-07-15T00:00:00" u="1"/>
        <d v="2025-07-19T00:00:00" u="1"/>
        <d v="2025-07-20T00:00:00" u="1"/>
        <d v="2025-07-21T00:00:00" u="1"/>
        <d v="2025-07-31T00:00:00" u="1"/>
        <d v="2025-08-03T00:00:00" u="1"/>
        <d v="2025-08-04T00:00:00" u="1"/>
        <d v="2025-08-07T00:00:00" u="1"/>
        <d v="2025-08-08T00:00:00" u="1"/>
        <d v="2025-08-09T00:00:00" u="1"/>
        <d v="2025-08-10T00:00:00" u="1"/>
        <d v="2025-08-11T00:00:00" u="1"/>
        <d v="2025-08-14T00:00:00" u="1"/>
        <d v="2025-08-01T00:00:00" u="1"/>
      </sharedItems>
    </cacheField>
    <cacheField name="Party Name" numFmtId="0">
      <sharedItems containsBlank="1" count="14">
        <s v="Aqib"/>
        <s v="Malik zaheer"/>
        <s v="aslam Multani"/>
        <s v="Rafaqat"/>
        <s v="Kaleem ullah"/>
        <s v="Ishaq"/>
        <s v="Aurangzeb"/>
        <s v="Irfan Punjabi"/>
        <s v="Amjad wood"/>
        <s v="Rana Babar"/>
        <m/>
        <s v="Zaheer shah wood"/>
        <s v="Shamil" u="1"/>
        <s v="Aqib Freight" u="1"/>
      </sharedItems>
    </cacheField>
    <cacheField name="Vehicle Number" numFmtId="0">
      <sharedItems containsBlank="1" containsMixedTypes="1" containsNumber="1" containsInteger="1" minValue="31" maxValue="9940" count="59">
        <s v="Closing Balance CF"/>
        <m/>
        <s v="E 3628"/>
        <n v="9662" u="1"/>
        <n v="2223" u="1"/>
        <n v="8618" u="1"/>
        <n v="3414" u="1"/>
        <n v="112" u="1"/>
        <n v="1435" u="1"/>
        <n v="4646" u="1"/>
        <n v="1196" u="1"/>
        <n v="4366" u="1"/>
        <n v="442" u="1"/>
        <n v="6613" u="1"/>
        <n v="4095" u="1"/>
        <n v="3229" u="1"/>
        <n v="162" u="1"/>
        <n v="8141" u="1"/>
        <n v="5560" u="1"/>
        <n v="685" u="1"/>
        <n v="571" u="1"/>
        <n v="160" u="1"/>
        <n v="6691" u="1"/>
        <n v="1055" u="1"/>
        <n v="8395" u="1"/>
        <n v="4649" u="1"/>
        <n v="52" u="1"/>
        <n v="739" u="1"/>
        <n v="1288" u="1"/>
        <n v="5045" u="1"/>
        <n v="561" u="1"/>
        <n v="447" u="1"/>
        <n v="5946" u="1"/>
        <n v="1910" u="1"/>
        <n v="7286" u="1"/>
        <n v="1961" u="1"/>
        <n v="3220" u="1"/>
        <n v="5679" u="1"/>
        <n v="9373" u="1"/>
        <n v="1973" u="1"/>
        <n v="9940" u="1"/>
        <n v="31" u="1"/>
        <n v="3834" u="1"/>
        <n v="9755" u="1"/>
        <n v="1561" u="1"/>
        <n v="2980" u="1"/>
        <n v="7221" u="1"/>
        <n v="8901" u="1"/>
        <n v="8994" u="1"/>
        <n v="364" u="1"/>
        <n v="4068" u="1"/>
        <n v="6038" u="1"/>
        <n v="2727" u="1"/>
        <n v="2570" u="1"/>
        <n v="6851" u="1"/>
        <n v="303" u="1"/>
        <n v="5963" u="1"/>
        <n v="1671" u="1"/>
        <n v="1972" u="1"/>
      </sharedItems>
    </cacheField>
    <cacheField name="Weight" numFmtId="164">
      <sharedItems containsString="0" containsBlank="1" containsNumber="1" containsInteger="1" minValue="12" maxValue="533"/>
    </cacheField>
    <cacheField name="Rate" numFmtId="164">
      <sharedItems containsString="0" containsBlank="1" containsNumber="1" containsInteger="1" minValue="580" maxValue="925"/>
    </cacheField>
    <cacheField name="Rent" numFmtId="164">
      <sharedItems containsString="0" containsBlank="1" containsNumber="1" containsInteger="1" minValue="34000" maxValue="90000"/>
    </cacheField>
    <cacheField name="Total" numFmtId="164">
      <sharedItems containsString="0" containsBlank="1" containsNumber="1" containsInteger="1" minValue="0" maxValue="493025"/>
    </cacheField>
    <cacheField name="Paid" numFmtId="164">
      <sharedItems containsString="0" containsBlank="1" containsNumber="1" containsInteger="1" minValue="0" maxValue="0"/>
    </cacheField>
    <cacheField name="balance" numFmtId="164">
      <sharedItems containsString="0" containsBlank="1" containsNumber="1" containsInteger="1" minValue="0" maxValue="112734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75.875134027781" createdVersion="8" refreshedVersion="8" minRefreshableVersion="3" recordCount="24" xr:uid="{AC867DCC-CE64-4D1A-827D-F1F3EE10EE4E}">
  <cacheSource type="worksheet">
    <worksheetSource name="Table8"/>
  </cacheSource>
  <cacheFields count="9">
    <cacheField name="Date" numFmtId="0">
      <sharedItems containsNonDate="0" containsDate="1" containsString="0" containsBlank="1" minDate="2025-05-16T00:00:00" maxDate="2026-02-23T00:00:00" count="78">
        <d v="2025-12-17T00:00:00"/>
        <d v="2026-01-22T00:00:00"/>
        <d v="2026-01-26T00:00:00"/>
        <d v="2026-01-29T00:00:00"/>
        <d v="2026-01-31T00:00:00"/>
        <d v="2026-02-03T00:00:00"/>
        <d v="2026-02-05T00:00:00"/>
        <d v="2026-02-07T00:00:00"/>
        <d v="2026-02-09T00:00:00"/>
        <d v="2026-02-14T00:00:00"/>
        <d v="2026-02-17T00:00:00"/>
        <d v="2026-02-19T00:00:00"/>
        <d v="2026-02-20T00:00:00"/>
        <d v="2026-02-22T00:00:00"/>
        <m/>
        <d v="2025-12-18T00:00:00" u="1"/>
        <d v="2025-12-22T00:00:00" u="1"/>
        <d v="2025-12-26T00:00:00" u="1"/>
        <d v="2025-12-25T00:00:00" u="1"/>
        <d v="2025-12-27T00:00:00" u="1"/>
        <d v="2025-12-29T00:00:00" u="1"/>
        <d v="2026-01-02T00:00:00" u="1"/>
        <d v="2026-01-03T00:00:00" u="1"/>
        <d v="2026-01-06T00:00:00" u="1"/>
        <d v="2026-01-07T00:00:00" u="1"/>
        <d v="2026-01-09T00:00:00" u="1"/>
        <d v="2026-01-12T00:00:00" u="1"/>
        <d v="2026-01-16T00:00:00" u="1"/>
        <d v="2025-10-17T00:00:00" u="1"/>
        <d v="2025-11-18T00:00:00" u="1"/>
        <d v="2025-11-20T00:00:00" u="1"/>
        <d v="2025-11-22T00:00:00" u="1"/>
        <d v="2025-11-25T00:00:00" u="1"/>
        <d v="2025-11-26T00:00:00" u="1"/>
        <d v="2025-11-27T00:00:00" u="1"/>
        <d v="2025-11-29T00:00:00" u="1"/>
        <d v="2025-12-01T00:00:00" u="1"/>
        <d v="2025-12-02T00:00:00" u="1"/>
        <d v="2025-12-04T00:00:00" u="1"/>
        <d v="2025-12-11T00:00:00" u="1"/>
        <d v="2025-12-09T00:00:00" u="1"/>
        <d v="2025-12-06T00:00:00" u="1"/>
        <d v="2025-12-12T00:00:00" u="1"/>
        <d v="2025-12-16T00:00:00" u="1"/>
        <d v="2025-10-18T00:00:00" u="1"/>
        <d v="2025-10-25T00:00:00" u="1"/>
        <d v="2025-10-30T00:00:00" u="1"/>
        <d v="2025-10-31T00:00:00" u="1"/>
        <d v="2025-11-01T00:00:00" u="1"/>
        <d v="2025-11-13T00:00:00" u="1"/>
        <d v="2025-11-14T00:00:00" u="1"/>
        <d v="2025-11-17T00:00:00" u="1"/>
        <d v="2025-09-16T00:00:00" u="1"/>
        <d v="2025-09-19T00:00:00" u="1"/>
        <d v="2025-09-22T00:00:00" u="1"/>
        <d v="2025-09-26T00:00:00" u="1"/>
        <d v="2025-09-27T00:00:00" u="1"/>
        <d v="2025-10-09T00:00:00" u="1"/>
        <d v="2025-10-14T00:00:00" u="1"/>
        <d v="2025-08-16T00:00:00" u="1"/>
        <d v="2025-08-19T00:00:00" u="1"/>
        <d v="2025-08-20T00:00:00" u="1"/>
        <d v="2025-08-23T00:00:00" u="1"/>
        <d v="2025-09-10T00:00:00" u="1"/>
        <d v="2025-09-13T00:00:00" u="1"/>
        <d v="2025-08-21T00:00:00" u="1"/>
        <d v="2025-08-22T00:00:00" u="1"/>
        <d v="2025-08-24T00:00:00" u="1"/>
        <d v="2025-08-25T00:00:00" u="1"/>
        <d v="2025-08-26T00:00:00" u="1"/>
        <d v="2025-08-27T00:00:00" u="1"/>
        <d v="2025-08-28T00:00:00" u="1"/>
        <d v="2025-05-16T00:00:00" u="1"/>
        <d v="2025-07-24T00:00:00" u="1"/>
        <d v="2025-08-01T00:00:00" u="1"/>
        <d v="2025-08-05T00:00:00" u="1"/>
        <d v="2025-08-11T00:00:00" u="1"/>
        <d v="2025-08-13T00:00:00" u="1"/>
      </sharedItems>
    </cacheField>
    <cacheField name="Chemical Name" numFmtId="0">
      <sharedItems containsBlank="1"/>
    </cacheField>
    <cacheField name="Boxes" numFmtId="0">
      <sharedItems containsNonDate="0" containsString="0" containsBlank="1"/>
    </cacheField>
    <cacheField name="Rate" numFmtId="0">
      <sharedItems containsNonDate="0" containsString="0" containsBlank="1"/>
    </cacheField>
    <cacheField name="Price" numFmtId="0">
      <sharedItems containsString="0" containsBlank="1" containsNumber="1" containsInteger="1" minValue="15000" maxValue="423000"/>
    </cacheField>
    <cacheField name="Party" numFmtId="0">
      <sharedItems containsBlank="1" count="15">
        <s v="Unicolour"/>
        <s v="madina dyes"/>
        <s v="General Dyes"/>
        <s v="Shafi Dyes"/>
        <s v="MAK dyes"/>
        <s v="Navy"/>
        <s v="Faisal Dyes"/>
        <s v="Wazir Dyes"/>
        <s v="Dyes"/>
        <s v="Crescent dyes"/>
        <m/>
        <s v="13 carton" u="1"/>
        <s v="usman shafiq Dyes" u="1"/>
        <s v="Al madina" u="1"/>
        <s v="-" u="1"/>
      </sharedItems>
    </cacheField>
    <cacheField name="Paid" numFmtId="0">
      <sharedItems containsSemiMixedTypes="0" containsString="0" containsNumber="1" containsInteger="1" minValue="0" maxValue="159250"/>
    </cacheField>
    <cacheField name="Balance" numFmtId="0">
      <sharedItems containsSemiMixedTypes="0" containsString="0" containsNumber="1" containsInteger="1" minValue="0" maxValue="423000"/>
    </cacheField>
    <cacheField name="info"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75.87513414352" createdVersion="8" refreshedVersion="8" minRefreshableVersion="3" recordCount="17" xr:uid="{C9337D87-FB7F-43A5-B835-F515E859066B}">
  <cacheSource type="worksheet">
    <worksheetSource name="Table4"/>
  </cacheSource>
  <cacheFields count="4">
    <cacheField name="Party Name" numFmtId="0">
      <sharedItems containsMixedTypes="1" containsNumber="1" containsInteger="1" minValue="0" maxValue="0" count="18">
        <s v="BSC"/>
        <s v="Ejaz Sahab"/>
        <s v="Arshad"/>
        <s v="Shehzad Kamoki"/>
        <s v="Sufi Nawaz Sahab"/>
        <s v="Sajad Khan"/>
        <s v="Raaz Fabrics"/>
        <s v="Azam"/>
        <s v="Ubaidullah"/>
        <s v="Ashraf Zia"/>
        <s v="Hafiz Qureshi"/>
        <s v="Badshah Fabrics"/>
        <s v="Gauhar Kashif"/>
        <s v="Amjad 7up"/>
        <s v="Hazrat Khan"/>
        <s v="Haseeb Shamsi"/>
        <s v="Faizan"/>
        <n v="0" u="1"/>
      </sharedItems>
    </cacheField>
    <cacheField name="Tiyaar" numFmtId="1">
      <sharedItems containsSemiMixedTypes="0" containsString="0" containsNumber="1" minValue="0" maxValue="556955.92538405268"/>
    </cacheField>
    <cacheField name="Rate" numFmtId="0">
      <sharedItems containsString="0" containsBlank="1" containsNumber="1" minValue="10" maxValue="12"/>
    </cacheField>
    <cacheField name="Total" numFmtId="164">
      <sharedItems containsSemiMixedTypes="0" containsString="0" containsNumber="1" minValue="0" maxValue="5381133.869787856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75.87513414352" createdVersion="8" refreshedVersion="8" minRefreshableVersion="3" recordCount="551" xr:uid="{B5BDFB73-D93A-4A7A-8149-666BC190B09B}">
  <cacheSource type="worksheet">
    <worksheetSource name="Table14"/>
  </cacheSource>
  <cacheFields count="7">
    <cacheField name="Date" numFmtId="0">
      <sharedItems containsNonDate="0" containsDate="1" containsString="0" containsBlank="1" minDate="2025-12-23T00:00:00" maxDate="2026-02-23T00:00:00"/>
    </cacheField>
    <cacheField name="Party" numFmtId="0">
      <sharedItems containsBlank="1" count="92">
        <s v="Closing CF"/>
        <s v="Arb Dasti"/>
        <s v="Dasti"/>
        <s v="omer"/>
        <s v="Parts"/>
        <s v="Transport"/>
        <s v="Advance salary"/>
        <s v="rashan"/>
        <s v="Madina Dyes"/>
        <s v="salman Zaffar"/>
        <s v="ubaidullah"/>
        <s v="Misc"/>
        <s v="Salary"/>
        <s v="loom ac"/>
        <m/>
        <s v="Malik Zaheer"/>
        <s v="shahid Qasayi"/>
        <s v="Kaleem ullah"/>
        <s v="irfan Punjabi"/>
        <s v="Aslam Multani"/>
        <s v="Amjad wood"/>
        <s v="Ejaz sahab"/>
        <s v="sajad khan"/>
        <s v="Finish"/>
        <s v="Adjustment"/>
        <s v="Faizan"/>
        <s v="temp"/>
        <s v="ibraheem behraam"/>
        <s v="Rehman Ali"/>
        <s v="arshad"/>
        <s v="Shani Badshah"/>
        <s v="AS Traders"/>
        <s v="Faysal Akraam"/>
        <s v="Faisal Dyes"/>
        <s v="Ahmad Shafique"/>
        <s v="Wazir Dyes"/>
        <s v="Hafiz qureshi"/>
        <s v="Gauhar Kashif"/>
        <s v="Amjad Sohail"/>
        <s v="Azam"/>
        <s v="Ishaq"/>
        <s v="Hafiz Shawl"/>
        <s v="General Dyes"/>
        <s v="Dyes"/>
        <s v="Building Acc"/>
        <s v="Rafaqat"/>
        <s v="Abid ghafoor"/>
        <s v="Rana Babar"/>
        <s v="Crescent dyes"/>
        <s v="Zaheer shah wood"/>
        <s v="Electricity"/>
        <s v="Zahid Ejaz"/>
        <s v="Ibraheem" u="1"/>
        <s v="Badshah Fabrics" u="1"/>
        <s v="Usman shafiq dyes" u="1"/>
        <s v="shehzad kamoki" u="1"/>
        <s v="sufi nawaz sahab" u="1"/>
        <s v="Raaz Fabrics" u="1"/>
        <s v="Closing October CF" u="1"/>
        <s v="Aurangzeb" u="1"/>
        <s v="BSC" u="1"/>
        <s v="Haseeb Shamsi" u="1"/>
        <s v="Ashraf Zia" u="1"/>
        <s v="Zia-ullah karachi" u="1"/>
        <s v="Unicolour" u="1"/>
        <s v="Shafi Dyes" u="1"/>
        <s v="Hameed corporation" u="1"/>
        <s v="ZA" u="1"/>
        <s v="Zia-ullah" u="1"/>
        <s v="Closing September CF" u="1"/>
        <s v="copper" u="1"/>
        <s v="sunsuper theka" u="1"/>
        <s v="electric bill" u="1"/>
        <s v="Shafique Ansari" u="1"/>
        <s v="Chain Acc" u="1"/>
        <s v="Amjad 7up" u="1"/>
        <s v="Hazrat khan" u="1"/>
        <s v="Al madina" u="1"/>
        <s v="Closing August CF" u="1"/>
        <s v="Cash" u="1"/>
        <s v="Shamil" u="1"/>
        <s v="Closing July CF" u="1"/>
        <s v="Chemicals" u="1"/>
        <s v="Raaz" u="1"/>
        <s v="Diesel" u="1"/>
        <s v="Old Bill" u="1"/>
        <s v="temp (Ashfaq Sahab)" u="1"/>
        <s v="Salary " u="1"/>
        <s v="Aqib" u="1"/>
        <s v="Toll" u="1"/>
        <s v="Self" u="1"/>
        <s v="Aqib Freight" u="1"/>
      </sharedItems>
    </cacheField>
    <cacheField name="Debit" numFmtId="0">
      <sharedItems containsString="0" containsBlank="1" containsNumber="1" minValue="130" maxValue="4049561"/>
    </cacheField>
    <cacheField name="Credit" numFmtId="0">
      <sharedItems containsString="0" containsBlank="1" containsNumber="1" minValue="-610916" maxValue="3576278"/>
    </cacheField>
    <cacheField name="Description" numFmtId="0">
      <sharedItems containsDate="1" containsBlank="1" containsMixedTypes="1" minDate="2026-02-15T00:00:00" maxDate="2026-02-16T00:00:00"/>
    </cacheField>
    <cacheField name="Mode" numFmtId="0">
      <sharedItems containsBlank="1"/>
    </cacheField>
    <cacheField name="Withdraw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r Razzaq" refreshedDate="46075.875134259259" createdVersion="8" refreshedVersion="8" minRefreshableVersion="3" recordCount="210" xr:uid="{46CBB50D-3613-4E5B-8212-DD0313DCD05A}">
  <cacheSource type="worksheet">
    <worksheetSource name="Table1"/>
  </cacheSource>
  <cacheFields count="14">
    <cacheField name="Date" numFmtId="0">
      <sharedItems containsSemiMixedTypes="0" containsNonDate="0" containsDate="1" containsString="0" minDate="2026-01-20T00:00:00" maxDate="2026-02-22T00:00:00"/>
    </cacheField>
    <cacheField name="Party Name" numFmtId="0">
      <sharedItems containsBlank="1" count="39">
        <s v="BSC"/>
        <s v="Ejaz Sahab"/>
        <s v="Arshad"/>
        <s v="Shehzad Kamoki"/>
        <s v="Sufi Nawaz Sahab"/>
        <s v="Sajad Khan"/>
        <s v="Raaz Fabrics"/>
        <s v="Azam"/>
        <s v="Ubaidullah"/>
        <s v="Ashraf Zia"/>
        <s v="Hafiz Qureshi"/>
        <s v="Badshah Fabrics"/>
        <s v="Gauhar Kashif"/>
        <s v="Amjad 7up"/>
        <s v="Hazrat Khan"/>
        <s v="Haseeb Shamsi"/>
        <s v="Faizan"/>
        <s v="Shafique Ansari"/>
        <s v="Amjad sohail"/>
        <s v="Salman Zaffar"/>
        <s v="Shahid Qasayi"/>
        <s v="Hameed corporation"/>
        <s v="ibraheem behraam"/>
        <s v="Zia-ullah karachi"/>
        <s v="ZA"/>
        <s v="Ahmad Javaid"/>
        <s v="Rehman Ali"/>
        <s v="Shani Badshah"/>
        <s v="Ahmad Shafique"/>
        <s v="Hafiz Shawl"/>
        <s v="Zahid Ejaz"/>
        <m u="1"/>
        <s v="Reject" u="1"/>
        <s v="YING" u="1"/>
        <s v="Meow" u="1"/>
        <s v="Umer Sb" u="1"/>
        <s v="-" u="1"/>
        <s v="Sajjad" u="1"/>
        <s v="Haji Ejaz" u="1"/>
      </sharedItems>
    </cacheField>
    <cacheField name="Bill Number" numFmtId="0">
      <sharedItems containsMixedTypes="1" containsNumber="1" containsInteger="1" minValue="1375" maxValue="1521"/>
    </cacheField>
    <cacheField name="Quality" numFmtId="0">
      <sharedItems/>
    </cacheField>
    <cacheField name="Shipment Number" numFmtId="164">
      <sharedItems containsBlank="1" containsMixedTypes="1" containsNumber="1" containsInteger="1" minValue="1558" maxValue="17000" count="450">
        <m/>
        <n v="2024"/>
        <n v="2023"/>
        <n v="2025"/>
        <n v="2039"/>
        <n v="2037"/>
        <n v="2026"/>
        <n v="2041"/>
        <n v="2006"/>
        <s v="2017-b"/>
        <s v="2035-a"/>
        <n v="2040"/>
        <n v="2020"/>
        <n v="2034"/>
        <n v="2046"/>
        <n v="2033"/>
        <n v="2032"/>
        <n v="2021"/>
        <n v="2052"/>
        <n v="1989"/>
        <s v="2035-b"/>
        <n v="2012"/>
        <n v="2015"/>
        <n v="2061"/>
        <n v="1978"/>
        <n v="2043"/>
        <n v="2044"/>
        <n v="2050"/>
        <n v="2059"/>
        <n v="2051"/>
        <s v="2053+2038"/>
        <n v="2042"/>
        <n v="2036"/>
        <n v="2057"/>
        <n v="2056"/>
        <n v="2065"/>
        <n v="2053"/>
        <n v="2080"/>
        <n v="2068"/>
        <n v="2067"/>
        <n v="2047"/>
        <n v="2049"/>
        <n v="2055"/>
        <n v="2087"/>
        <n v="2077"/>
        <n v="2076"/>
        <n v="2070"/>
        <n v="1990"/>
        <n v="2064"/>
        <n v="2062"/>
        <n v="2063"/>
        <n v="2072"/>
        <s v="2046-b"/>
        <n v="2035"/>
        <n v="2078"/>
        <n v="2091"/>
        <n v="2090"/>
        <n v="2083"/>
        <n v="2073"/>
        <n v="1977"/>
        <n v="2094"/>
        <n v="2089"/>
        <n v="2079"/>
        <n v="2045"/>
        <n v="2066"/>
        <n v="2085"/>
        <n v="2099"/>
        <n v="1979"/>
        <n v="1976"/>
        <n v="2096"/>
        <n v="2048"/>
        <n v="2075"/>
        <n v="2074"/>
        <n v="2100"/>
        <n v="2058"/>
        <n v="2069"/>
        <n v="1809"/>
        <n v="2060"/>
        <n v="1971" u="1"/>
        <n v="1951" u="1"/>
        <n v="1934" u="1"/>
        <n v="1924" u="1"/>
        <n v="1835" u="1"/>
        <n v="1628" u="1"/>
        <n v="1958" u="1"/>
        <n v="1987" u="1"/>
        <n v="1974" u="1"/>
        <n v="1972" u="1"/>
        <n v="1982" u="1"/>
        <n v="1986" u="1"/>
        <n v="1981" u="1"/>
        <n v="1954" u="1"/>
        <n v="1948" u="1"/>
        <n v="1947" u="1"/>
        <n v="1985" u="1"/>
        <n v="1983" u="1"/>
        <n v="1984" u="1"/>
        <n v="1993" u="1"/>
        <n v="1775" u="1"/>
        <n v="1941" u="1"/>
        <n v="2000" u="1"/>
        <n v="1995" u="1"/>
        <n v="1992" u="1"/>
        <n v="1718" u="1"/>
        <n v="2001" u="1"/>
        <n v="2004" u="1"/>
        <n v="2005" u="1"/>
        <n v="2003" u="1"/>
        <n v="2008" u="1"/>
        <n v="2009" u="1"/>
        <n v="2007" u="1"/>
        <n v="1998" u="1"/>
        <n v="1991" u="1"/>
        <n v="1999" u="1"/>
        <n v="2002" u="1"/>
        <n v="1969" u="1"/>
        <n v="1994" u="1"/>
        <n v="2011" u="1"/>
        <n v="2010" u="1"/>
        <n v="2022" u="1"/>
        <n v="2027" u="1"/>
        <n v="2028" u="1"/>
        <n v="2029" u="1"/>
        <n v="2018" u="1"/>
        <n v="2030" u="1"/>
        <n v="2016" u="1"/>
        <n v="2014" u="1"/>
        <n v="2013" u="1"/>
        <n v="2031" u="1"/>
        <n v="2019" u="1"/>
        <n v="2017" u="1"/>
        <n v="1879" u="1"/>
        <n v="1867" u="1"/>
        <n v="1878" u="1"/>
        <n v="1897" u="1"/>
        <n v="1920" u="1"/>
        <n v="1898" u="1"/>
        <n v="1875" u="1"/>
        <n v="1918" u="1"/>
        <n v="1906" u="1"/>
        <n v="1873" u="1"/>
        <n v="1883" u="1"/>
        <n v="1917" u="1"/>
        <n v="1900" u="1"/>
        <n v="1930" u="1"/>
        <n v="1911" u="1"/>
        <n v="1887" u="1"/>
        <n v="1882" u="1"/>
        <n v="1890" u="1"/>
        <n v="1877" u="1"/>
        <n v="1853" u="1"/>
        <n v="1889" u="1"/>
        <n v="1884" u="1"/>
        <n v="1926" u="1"/>
        <n v="1905" u="1"/>
        <n v="1843" u="1"/>
        <n v="1935" u="1"/>
        <n v="1888" u="1"/>
        <n v="1925" u="1"/>
        <n v="1893" u="1"/>
        <n v="1894" u="1"/>
        <n v="1936" u="1"/>
        <n v="1937" u="1"/>
        <n v="1939" u="1"/>
        <n v="1913" u="1"/>
        <n v="1912" u="1"/>
        <n v="1915" u="1"/>
        <n v="1899" u="1"/>
        <n v="1919" u="1"/>
        <n v="1886" u="1"/>
        <n v="1907" u="1"/>
        <n v="1938" u="1"/>
        <n v="1870" u="1"/>
        <n v="1921" u="1"/>
        <n v="1922" u="1"/>
        <n v="1933" u="1"/>
        <n v="1842" u="1"/>
        <n v="1910" u="1"/>
        <n v="1923" u="1"/>
        <n v="1914" u="1"/>
        <n v="1904" u="1"/>
        <n v="1909" u="1"/>
        <n v="1940" u="1"/>
        <n v="1943" u="1"/>
        <n v="1961" u="1"/>
        <n v="1928" u="1"/>
        <n v="1927" u="1"/>
        <n v="1852" u="1"/>
        <n v="1931" u="1"/>
        <n v="1908" u="1"/>
        <n v="1929" u="1"/>
        <n v="1975" u="1"/>
        <n v="1903" u="1"/>
        <n v="1942" u="1"/>
        <n v="1946" u="1"/>
        <n v="1968" u="1"/>
        <n v="1945" u="1"/>
        <n v="1962" u="1"/>
        <n v="1970" u="1"/>
        <n v="1944" u="1"/>
        <n v="1955" u="1"/>
        <n v="1902" u="1"/>
        <n v="1959" u="1"/>
        <n v="1960" u="1"/>
        <n v="1966" u="1"/>
        <n v="1892" u="1"/>
        <n v="1949" u="1"/>
        <n v="1956" u="1"/>
        <n v="1818" u="1"/>
        <n v="1780" u="1"/>
        <n v="1800" u="1"/>
        <n v="1826" u="1"/>
        <n v="1803" u="1"/>
        <n v="1829" u="1"/>
        <n v="1813" u="1"/>
        <n v="1827" u="1"/>
        <n v="1761" u="1"/>
        <n v="1786" u="1"/>
        <n v="1834" u="1"/>
        <n v="1796" u="1"/>
        <n v="1836" u="1"/>
        <n v="1828" u="1"/>
        <n v="1837" u="1"/>
        <n v="1840" u="1"/>
        <n v="1825" u="1"/>
        <n v="1838" u="1"/>
        <n v="1845" u="1"/>
        <n v="1807" u="1"/>
        <n v="1791" u="1"/>
        <n v="1850" u="1"/>
        <n v="1801" u="1"/>
        <n v="1824" u="1"/>
        <n v="1814" u="1"/>
        <n v="1815" u="1"/>
        <n v="1833" u="1"/>
        <n v="1665" u="1"/>
        <n v="1860" u="1"/>
        <n v="1830" u="1"/>
        <n v="1839" u="1"/>
        <n v="1648" u="1"/>
        <n v="1863" u="1"/>
        <n v="1831" u="1"/>
        <n v="1832" u="1"/>
        <n v="1847" u="1"/>
        <n v="1841" u="1"/>
        <n v="1797" u="1"/>
        <n v="1816" u="1"/>
        <n v="1846" u="1"/>
        <n v="1876" u="1"/>
        <n v="1874" u="1"/>
        <n v="1865" u="1"/>
        <n v="1851" u="1"/>
        <n v="1868" u="1"/>
        <n v="1881" u="1"/>
        <n v="1869" u="1"/>
        <n v="1866" u="1"/>
        <n v="1896" u="1"/>
        <n v="1895" u="1"/>
        <n v="1916" u="1"/>
        <n v="1844" u="1"/>
        <n v="1862" u="1"/>
        <n v="1891" u="1"/>
        <n v="1901" u="1"/>
        <n v="1864" u="1"/>
        <n v="1708" u="1"/>
        <n v="1720" u="1"/>
        <n v="1723" u="1"/>
        <n v="1724" u="1"/>
        <n v="1714" u="1"/>
        <n v="1690" u="1"/>
        <n v="1716" u="1"/>
        <n v="1696" u="1"/>
        <n v="1694" u="1"/>
        <n v="1687" u="1"/>
        <n v="1719" u="1"/>
        <n v="1688" u="1"/>
        <n v="1710" u="1"/>
        <n v="1725" u="1"/>
        <n v="1736" u="1"/>
        <n v="1728" u="1"/>
        <n v="1726" u="1"/>
        <n v="1730" u="1"/>
        <n v="1729" u="1"/>
        <n v="1748" u="1"/>
        <n v="1756" u="1"/>
        <n v="1757" u="1"/>
        <n v="1697" u="1"/>
        <n v="1727" u="1"/>
        <n v="1755" u="1"/>
        <n v="1763" u="1"/>
        <n v="1701" u="1"/>
        <n v="1753" u="1"/>
        <n v="1751" u="1"/>
        <n v="1760" u="1"/>
        <n v="1762" u="1"/>
        <n v="1767" u="1"/>
        <n v="1764" u="1"/>
        <n v="1765" u="1"/>
        <n v="1770" u="1"/>
        <n v="1772" u="1"/>
        <n v="1721" u="1"/>
        <n v="1769" u="1"/>
        <n v="1771" u="1"/>
        <n v="1746" u="1"/>
        <n v="1759" u="1"/>
        <n v="1722" u="1"/>
        <n v="1773" u="1"/>
        <n v="1779" u="1"/>
        <n v="1749" u="1"/>
        <n v="1782" u="1"/>
        <n v="1713" u="1"/>
        <n v="1706" u="1"/>
        <n v="1711" u="1"/>
        <n v="1768" u="1"/>
        <n v="1684" u="1"/>
        <n v="1691" u="1"/>
        <n v="1784" u="1"/>
        <n v="1781" u="1"/>
        <n v="1747" u="1"/>
        <n v="1777" u="1"/>
        <n v="1750" u="1"/>
        <n v="1788" u="1"/>
        <n v="1787" u="1"/>
        <n v="1734" u="1"/>
        <n v="1776" u="1"/>
        <n v="1766" u="1"/>
        <n v="1793" u="1"/>
        <n v="1804" u="1"/>
        <n v="1811" u="1"/>
        <n v="1812" u="1"/>
        <n v="1806" u="1"/>
        <n v="1785" u="1"/>
        <n v="1752" u="1"/>
        <n v="1783" u="1"/>
        <n v="1790" u="1"/>
        <n v="1794" u="1"/>
        <n v="1802" u="1"/>
        <n v="1789" u="1"/>
        <n v="1778" u="1"/>
        <n v="1808" u="1"/>
        <n v="1795" u="1"/>
        <n v="1799" u="1"/>
        <n v="1792" u="1"/>
        <n v="1817" u="1"/>
        <n v="1798" u="1"/>
        <n v="1605" u="1"/>
        <n v="1624" u="1"/>
        <n v="1646" u="1"/>
        <n v="1640" u="1"/>
        <n v="1649" u="1"/>
        <n v="1607" u="1"/>
        <n v="1647" u="1"/>
        <n v="1643" u="1"/>
        <n v="1644" u="1"/>
        <n v="1651" u="1"/>
        <n v="1641" u="1"/>
        <n v="1652" u="1"/>
        <n v="1655" u="1"/>
        <n v="1650" u="1"/>
        <n v="1653" u="1"/>
        <n v="1662" u="1"/>
        <n v="1663" u="1"/>
        <n v="1598" u="1"/>
        <n v="1661" u="1"/>
        <n v="1658" u="1"/>
        <n v="1656" u="1"/>
        <n v="1654" u="1"/>
        <n v="1659" u="1"/>
        <n v="1669" u="1"/>
        <n v="1666" u="1"/>
        <n v="1657" u="1"/>
        <n v="1676" u="1"/>
        <n v="1683" u="1"/>
        <n v="1673" u="1"/>
        <n v="1679" u="1"/>
        <n v="1668" u="1"/>
        <n v="1664" u="1"/>
        <n v="1660" u="1"/>
        <n v="1678" u="1"/>
        <n v="1677" u="1"/>
        <n v="1667" u="1"/>
        <n v="1675" u="1"/>
        <n v="1681" u="1"/>
        <n v="1674" u="1"/>
        <n v="1680" u="1"/>
        <n v="1682" u="1"/>
        <n v="1633" u="1"/>
        <n v="1685" u="1"/>
        <n v="1686" u="1"/>
        <n v="1692" u="1"/>
        <n v="1693" u="1"/>
        <n v="1700" u="1"/>
        <n v="1672" u="1"/>
        <n v="1705" u="1"/>
        <n v="1704" u="1"/>
        <n v="1689" u="1"/>
        <n v="1699" u="1"/>
        <n v="1695" u="1"/>
        <n v="1595" u="1"/>
        <n v="1593" u="1"/>
        <n v="1599" u="1"/>
        <n v="1597" u="1"/>
        <n v="1600" u="1"/>
        <n v="1602" u="1"/>
        <n v="1558" u="1"/>
        <n v="1603" u="1"/>
        <n v="1619" u="1"/>
        <n v="1621" u="1"/>
        <n v="1601" u="1"/>
        <n v="1606" u="1"/>
        <n v="1609" u="1"/>
        <n v="1614" u="1"/>
        <n v="1623" u="1"/>
        <n v="1610" u="1"/>
        <n v="1620" u="1"/>
        <n v="1608" u="1"/>
        <n v="1625" u="1"/>
        <n v="1618" u="1"/>
        <n v="1611" u="1"/>
        <n v="1629" u="1"/>
        <n v="1631" u="1"/>
        <n v="1604" u="1"/>
        <n v="1627" u="1"/>
        <n v="1615" u="1"/>
        <n v="1630" u="1"/>
        <n v="1635" u="1"/>
        <n v="1617" u="1"/>
        <n v="1637" u="1"/>
        <n v="1642" u="1"/>
        <n v="1613" u="1"/>
        <n v="17000" u="1"/>
        <n v="1574" u="1"/>
        <n v="1573" u="1"/>
        <n v="1570" u="1"/>
        <n v="1571" u="1"/>
        <n v="1575" u="1"/>
        <n v="1579" u="1"/>
        <n v="1580" u="1"/>
        <n v="1577" u="1"/>
        <n v="1578" u="1"/>
        <n v="1583" u="1"/>
        <n v="1589" u="1"/>
        <n v="1572" u="1"/>
        <n v="1592" u="1"/>
        <n v="1590" u="1"/>
        <n v="1591" u="1"/>
        <n v="1576" u="1"/>
        <n v="1581" u="1"/>
        <n v="1596" u="1"/>
        <n v="1594" u="1"/>
      </sharedItems>
    </cacheField>
    <cacheField name="Kora/metre" numFmtId="164">
      <sharedItems containsString="0" containsBlank="1" containsNumber="1" containsInteger="1" minValue="1308" maxValue="100801"/>
    </cacheField>
    <cacheField name="Tiyaar/gaz" numFmtId="164">
      <sharedItems containsString="0" containsBlank="1" containsNumber="1" containsInteger="1" minValue="460" maxValue="52734"/>
    </cacheField>
    <cacheField name="shortage %" numFmtId="165">
      <sharedItems containsMixedTypes="1" containsNumber="1" minValue="-3.5522766167321151" maxValue="95.164010598442246"/>
    </cacheField>
    <cacheField name="tiyar/meters" numFmtId="165">
      <sharedItems containsString="0" containsBlank="1" containsNumber="1" minValue="0" maxValue="2468066.8273591809"/>
    </cacheField>
    <cacheField name="billing" numFmtId="165">
      <sharedItems containsString="0" containsBlank="1" containsNumber="1" minValue="0" maxValue="24680668.273591813"/>
    </cacheField>
    <cacheField name="Total Billing" numFmtId="0">
      <sharedItems containsNonDate="0" containsString="0" containsBlank="1"/>
    </cacheField>
    <cacheField name="Shortage %2" numFmtId="0" formula=" ('Tiyaar/gaz'/ ('Kora/metre'/ 1.0936)) * 100" databaseField="0"/>
    <cacheField name="Shortage2" numFmtId="0" formula=" ('Tiyaar/gaz'/ ('Kora/metre'* 1.0936)) * 100" databaseField="0"/>
    <cacheField name="kora / gaz" numFmtId="0" formula="'Kora/metre'* 1.0936" databaseField="0"/>
  </cacheFields>
  <extLst>
    <ext xmlns:x14="http://schemas.microsoft.com/office/spreadsheetml/2009/9/main" uri="{725AE2AE-9491-48be-B2B4-4EB974FC3084}">
      <x14:pivotCacheDefinition pivotCacheId="1341418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6-01-20T00:00:00"/>
    <x v="0"/>
    <s v="Closing CF"/>
    <m/>
    <m/>
    <n v="0"/>
    <n v="0"/>
    <n v="0"/>
  </r>
  <r>
    <d v="2026-01-20T00:00:00"/>
    <x v="1"/>
    <s v="Closing CF"/>
    <m/>
    <m/>
    <n v="0"/>
    <n v="0"/>
    <n v="50000"/>
  </r>
  <r>
    <d v="2026-01-20T00:00:00"/>
    <x v="2"/>
    <s v="Closing CF"/>
    <m/>
    <m/>
    <n v="0"/>
    <n v="0"/>
    <n v="0"/>
  </r>
  <r>
    <d v="2026-01-20T00:00:00"/>
    <x v="3"/>
    <s v="Closing CF"/>
    <m/>
    <m/>
    <n v="0"/>
    <n v="0"/>
    <n v="0"/>
  </r>
  <r>
    <d v="2026-01-20T00:00:00"/>
    <x v="4"/>
    <s v="Closing CF"/>
    <m/>
    <m/>
    <n v="0"/>
    <n v="0"/>
    <n v="0"/>
  </r>
  <r>
    <d v="2026-01-20T00:00:00"/>
    <x v="3"/>
    <s v="Starch"/>
    <n v="45"/>
    <m/>
    <n v="351000"/>
    <n v="0"/>
    <n v="351000"/>
  </r>
  <r>
    <d v="2026-01-21T00:00:00"/>
    <x v="4"/>
    <s v="BP26"/>
    <m/>
    <m/>
    <n v="49200"/>
    <n v="49200"/>
    <n v="0"/>
  </r>
  <r>
    <d v="2026-01-22T00:00:00"/>
    <x v="2"/>
    <s v="PVA"/>
    <n v="2"/>
    <n v="125"/>
    <n v="60000"/>
    <n v="0"/>
    <n v="60000"/>
  </r>
  <r>
    <d v="2026-01-26T00:00:00"/>
    <x v="2"/>
    <s v="PVA"/>
    <n v="2"/>
    <n v="125"/>
    <n v="60000"/>
    <n v="0"/>
    <n v="60000"/>
  </r>
  <r>
    <d v="2026-01-29T00:00:00"/>
    <x v="5"/>
    <s v="SM"/>
    <n v="2"/>
    <n v="125"/>
    <m/>
    <n v="0"/>
    <n v="0"/>
  </r>
  <r>
    <d v="2026-01-31T00:00:00"/>
    <x v="0"/>
    <s v="SM"/>
    <m/>
    <m/>
    <n v="20400"/>
    <n v="20400"/>
    <n v="0"/>
  </r>
  <r>
    <d v="2026-02-05T00:00:00"/>
    <x v="2"/>
    <s v="PVA"/>
    <n v="4"/>
    <n v="125"/>
    <n v="120000"/>
    <n v="0"/>
    <n v="120000"/>
  </r>
  <r>
    <d v="2026-02-07T00:00:00"/>
    <x v="2"/>
    <m/>
    <m/>
    <m/>
    <n v="0"/>
    <n v="60000"/>
    <n v="-60000"/>
  </r>
  <r>
    <d v="2026-02-09T00:00:00"/>
    <x v="1"/>
    <m/>
    <m/>
    <m/>
    <n v="0"/>
    <n v="50000"/>
    <n v="-50000"/>
  </r>
  <r>
    <d v="2026-02-11T00:00:00"/>
    <x v="2"/>
    <m/>
    <m/>
    <m/>
    <n v="0"/>
    <n v="60000"/>
    <n v="-60000"/>
  </r>
  <r>
    <d v="2026-02-15T00:00:00"/>
    <x v="0"/>
    <s v="Starch"/>
    <m/>
    <m/>
    <n v="78000"/>
    <n v="78000"/>
    <n v="0"/>
  </r>
  <r>
    <d v="2026-02-18T00:00:00"/>
    <x v="3"/>
    <m/>
    <m/>
    <m/>
    <n v="0"/>
    <n v="351000"/>
    <n v="-351000"/>
  </r>
  <r>
    <d v="2026-02-21T00:00:00"/>
    <x v="0"/>
    <s v="Starch"/>
    <m/>
    <m/>
    <n v="78000"/>
    <n v="78000"/>
    <n v="0"/>
  </r>
  <r>
    <d v="2026-02-21T00:00:00"/>
    <x v="2"/>
    <s v="PVA"/>
    <n v="2"/>
    <n v="125"/>
    <n v="60000"/>
    <n v="2500"/>
    <n v="57500"/>
  </r>
  <r>
    <m/>
    <x v="6"/>
    <m/>
    <m/>
    <m/>
    <n v="0"/>
    <n v="0"/>
    <n v="0"/>
  </r>
  <r>
    <m/>
    <x v="6"/>
    <m/>
    <m/>
    <m/>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x v="0"/>
    <x v="0"/>
    <x v="0"/>
    <m/>
    <m/>
    <m/>
    <n v="0"/>
    <m/>
    <n v="0"/>
  </r>
  <r>
    <x v="0"/>
    <x v="1"/>
    <x v="0"/>
    <m/>
    <m/>
    <m/>
    <n v="0"/>
    <n v="0"/>
    <n v="1048490"/>
  </r>
  <r>
    <x v="0"/>
    <x v="2"/>
    <x v="0"/>
    <m/>
    <m/>
    <m/>
    <n v="0"/>
    <n v="0"/>
    <n v="551116"/>
  </r>
  <r>
    <x v="0"/>
    <x v="3"/>
    <x v="0"/>
    <m/>
    <m/>
    <m/>
    <n v="0"/>
    <m/>
    <n v="56060"/>
  </r>
  <r>
    <x v="0"/>
    <x v="4"/>
    <x v="0"/>
    <m/>
    <m/>
    <m/>
    <n v="0"/>
    <m/>
    <n v="1127348"/>
  </r>
  <r>
    <x v="0"/>
    <x v="5"/>
    <x v="0"/>
    <m/>
    <m/>
    <m/>
    <n v="0"/>
    <m/>
    <n v="97520"/>
  </r>
  <r>
    <x v="0"/>
    <x v="6"/>
    <x v="0"/>
    <m/>
    <m/>
    <m/>
    <n v="0"/>
    <m/>
    <n v="326400"/>
  </r>
  <r>
    <x v="0"/>
    <x v="7"/>
    <x v="0"/>
    <m/>
    <m/>
    <m/>
    <n v="0"/>
    <m/>
    <n v="917704"/>
  </r>
  <r>
    <x v="0"/>
    <x v="8"/>
    <x v="0"/>
    <m/>
    <m/>
    <m/>
    <m/>
    <m/>
    <n v="81306"/>
  </r>
  <r>
    <x v="0"/>
    <x v="9"/>
    <x v="0"/>
    <m/>
    <m/>
    <m/>
    <m/>
    <m/>
    <n v="10"/>
  </r>
  <r>
    <x v="1"/>
    <x v="10"/>
    <x v="1"/>
    <m/>
    <m/>
    <m/>
    <m/>
    <m/>
    <m/>
  </r>
  <r>
    <x v="1"/>
    <x v="10"/>
    <x v="1"/>
    <m/>
    <m/>
    <m/>
    <m/>
    <m/>
    <m/>
  </r>
  <r>
    <x v="1"/>
    <x v="10"/>
    <x v="1"/>
    <m/>
    <m/>
    <m/>
    <m/>
    <m/>
    <m/>
  </r>
  <r>
    <x v="1"/>
    <x v="10"/>
    <x v="1"/>
    <m/>
    <m/>
    <m/>
    <m/>
    <m/>
    <m/>
  </r>
  <r>
    <x v="1"/>
    <x v="10"/>
    <x v="1"/>
    <m/>
    <m/>
    <m/>
    <m/>
    <m/>
    <m/>
  </r>
  <r>
    <x v="1"/>
    <x v="10"/>
    <x v="1"/>
    <m/>
    <m/>
    <m/>
    <m/>
    <m/>
    <m/>
  </r>
  <r>
    <x v="1"/>
    <x v="10"/>
    <x v="1"/>
    <m/>
    <m/>
    <m/>
    <m/>
    <m/>
    <m/>
  </r>
  <r>
    <x v="2"/>
    <x v="7"/>
    <x v="1"/>
    <n v="218"/>
    <n v="820"/>
    <m/>
    <n v="178760"/>
    <m/>
    <n v="178760"/>
  </r>
  <r>
    <x v="2"/>
    <x v="2"/>
    <x v="1"/>
    <n v="126"/>
    <n v="820"/>
    <m/>
    <n v="103320"/>
    <m/>
    <n v="103320"/>
  </r>
  <r>
    <x v="3"/>
    <x v="4"/>
    <x v="1"/>
    <n v="131"/>
    <n v="580"/>
    <m/>
    <n v="75980"/>
    <m/>
    <n v="75980"/>
  </r>
  <r>
    <x v="4"/>
    <x v="4"/>
    <x v="1"/>
    <n v="133"/>
    <n v="775"/>
    <m/>
    <n v="103075"/>
    <m/>
    <n v="103075"/>
  </r>
  <r>
    <x v="5"/>
    <x v="4"/>
    <x v="1"/>
    <n v="23"/>
    <n v="775"/>
    <m/>
    <n v="17825"/>
    <m/>
    <n v="17825"/>
  </r>
  <r>
    <x v="5"/>
    <x v="4"/>
    <x v="1"/>
    <n v="48"/>
    <n v="580"/>
    <m/>
    <n v="27840"/>
    <m/>
    <n v="27840"/>
  </r>
  <r>
    <x v="5"/>
    <x v="4"/>
    <x v="1"/>
    <n v="85"/>
    <n v="580"/>
    <m/>
    <n v="49300"/>
    <m/>
    <n v="49300"/>
  </r>
  <r>
    <x v="5"/>
    <x v="4"/>
    <x v="1"/>
    <n v="45"/>
    <n v="775"/>
    <m/>
    <n v="34875"/>
    <m/>
    <n v="34875"/>
  </r>
  <r>
    <x v="4"/>
    <x v="7"/>
    <x v="1"/>
    <n v="237"/>
    <n v="820"/>
    <m/>
    <n v="194340"/>
    <m/>
    <n v="194340"/>
  </r>
  <r>
    <x v="6"/>
    <x v="1"/>
    <x v="1"/>
    <n v="533"/>
    <n v="925"/>
    <n v="90000"/>
    <n v="493025"/>
    <m/>
    <n v="493025"/>
  </r>
  <r>
    <x v="7"/>
    <x v="7"/>
    <x v="2"/>
    <n v="242"/>
    <n v="850"/>
    <m/>
    <n v="205700"/>
    <m/>
    <n v="205700"/>
  </r>
  <r>
    <x v="1"/>
    <x v="10"/>
    <x v="1"/>
    <m/>
    <m/>
    <m/>
    <m/>
    <m/>
    <m/>
  </r>
  <r>
    <x v="8"/>
    <x v="4"/>
    <x v="1"/>
    <n v="73"/>
    <n v="775"/>
    <m/>
    <n v="56575"/>
    <m/>
    <n v="56575"/>
  </r>
  <r>
    <x v="7"/>
    <x v="4"/>
    <x v="1"/>
    <n v="75"/>
    <n v="775"/>
    <m/>
    <n v="58125"/>
    <m/>
    <n v="58125"/>
  </r>
  <r>
    <x v="9"/>
    <x v="4"/>
    <x v="1"/>
    <n v="99"/>
    <n v="775"/>
    <m/>
    <n v="76725"/>
    <m/>
    <n v="76725"/>
  </r>
  <r>
    <x v="9"/>
    <x v="4"/>
    <x v="1"/>
    <n v="33"/>
    <n v="580"/>
    <m/>
    <n v="19140"/>
    <m/>
    <n v="19140"/>
  </r>
  <r>
    <x v="10"/>
    <x v="4"/>
    <x v="1"/>
    <n v="140"/>
    <n v="580"/>
    <m/>
    <n v="81200"/>
    <m/>
    <n v="81200"/>
  </r>
  <r>
    <x v="11"/>
    <x v="4"/>
    <x v="1"/>
    <n v="136"/>
    <n v="775"/>
    <m/>
    <n v="105400"/>
    <m/>
    <n v="105400"/>
  </r>
  <r>
    <x v="11"/>
    <x v="4"/>
    <x v="1"/>
    <n v="105"/>
    <n v="775"/>
    <m/>
    <n v="81375"/>
    <m/>
    <n v="81375"/>
  </r>
  <r>
    <x v="11"/>
    <x v="4"/>
    <x v="1"/>
    <n v="33"/>
    <n v="580"/>
    <m/>
    <n v="19140"/>
    <m/>
    <n v="19140"/>
  </r>
  <r>
    <x v="11"/>
    <x v="7"/>
    <x v="1"/>
    <n v="198"/>
    <n v="820"/>
    <m/>
    <n v="162360"/>
    <m/>
    <n v="162360"/>
  </r>
  <r>
    <x v="12"/>
    <x v="7"/>
    <x v="1"/>
    <n v="250"/>
    <n v="850"/>
    <m/>
    <n v="212500"/>
    <m/>
    <n v="212500"/>
  </r>
  <r>
    <x v="13"/>
    <x v="4"/>
    <x v="1"/>
    <n v="242"/>
    <n v="830"/>
    <m/>
    <n v="200860"/>
    <m/>
    <n v="200860"/>
  </r>
  <r>
    <x v="14"/>
    <x v="7"/>
    <x v="1"/>
    <n v="206"/>
    <n v="820"/>
    <m/>
    <n v="168920"/>
    <m/>
    <n v="168920"/>
  </r>
  <r>
    <x v="14"/>
    <x v="2"/>
    <x v="1"/>
    <n v="231"/>
    <n v="820"/>
    <m/>
    <n v="189420"/>
    <m/>
    <n v="189420"/>
  </r>
  <r>
    <x v="14"/>
    <x v="2"/>
    <x v="1"/>
    <n v="167"/>
    <n v="820"/>
    <m/>
    <n v="136940"/>
    <m/>
    <n v="136940"/>
  </r>
  <r>
    <x v="15"/>
    <x v="7"/>
    <x v="1"/>
    <n v="215"/>
    <n v="820"/>
    <m/>
    <n v="176300"/>
    <m/>
    <n v="176300"/>
  </r>
  <r>
    <x v="2"/>
    <x v="4"/>
    <x v="1"/>
    <n v="70"/>
    <n v="580"/>
    <m/>
    <n v="40600"/>
    <m/>
    <n v="40600"/>
  </r>
  <r>
    <x v="16"/>
    <x v="4"/>
    <x v="1"/>
    <n v="125"/>
    <n v="580"/>
    <m/>
    <n v="72500"/>
    <m/>
    <n v="72500"/>
  </r>
  <r>
    <x v="16"/>
    <x v="4"/>
    <x v="1"/>
    <n v="119"/>
    <n v="580"/>
    <m/>
    <n v="69020"/>
    <m/>
    <n v="69020"/>
  </r>
  <r>
    <x v="16"/>
    <x v="4"/>
    <x v="1"/>
    <n v="12"/>
    <n v="775"/>
    <m/>
    <n v="9300"/>
    <m/>
    <n v="9300"/>
  </r>
  <r>
    <x v="16"/>
    <x v="4"/>
    <x v="1"/>
    <n v="260"/>
    <n v="830"/>
    <m/>
    <n v="215800"/>
    <m/>
    <n v="215800"/>
  </r>
  <r>
    <x v="16"/>
    <x v="8"/>
    <x v="1"/>
    <n v="154"/>
    <n v="580"/>
    <m/>
    <n v="89320"/>
    <m/>
    <n v="89320"/>
  </r>
  <r>
    <x v="17"/>
    <x v="7"/>
    <x v="1"/>
    <n v="157"/>
    <n v="820"/>
    <m/>
    <n v="128740"/>
    <m/>
    <n v="128740"/>
  </r>
  <r>
    <x v="18"/>
    <x v="7"/>
    <x v="1"/>
    <n v="204"/>
    <n v="820"/>
    <m/>
    <n v="167280"/>
    <m/>
    <n v="167280"/>
  </r>
  <r>
    <x v="18"/>
    <x v="7"/>
    <x v="1"/>
    <n v="237"/>
    <n v="820"/>
    <m/>
    <n v="194340"/>
    <m/>
    <n v="194340"/>
  </r>
  <r>
    <x v="19"/>
    <x v="1"/>
    <x v="1"/>
    <n v="324"/>
    <n v="925"/>
    <n v="54940"/>
    <n v="299700"/>
    <m/>
    <n v="299700"/>
  </r>
  <r>
    <x v="19"/>
    <x v="7"/>
    <x v="1"/>
    <n v="382"/>
    <n v="820"/>
    <m/>
    <n v="313240"/>
    <m/>
    <n v="313240"/>
  </r>
  <r>
    <x v="19"/>
    <x v="7"/>
    <x v="1"/>
    <n v="316"/>
    <n v="820"/>
    <m/>
    <n v="259120"/>
    <m/>
    <n v="259120"/>
  </r>
  <r>
    <x v="19"/>
    <x v="4"/>
    <x v="1"/>
    <n v="237"/>
    <n v="580"/>
    <m/>
    <n v="137460"/>
    <m/>
    <n v="137460"/>
  </r>
  <r>
    <x v="20"/>
    <x v="7"/>
    <x v="1"/>
    <n v="184"/>
    <n v="820"/>
    <m/>
    <n v="150880"/>
    <m/>
    <n v="150880"/>
  </r>
  <r>
    <x v="20"/>
    <x v="2"/>
    <x v="1"/>
    <n v="205"/>
    <n v="820"/>
    <m/>
    <n v="168100"/>
    <m/>
    <n v="168100"/>
  </r>
  <r>
    <x v="20"/>
    <x v="4"/>
    <x v="1"/>
    <n v="245"/>
    <n v="830"/>
    <m/>
    <n v="203350"/>
    <m/>
    <n v="203350"/>
  </r>
  <r>
    <x v="21"/>
    <x v="2"/>
    <x v="1"/>
    <n v="248"/>
    <n v="820"/>
    <n v="34000"/>
    <n v="203360"/>
    <m/>
    <n v="203360"/>
  </r>
  <r>
    <x v="22"/>
    <x v="1"/>
    <x v="1"/>
    <n v="237"/>
    <n v="925"/>
    <n v="41000"/>
    <n v="219225"/>
    <m/>
    <n v="219225"/>
  </r>
  <r>
    <x v="22"/>
    <x v="4"/>
    <x v="1"/>
    <n v="130"/>
    <n v="580"/>
    <m/>
    <n v="75400"/>
    <m/>
    <n v="75400"/>
  </r>
  <r>
    <x v="23"/>
    <x v="2"/>
    <x v="1"/>
    <n v="183"/>
    <n v="820"/>
    <m/>
    <n v="150060"/>
    <m/>
    <n v="150060"/>
  </r>
  <r>
    <x v="23"/>
    <x v="4"/>
    <x v="1"/>
    <n v="311"/>
    <n v="580"/>
    <m/>
    <n v="180380"/>
    <m/>
    <n v="180380"/>
  </r>
  <r>
    <x v="24"/>
    <x v="1"/>
    <x v="1"/>
    <n v="335"/>
    <n v="705"/>
    <n v="35500"/>
    <n v="236175"/>
    <m/>
    <n v="236175"/>
  </r>
  <r>
    <x v="25"/>
    <x v="11"/>
    <x v="1"/>
    <n v="256"/>
    <n v="820"/>
    <n v="64290"/>
    <n v="209920"/>
    <m/>
    <n v="20992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r>
    <x v="1"/>
    <x v="10"/>
    <x v="1"/>
    <m/>
    <m/>
    <m/>
    <n v="0"/>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s v="Dyes"/>
    <m/>
    <m/>
    <m/>
    <x v="0"/>
    <n v="0"/>
    <n v="0"/>
    <s v="closing CF"/>
  </r>
  <r>
    <x v="0"/>
    <s v="Dyes"/>
    <m/>
    <m/>
    <m/>
    <x v="1"/>
    <n v="0"/>
    <n v="0"/>
    <s v="closing CF"/>
  </r>
  <r>
    <x v="0"/>
    <s v="Dyes"/>
    <m/>
    <m/>
    <m/>
    <x v="2"/>
    <n v="0"/>
    <n v="0"/>
    <s v="closing CF"/>
  </r>
  <r>
    <x v="0"/>
    <s v="Dyes"/>
    <m/>
    <m/>
    <m/>
    <x v="3"/>
    <n v="0"/>
    <n v="0"/>
    <s v="closing CF"/>
  </r>
  <r>
    <x v="1"/>
    <m/>
    <m/>
    <m/>
    <n v="255000"/>
    <x v="0"/>
    <n v="0"/>
    <n v="255000"/>
    <m/>
  </r>
  <r>
    <x v="2"/>
    <s v="Dyes"/>
    <m/>
    <m/>
    <n v="159250"/>
    <x v="1"/>
    <n v="159250"/>
    <n v="0"/>
    <m/>
  </r>
  <r>
    <x v="3"/>
    <s v="Dyes"/>
    <m/>
    <m/>
    <n v="423000"/>
    <x v="0"/>
    <n v="0"/>
    <n v="423000"/>
    <s v="N blue,Black,5R,3R,SE2R,10GF,F3BS,H3R"/>
  </r>
  <r>
    <x v="4"/>
    <s v="Dyes"/>
    <m/>
    <m/>
    <n v="86250"/>
    <x v="0"/>
    <n v="0"/>
    <n v="86250"/>
    <s v="Scarlet B,4G"/>
  </r>
  <r>
    <x v="5"/>
    <s v="Dyes"/>
    <m/>
    <m/>
    <m/>
    <x v="4"/>
    <n v="0"/>
    <n v="0"/>
    <m/>
  </r>
  <r>
    <x v="6"/>
    <m/>
    <m/>
    <m/>
    <m/>
    <x v="5"/>
    <n v="0"/>
    <n v="0"/>
    <m/>
  </r>
  <r>
    <x v="7"/>
    <s v="NP9"/>
    <m/>
    <m/>
    <n v="15000"/>
    <x v="1"/>
    <n v="15000"/>
    <n v="0"/>
    <m/>
  </r>
  <r>
    <x v="8"/>
    <s v="Dyes"/>
    <m/>
    <m/>
    <n v="122500"/>
    <x v="6"/>
    <n v="122500"/>
    <n v="0"/>
    <m/>
  </r>
  <r>
    <x v="4"/>
    <s v="Dyes"/>
    <m/>
    <m/>
    <n v="28750"/>
    <x v="7"/>
    <n v="28750"/>
    <n v="0"/>
    <m/>
  </r>
  <r>
    <x v="9"/>
    <s v="Leaveling+Acid"/>
    <m/>
    <m/>
    <n v="24650"/>
    <x v="1"/>
    <n v="24650"/>
    <n v="0"/>
    <m/>
  </r>
  <r>
    <x v="9"/>
    <s v="Rubine x2, Navy x2, Black x2"/>
    <m/>
    <m/>
    <n v="155000"/>
    <x v="8"/>
    <n v="155000"/>
    <n v="0"/>
    <m/>
  </r>
  <r>
    <x v="9"/>
    <s v="Yellow 4G"/>
    <m/>
    <m/>
    <n v="35000"/>
    <x v="2"/>
    <n v="35000"/>
    <n v="0"/>
    <m/>
  </r>
  <r>
    <x v="10"/>
    <s v="Leaveling+Acid"/>
    <m/>
    <m/>
    <n v="21750"/>
    <x v="1"/>
    <n v="21750"/>
    <n v="0"/>
    <m/>
  </r>
  <r>
    <x v="11"/>
    <s v="Dyes"/>
    <m/>
    <m/>
    <n v="72500"/>
    <x v="9"/>
    <n v="72500"/>
    <n v="0"/>
    <m/>
  </r>
  <r>
    <x v="11"/>
    <s v="Dyes"/>
    <m/>
    <m/>
    <n v="28750"/>
    <x v="7"/>
    <n v="28750"/>
    <n v="0"/>
    <m/>
  </r>
  <r>
    <x v="12"/>
    <s v="Dyes"/>
    <m/>
    <m/>
    <n v="100000"/>
    <x v="9"/>
    <n v="100000"/>
    <n v="0"/>
    <m/>
  </r>
  <r>
    <x v="13"/>
    <s v="Dyes"/>
    <m/>
    <m/>
    <m/>
    <x v="4"/>
    <n v="0"/>
    <n v="0"/>
    <m/>
  </r>
  <r>
    <x v="14"/>
    <m/>
    <m/>
    <m/>
    <m/>
    <x v="10"/>
    <n v="0"/>
    <n v="0"/>
    <m/>
  </r>
  <r>
    <x v="14"/>
    <m/>
    <m/>
    <m/>
    <m/>
    <x v="10"/>
    <n v="0"/>
    <n v="0"/>
    <m/>
  </r>
  <r>
    <x v="14"/>
    <m/>
    <m/>
    <m/>
    <m/>
    <x v="10"/>
    <n v="0"/>
    <n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556955.92538405268"/>
    <n v="10"/>
    <n v="5381133.8697878569"/>
  </r>
  <r>
    <x v="1"/>
    <n v="92419.531821506956"/>
    <n v="10"/>
    <n v="1109034.3818580834"/>
  </r>
  <r>
    <x v="2"/>
    <n v="87661.850768105345"/>
    <n v="10"/>
    <n v="915572.42136064393"/>
  </r>
  <r>
    <x v="3"/>
    <n v="0"/>
    <n v="10.5"/>
    <n v="0"/>
  </r>
  <r>
    <x v="4"/>
    <n v="0"/>
    <n v="10"/>
    <n v="0"/>
  </r>
  <r>
    <x v="5"/>
    <n v="131296.63496708122"/>
    <n v="10"/>
    <n v="1044385.5157278713"/>
  </r>
  <r>
    <x v="6"/>
    <n v="0"/>
    <n v="10"/>
    <n v="0"/>
  </r>
  <r>
    <x v="7"/>
    <n v="188184.89392831019"/>
    <n v="10"/>
    <n v="2056600.219458669"/>
  </r>
  <r>
    <x v="8"/>
    <n v="43055.961960497443"/>
    <n v="10"/>
    <n v="516671.54352596932"/>
  </r>
  <r>
    <x v="9"/>
    <n v="0"/>
    <n v="12"/>
    <n v="0"/>
  </r>
  <r>
    <x v="10"/>
    <n v="176970.55596196052"/>
    <m/>
    <n v="1769705.5596196051"/>
  </r>
  <r>
    <x v="11"/>
    <n v="0"/>
    <m/>
    <n v="0"/>
  </r>
  <r>
    <x v="12"/>
    <n v="70997.62253108999"/>
    <m/>
    <n v="709976.2253108999"/>
  </r>
  <r>
    <x v="13"/>
    <n v="0"/>
    <m/>
    <n v="0"/>
  </r>
  <r>
    <x v="14"/>
    <n v="0"/>
    <m/>
    <n v="0"/>
  </r>
  <r>
    <x v="15"/>
    <n v="0"/>
    <m/>
    <n v="0"/>
  </r>
  <r>
    <x v="16"/>
    <n v="115375.82297000733"/>
    <m/>
    <n v="1384509.87564008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d v="2026-01-20T00:00:00"/>
    <x v="0"/>
    <m/>
    <n v="3576278"/>
    <m/>
    <s v="Bank"/>
    <m/>
  </r>
  <r>
    <d v="2026-01-20T00:00:00"/>
    <x v="0"/>
    <m/>
    <n v="-610916"/>
    <m/>
    <s v="Cash"/>
    <m/>
  </r>
  <r>
    <d v="2026-01-20T00:00:00"/>
    <x v="1"/>
    <n v="4049561"/>
    <m/>
    <s v="Dec Balance"/>
    <s v="Bank"/>
    <m/>
  </r>
  <r>
    <d v="2026-01-20T00:00:00"/>
    <x v="2"/>
    <n v="734060"/>
    <m/>
    <s v="Dec Balance"/>
    <s v="Bank"/>
    <m/>
  </r>
  <r>
    <d v="2025-12-23T00:00:00"/>
    <x v="3"/>
    <m/>
    <n v="562846"/>
    <s v="Dec Balance"/>
    <s v="Bank"/>
    <m/>
  </r>
  <r>
    <d v="2026-01-21T00:00:00"/>
    <x v="1"/>
    <m/>
    <n v="15000"/>
    <s v="Cash"/>
    <s v="Bank"/>
    <m/>
  </r>
  <r>
    <d v="2026-01-21T00:00:00"/>
    <x v="4"/>
    <n v="4180"/>
    <m/>
    <s v="Amp meter"/>
    <s v="Bank"/>
    <m/>
  </r>
  <r>
    <d v="2026-01-21T00:00:00"/>
    <x v="2"/>
    <n v="6600"/>
    <m/>
    <s v="mazdoor"/>
    <s v="Bank"/>
    <m/>
  </r>
  <r>
    <d v="2026-01-21T00:00:00"/>
    <x v="5"/>
    <n v="1000"/>
    <m/>
    <s v="karaya"/>
    <s v="Bank"/>
    <m/>
  </r>
  <r>
    <d v="2026-01-21T00:00:00"/>
    <x v="6"/>
    <n v="1000"/>
    <m/>
    <s v="imtiaz opt"/>
    <s v="Bank"/>
    <m/>
  </r>
  <r>
    <d v="2026-01-21T00:00:00"/>
    <x v="5"/>
    <n v="2000"/>
    <m/>
    <s v="raksha karaya"/>
    <s v="Bank"/>
    <m/>
  </r>
  <r>
    <d v="2026-01-21T00:00:00"/>
    <x v="1"/>
    <m/>
    <n v="4180"/>
    <s v="Amp meter"/>
    <s v="Bank"/>
    <m/>
  </r>
  <r>
    <d v="2026-01-21T00:00:00"/>
    <x v="1"/>
    <m/>
    <n v="15513"/>
    <s v="diesel"/>
    <s v="Bank"/>
    <m/>
  </r>
  <r>
    <d v="2026-01-21T00:00:00"/>
    <x v="4"/>
    <n v="15513"/>
    <m/>
    <s v="diesel"/>
    <s v="Bank"/>
    <m/>
  </r>
  <r>
    <d v="2026-01-21T00:00:00"/>
    <x v="7"/>
    <n v="20000"/>
    <m/>
    <s v="atta"/>
    <s v="Bank"/>
    <m/>
  </r>
  <r>
    <d v="2026-01-21T00:00:00"/>
    <x v="6"/>
    <n v="3000"/>
    <m/>
    <s v="khubaib"/>
    <s v="Bank"/>
    <m/>
  </r>
  <r>
    <d v="2026-01-21T00:00:00"/>
    <x v="4"/>
    <n v="25500"/>
    <m/>
    <s v="boiler chemicals"/>
    <s v="Bank"/>
    <m/>
  </r>
  <r>
    <d v="2026-01-21T00:00:00"/>
    <x v="8"/>
    <n v="49200"/>
    <m/>
    <s v="BP26"/>
    <s v="Bank"/>
    <m/>
  </r>
  <r>
    <d v="2026-01-21T00:00:00"/>
    <x v="1"/>
    <m/>
    <n v="49200"/>
    <s v="BP26"/>
    <s v="Bank"/>
    <m/>
  </r>
  <r>
    <d v="2026-01-21T00:00:00"/>
    <x v="1"/>
    <m/>
    <n v="25500"/>
    <s v="boiler chemicals"/>
    <s v="Bank"/>
    <m/>
  </r>
  <r>
    <d v="2026-01-21T00:00:00"/>
    <x v="9"/>
    <m/>
    <n v="300000"/>
    <s v="TID:638585"/>
    <s v="Bank"/>
    <m/>
  </r>
  <r>
    <d v="2026-01-21T00:00:00"/>
    <x v="1"/>
    <n v="300000"/>
    <m/>
    <s v="Salman zaffar"/>
    <s v="Bank"/>
    <m/>
  </r>
  <r>
    <d v="2026-01-22T00:00:00"/>
    <x v="5"/>
    <n v="11100"/>
    <m/>
    <s v="raksha karaya"/>
    <s v="Bank"/>
    <m/>
  </r>
  <r>
    <d v="2026-01-22T00:00:00"/>
    <x v="1"/>
    <m/>
    <n v="118500"/>
    <s v="TID:115665"/>
    <s v="Bank"/>
    <m/>
  </r>
  <r>
    <d v="2026-01-22T00:00:00"/>
    <x v="6"/>
    <n v="100000"/>
    <m/>
    <s v="khalid sahab"/>
    <s v="Bank"/>
    <m/>
  </r>
  <r>
    <d v="2026-01-22T00:00:00"/>
    <x v="7"/>
    <n v="25950"/>
    <m/>
    <s v="Rashan bill Nill"/>
    <s v="Bank"/>
    <m/>
  </r>
  <r>
    <d v="2026-01-22T00:00:00"/>
    <x v="10"/>
    <m/>
    <n v="100000"/>
    <s v="TID:282717"/>
    <s v="Bank"/>
    <m/>
  </r>
  <r>
    <d v="2026-01-22T00:00:00"/>
    <x v="11"/>
    <n v="500"/>
    <m/>
    <s v="medicine"/>
    <s v="Bank"/>
    <m/>
  </r>
  <r>
    <d v="2026-01-22T00:00:00"/>
    <x v="6"/>
    <n v="10000"/>
    <m/>
    <s v="iqbal Fitter"/>
    <s v="Bank"/>
    <m/>
  </r>
  <r>
    <d v="2026-01-22T00:00:00"/>
    <x v="6"/>
    <n v="10000"/>
    <m/>
    <s v="Master Tanveer"/>
    <s v="Bank"/>
    <m/>
  </r>
  <r>
    <d v="2026-01-22T00:00:00"/>
    <x v="2"/>
    <n v="1000"/>
    <m/>
    <s v="naeem driver//mali"/>
    <s v="Bank"/>
    <m/>
  </r>
  <r>
    <d v="2026-01-22T00:00:00"/>
    <x v="12"/>
    <n v="50000"/>
    <m/>
    <s v="Ashfaq Sahab theka"/>
    <s v="Bank"/>
    <m/>
  </r>
  <r>
    <d v="2026-01-22T00:00:00"/>
    <x v="2"/>
    <n v="4000"/>
    <m/>
    <s v="grocceries"/>
    <s v="Bank"/>
    <m/>
  </r>
  <r>
    <d v="2026-01-22T00:00:00"/>
    <x v="5"/>
    <n v="500"/>
    <m/>
    <s v="bike"/>
    <s v="Bank"/>
    <m/>
  </r>
  <r>
    <d v="2026-01-23T00:00:00"/>
    <x v="13"/>
    <n v="20000"/>
    <m/>
    <s v="abid sahab"/>
    <s v="Bank"/>
    <m/>
  </r>
  <r>
    <d v="2026-01-23T00:00:00"/>
    <x v="5"/>
    <n v="5000"/>
    <m/>
    <s v="6 pheray"/>
    <s v="Bank"/>
    <m/>
  </r>
  <r>
    <m/>
    <x v="14"/>
    <m/>
    <m/>
    <m/>
    <m/>
    <m/>
  </r>
  <r>
    <d v="2026-01-23T00:00:00"/>
    <x v="11"/>
    <n v="130"/>
    <m/>
    <s v="package"/>
    <s v="Bank"/>
    <m/>
  </r>
  <r>
    <d v="2026-01-23T00:00:00"/>
    <x v="1"/>
    <m/>
    <n v="199000"/>
    <s v="TID:689702"/>
    <s v="Bank"/>
    <m/>
  </r>
  <r>
    <d v="2026-01-23T00:00:00"/>
    <x v="15"/>
    <n v="200100"/>
    <m/>
    <s v="TID:864276"/>
    <s v="Bank"/>
    <m/>
  </r>
  <r>
    <d v="2026-01-23T00:00:00"/>
    <x v="16"/>
    <m/>
    <n v="124302"/>
    <s v="TID:594554"/>
    <s v="Bank"/>
    <m/>
  </r>
  <r>
    <d v="2026-01-23T00:00:00"/>
    <x v="17"/>
    <n v="120000"/>
    <m/>
    <s v="TID:718636"/>
    <s v="Bank"/>
    <m/>
  </r>
  <r>
    <d v="2026-01-24T00:00:00"/>
    <x v="1"/>
    <m/>
    <n v="330000"/>
    <s v="TID:202050"/>
    <s v="Bank"/>
    <m/>
  </r>
  <r>
    <d v="2026-01-24T00:00:00"/>
    <x v="18"/>
    <n v="200005"/>
    <m/>
    <s v="TID:749744"/>
    <s v="Bank"/>
    <m/>
  </r>
  <r>
    <d v="2026-01-24T00:00:00"/>
    <x v="19"/>
    <n v="130000"/>
    <m/>
    <s v="TID:815907"/>
    <s v="Bank"/>
    <m/>
  </r>
  <r>
    <d v="2026-01-24T00:00:00"/>
    <x v="1"/>
    <m/>
    <n v="70000"/>
    <s v="TID:048910"/>
    <s v="Bank"/>
    <m/>
  </r>
  <r>
    <d v="2026-01-24T00:00:00"/>
    <x v="20"/>
    <n v="35000"/>
    <m/>
    <s v="TID:482867"/>
    <s v="Bank"/>
    <m/>
  </r>
  <r>
    <d v="2026-01-24T00:00:00"/>
    <x v="4"/>
    <n v="1200"/>
    <m/>
    <s v="dhaga cones"/>
    <s v="Bank"/>
    <m/>
  </r>
  <r>
    <d v="2026-01-24T00:00:00"/>
    <x v="4"/>
    <n v="1700"/>
    <m/>
    <s v="electric"/>
    <s v="Bank"/>
    <m/>
  </r>
  <r>
    <d v="2026-01-24T00:00:00"/>
    <x v="4"/>
    <n v="1320"/>
    <m/>
    <m/>
    <s v="Bank"/>
    <m/>
  </r>
  <r>
    <d v="2026-01-25T00:00:00"/>
    <x v="1"/>
    <m/>
    <n v="100000"/>
    <s v="TID:152405"/>
    <s v="Bank"/>
    <m/>
  </r>
  <r>
    <d v="2026-01-25T00:00:00"/>
    <x v="18"/>
    <n v="100000"/>
    <m/>
    <s v="TID:411138"/>
    <s v="Bank"/>
    <m/>
  </r>
  <r>
    <d v="2026-01-25T00:00:00"/>
    <x v="6"/>
    <n v="2000"/>
    <m/>
    <s v="Nasir opt"/>
    <s v="Bank"/>
    <m/>
  </r>
  <r>
    <d v="2026-01-25T00:00:00"/>
    <x v="2"/>
    <n v="4250"/>
    <m/>
    <s v="food"/>
    <s v="Bank"/>
    <m/>
  </r>
  <r>
    <d v="2026-01-25T00:00:00"/>
    <x v="5"/>
    <n v="3700"/>
    <m/>
    <s v="oil change"/>
    <s v="Bank"/>
    <m/>
  </r>
  <r>
    <d v="2026-01-24T00:00:00"/>
    <x v="5"/>
    <n v="5000"/>
    <m/>
    <s v="petrol"/>
    <s v="Bank"/>
    <m/>
  </r>
  <r>
    <d v="2026-01-25T00:00:00"/>
    <x v="2"/>
    <n v="2000"/>
    <m/>
    <s v="Altaf Stenter"/>
    <s v="Bank"/>
    <m/>
  </r>
  <r>
    <d v="2026-01-26T00:00:00"/>
    <x v="8"/>
    <n v="159250"/>
    <m/>
    <s v="Dyes"/>
    <s v="Bank"/>
    <m/>
  </r>
  <r>
    <d v="2026-01-26T00:00:00"/>
    <x v="1"/>
    <m/>
    <n v="159250"/>
    <s v="Madina dyes"/>
    <s v="Bank"/>
    <m/>
  </r>
  <r>
    <d v="2026-01-26T00:00:00"/>
    <x v="20"/>
    <n v="46360"/>
    <m/>
    <s v="Bill Nill"/>
    <s v="Bank"/>
    <m/>
  </r>
  <r>
    <d v="2026-01-26T00:00:00"/>
    <x v="4"/>
    <n v="1880"/>
    <m/>
    <s v="bearings 206"/>
    <s v="Bank"/>
    <m/>
  </r>
  <r>
    <d v="2026-01-26T00:00:00"/>
    <x v="4"/>
    <n v="530"/>
    <m/>
    <m/>
    <s v="Bank"/>
    <m/>
  </r>
  <r>
    <d v="2026-01-26T00:00:00"/>
    <x v="5"/>
    <n v="1500"/>
    <m/>
    <s v="bike petrol"/>
    <s v="Bank"/>
    <m/>
  </r>
  <r>
    <d v="2026-01-26T00:00:00"/>
    <x v="4"/>
    <n v="2900"/>
    <m/>
    <s v="bearings 207"/>
    <s v="Bank"/>
    <m/>
  </r>
  <r>
    <d v="2026-01-26T00:00:00"/>
    <x v="6"/>
    <n v="5000"/>
    <m/>
    <s v="ghulam abbas"/>
    <s v="Bank"/>
    <m/>
  </r>
  <r>
    <d v="2026-01-26T00:00:00"/>
    <x v="1"/>
    <m/>
    <n v="50000"/>
    <s v="TID:385554"/>
    <s v="Bank"/>
    <m/>
  </r>
  <r>
    <d v="2026-01-26T00:00:00"/>
    <x v="4"/>
    <n v="4000"/>
    <m/>
    <m/>
    <s v="Bank"/>
    <m/>
  </r>
  <r>
    <d v="2026-01-26T00:00:00"/>
    <x v="18"/>
    <n v="100113"/>
    <m/>
    <s v="TID:345956"/>
    <s v="Bank"/>
    <m/>
  </r>
  <r>
    <d v="2026-01-26T00:00:00"/>
    <x v="1"/>
    <m/>
    <n v="45000"/>
    <s v="TID:997746"/>
    <s v="Bank"/>
    <m/>
  </r>
  <r>
    <d v="2026-01-26T00:00:00"/>
    <x v="1"/>
    <m/>
    <n v="100000"/>
    <s v="TID:942006"/>
    <s v="Bank"/>
    <m/>
  </r>
  <r>
    <d v="2026-01-26T00:00:00"/>
    <x v="3"/>
    <n v="760"/>
    <m/>
    <m/>
    <s v="Bank"/>
    <m/>
  </r>
  <r>
    <d v="2026-01-26T00:00:00"/>
    <x v="5"/>
    <n v="1800"/>
    <m/>
    <s v="raksha karaya"/>
    <s v="Bank"/>
    <m/>
  </r>
  <r>
    <d v="2026-01-26T00:00:00"/>
    <x v="2"/>
    <n v="3000"/>
    <m/>
    <s v="Altaf Stenter"/>
    <s v="Bank"/>
    <m/>
  </r>
  <r>
    <d v="2026-01-27T00:00:00"/>
    <x v="1"/>
    <m/>
    <n v="20000"/>
    <s v="cash"/>
    <s v="Bank"/>
    <m/>
  </r>
  <r>
    <d v="2026-01-27T00:00:00"/>
    <x v="11"/>
    <n v="3000"/>
    <m/>
    <s v="mithai"/>
    <s v="Bank"/>
    <m/>
  </r>
  <r>
    <d v="2026-01-27T00:00:00"/>
    <x v="4"/>
    <n v="3500"/>
    <m/>
    <s v="sirens"/>
    <s v="Bank"/>
    <m/>
  </r>
  <r>
    <d v="2026-01-27T00:00:00"/>
    <x v="6"/>
    <n v="2000"/>
    <m/>
    <s v="Master Tanveer"/>
    <s v="Bank"/>
    <m/>
  </r>
  <r>
    <d v="2026-01-27T00:00:00"/>
    <x v="5"/>
    <n v="500"/>
    <m/>
    <s v="karaya"/>
    <s v="Bank"/>
    <m/>
  </r>
  <r>
    <d v="2026-01-27T00:00:00"/>
    <x v="21"/>
    <m/>
    <n v="125000"/>
    <s v="TID:785409"/>
    <s v="Bank"/>
    <m/>
  </r>
  <r>
    <d v="2026-01-27T00:00:00"/>
    <x v="21"/>
    <m/>
    <n v="100000"/>
    <s v="TID:652533"/>
    <s v="Bank"/>
    <m/>
  </r>
  <r>
    <d v="2026-01-27T00:00:00"/>
    <x v="6"/>
    <n v="100000"/>
    <m/>
    <s v="khalid sahab"/>
    <s v="Bank"/>
    <m/>
  </r>
  <r>
    <d v="2026-01-27T00:00:00"/>
    <x v="3"/>
    <n v="950"/>
    <m/>
    <m/>
    <s v="Bank"/>
    <m/>
  </r>
  <r>
    <d v="2026-01-28T00:00:00"/>
    <x v="4"/>
    <n v="1610"/>
    <m/>
    <s v="sunsuper parts"/>
    <s v="Bank"/>
    <m/>
  </r>
  <r>
    <d v="2026-01-28T00:00:00"/>
    <x v="1"/>
    <m/>
    <n v="60000"/>
    <s v="TID:262592"/>
    <s v="Bank"/>
    <m/>
  </r>
  <r>
    <d v="2026-01-28T00:00:00"/>
    <x v="19"/>
    <n v="150000"/>
    <m/>
    <s v="TID:293711"/>
    <s v="Bank"/>
    <m/>
  </r>
  <r>
    <d v="2026-01-23T00:00:00"/>
    <x v="9"/>
    <m/>
    <n v="40000"/>
    <s v="TID:105048"/>
    <s v="Bank"/>
    <m/>
  </r>
  <r>
    <d v="2026-01-23T00:00:00"/>
    <x v="1"/>
    <n v="40000"/>
    <m/>
    <s v="Salman zaffar"/>
    <s v="Bank"/>
    <m/>
  </r>
  <r>
    <d v="2026-01-28T00:00:00"/>
    <x v="9"/>
    <m/>
    <n v="300000"/>
    <s v="TID:530992"/>
    <s v="Bank"/>
    <m/>
  </r>
  <r>
    <d v="2026-01-28T00:00:00"/>
    <x v="11"/>
    <n v="15000"/>
    <m/>
    <s v="civil defence xyz"/>
    <s v="Bank"/>
    <m/>
  </r>
  <r>
    <d v="2026-01-28T00:00:00"/>
    <x v="11"/>
    <n v="2800"/>
    <m/>
    <s v="8x fire buckets"/>
    <s v="Bank"/>
    <m/>
  </r>
  <r>
    <d v="2026-01-28T00:00:00"/>
    <x v="17"/>
    <n v="125000"/>
    <m/>
    <s v="TID:519631"/>
    <s v="Bank"/>
    <m/>
  </r>
  <r>
    <d v="2026-01-28T00:00:00"/>
    <x v="22"/>
    <m/>
    <n v="300000"/>
    <s v="TID:585792"/>
    <s v="Bank"/>
    <m/>
  </r>
  <r>
    <d v="2026-01-28T00:00:00"/>
    <x v="5"/>
    <n v="5000"/>
    <m/>
    <s v="Car petrol"/>
    <s v="Bank"/>
    <m/>
  </r>
  <r>
    <d v="2026-01-28T00:00:00"/>
    <x v="6"/>
    <n v="5000"/>
    <m/>
    <s v="naeem electric"/>
    <s v="Bank"/>
    <m/>
  </r>
  <r>
    <d v="2026-01-28T00:00:00"/>
    <x v="6"/>
    <n v="1000"/>
    <m/>
    <s v="iqbal Fitter"/>
    <s v="Bank"/>
    <m/>
  </r>
  <r>
    <d v="2026-01-28T00:00:00"/>
    <x v="6"/>
    <n v="1000"/>
    <m/>
    <s v="Master Tanveer"/>
    <s v="Bank"/>
    <m/>
  </r>
  <r>
    <d v="2026-01-28T00:00:00"/>
    <x v="6"/>
    <n v="500"/>
    <m/>
    <s v="Nasir opt"/>
    <s v="Bank"/>
    <m/>
  </r>
  <r>
    <d v="2026-01-29T00:00:00"/>
    <x v="22"/>
    <m/>
    <n v="400000"/>
    <m/>
    <s v="Bank"/>
    <m/>
  </r>
  <r>
    <d v="2026-01-29T00:00:00"/>
    <x v="1"/>
    <m/>
    <n v="20000"/>
    <s v="25K-5k"/>
    <s v="Bank"/>
    <m/>
  </r>
  <r>
    <d v="2026-01-29T00:00:00"/>
    <x v="1"/>
    <m/>
    <n v="50000"/>
    <s v="TID:090225"/>
    <s v="Bank"/>
    <m/>
  </r>
  <r>
    <d v="2026-01-29T00:00:00"/>
    <x v="1"/>
    <m/>
    <n v="100000"/>
    <s v="Cash//Farman sahab"/>
    <s v="Bank"/>
    <m/>
  </r>
  <r>
    <m/>
    <x v="5"/>
    <n v="5000"/>
    <m/>
    <s v="petrol 697"/>
    <s v="Bank"/>
    <m/>
  </r>
  <r>
    <d v="2026-01-29T00:00:00"/>
    <x v="12"/>
    <m/>
    <m/>
    <s v="Master Tanveer"/>
    <s v="Bank"/>
    <m/>
  </r>
  <r>
    <d v="2026-01-29T00:00:00"/>
    <x v="6"/>
    <n v="20000"/>
    <m/>
    <s v="Nasir opt"/>
    <s v="Bank"/>
    <m/>
  </r>
  <r>
    <d v="2026-01-29T00:00:00"/>
    <x v="5"/>
    <n v="4000"/>
    <m/>
    <s v="sm karaya"/>
    <s v="Bank"/>
    <m/>
  </r>
  <r>
    <d v="2026-01-29T00:00:00"/>
    <x v="5"/>
    <n v="2400"/>
    <m/>
    <s v="dyes karaya"/>
    <s v="Bank"/>
    <m/>
  </r>
  <r>
    <d v="2026-01-29T00:00:00"/>
    <x v="12"/>
    <m/>
    <m/>
    <s v="General"/>
    <s v="Bank"/>
    <m/>
  </r>
  <r>
    <d v="2026-01-29T00:00:00"/>
    <x v="7"/>
    <n v="9000"/>
    <m/>
    <s v="daig"/>
    <s v="Bank"/>
    <m/>
  </r>
  <r>
    <d v="2026-01-29T00:00:00"/>
    <x v="12"/>
    <m/>
    <m/>
    <s v="Master Tanveer//daig"/>
    <s v="Bank"/>
    <m/>
  </r>
  <r>
    <d v="2026-01-29T00:00:00"/>
    <x v="5"/>
    <n v="5000"/>
    <m/>
    <s v="petrol"/>
    <s v="Bank"/>
    <m/>
  </r>
  <r>
    <d v="2026-01-29T00:00:00"/>
    <x v="3"/>
    <n v="760"/>
    <m/>
    <m/>
    <s v="Bank"/>
    <m/>
  </r>
  <r>
    <d v="2026-01-29T00:00:00"/>
    <x v="2"/>
    <n v="600"/>
    <m/>
    <s v="Abdullah indrive"/>
    <s v="Bank"/>
    <m/>
  </r>
  <r>
    <d v="2026-01-31T00:00:00"/>
    <x v="12"/>
    <n v="12800"/>
    <m/>
    <s v="farhaan"/>
    <s v="Bank"/>
    <m/>
  </r>
  <r>
    <d v="2026-01-31T00:00:00"/>
    <x v="6"/>
    <n v="5000"/>
    <m/>
    <s v="Waqas ADM"/>
    <s v="Bank"/>
    <m/>
  </r>
  <r>
    <d v="2026-01-30T00:00:00"/>
    <x v="5"/>
    <n v="2400"/>
    <m/>
    <s v="raksha karaya"/>
    <s v="Bank"/>
    <m/>
  </r>
  <r>
    <d v="2026-01-30T00:00:00"/>
    <x v="7"/>
    <n v="4050"/>
    <m/>
    <s v="daig"/>
    <s v="Bank"/>
    <m/>
  </r>
  <r>
    <d v="2026-01-30T00:00:00"/>
    <x v="11"/>
    <n v="5854"/>
    <m/>
    <s v="medicine"/>
    <s v="Bank"/>
    <m/>
  </r>
  <r>
    <d v="2026-01-30T00:00:00"/>
    <x v="4"/>
    <n v="10000"/>
    <m/>
    <s v="L key bolts"/>
    <s v="Bank"/>
    <m/>
  </r>
  <r>
    <d v="2026-01-30T00:00:00"/>
    <x v="1"/>
    <m/>
    <n v="25000"/>
    <s v="TID:150159"/>
    <s v="Bank"/>
    <m/>
  </r>
  <r>
    <d v="2026-01-30T00:00:00"/>
    <x v="4"/>
    <n v="1100"/>
    <m/>
    <s v="belt"/>
    <s v="Bank"/>
    <m/>
  </r>
  <r>
    <d v="2026-01-30T00:00:00"/>
    <x v="3"/>
    <n v="1000"/>
    <m/>
    <s v="sadapay"/>
    <s v="Bank"/>
    <m/>
  </r>
  <r>
    <d v="2026-01-31T00:00:00"/>
    <x v="4"/>
    <n v="3760"/>
    <m/>
    <s v="nuts"/>
    <s v="Bank"/>
    <m/>
  </r>
  <r>
    <d v="2026-01-31T00:00:00"/>
    <x v="4"/>
    <n v="1850"/>
    <m/>
    <m/>
    <s v="Bank"/>
    <m/>
  </r>
  <r>
    <d v="2026-01-31T00:00:00"/>
    <x v="21"/>
    <m/>
    <n v="90000"/>
    <s v="TID:142712"/>
    <s v="Bank"/>
    <m/>
  </r>
  <r>
    <d v="2026-01-31T00:00:00"/>
    <x v="4"/>
    <n v="2750"/>
    <m/>
    <s v="looper"/>
    <s v="Bank"/>
    <m/>
  </r>
  <r>
    <d v="2026-01-31T00:00:00"/>
    <x v="9"/>
    <m/>
    <n v="150000"/>
    <s v="TID:387084"/>
    <s v="Bank"/>
    <m/>
  </r>
  <r>
    <d v="2026-01-31T00:00:00"/>
    <x v="9"/>
    <m/>
    <n v="20000"/>
    <s v="Cash"/>
    <s v="Bank"/>
    <m/>
  </r>
  <r>
    <d v="2026-01-31T00:00:00"/>
    <x v="23"/>
    <n v="20400"/>
    <m/>
    <s v="SM"/>
    <s v="Bank"/>
    <m/>
  </r>
  <r>
    <d v="2026-01-31T00:00:00"/>
    <x v="15"/>
    <n v="90000"/>
    <m/>
    <s v="TID:437715"/>
    <s v="Bank"/>
    <m/>
  </r>
  <r>
    <d v="2026-01-31T00:00:00"/>
    <x v="18"/>
    <n v="100200"/>
    <m/>
    <s v="TID:742063"/>
    <s v="Bank"/>
    <m/>
  </r>
  <r>
    <d v="2026-01-31T00:00:00"/>
    <x v="3"/>
    <m/>
    <n v="136637.20398683249"/>
    <s v="Dec Salary"/>
    <s v="Bank"/>
    <m/>
  </r>
  <r>
    <d v="2026-01-31T00:00:00"/>
    <x v="24"/>
    <n v="136637.20398683249"/>
    <m/>
    <s v="Dec Salary"/>
    <s v="Bank"/>
    <m/>
  </r>
  <r>
    <d v="2026-01-31T00:00:00"/>
    <x v="13"/>
    <n v="20000"/>
    <m/>
    <s v="abid sahab"/>
    <s v="Bank"/>
    <m/>
  </r>
  <r>
    <d v="2026-02-01T00:00:00"/>
    <x v="22"/>
    <m/>
    <n v="300000"/>
    <s v="TID:818579"/>
    <s v="Bank"/>
    <m/>
  </r>
  <r>
    <d v="2026-02-01T00:00:00"/>
    <x v="18"/>
    <n v="100101"/>
    <m/>
    <s v="TID:965652"/>
    <s v="Bank"/>
    <m/>
  </r>
  <r>
    <d v="2026-02-01T00:00:00"/>
    <x v="4"/>
    <n v="2900"/>
    <m/>
    <s v="box"/>
    <s v="Bank"/>
    <m/>
  </r>
  <r>
    <d v="2026-02-01T00:00:00"/>
    <x v="11"/>
    <n v="1000"/>
    <m/>
    <s v="500+500 karaya"/>
    <s v="Bank"/>
    <m/>
  </r>
  <r>
    <d v="2026-02-01T00:00:00"/>
    <x v="11"/>
    <n v="3720"/>
    <m/>
    <s v="cylinder"/>
    <s v="Bank"/>
    <m/>
  </r>
  <r>
    <d v="2026-02-01T00:00:00"/>
    <x v="15"/>
    <n v="200280"/>
    <m/>
    <s v="TID:836243"/>
    <s v="Bank"/>
    <m/>
  </r>
  <r>
    <d v="2026-01-30T00:00:00"/>
    <x v="2"/>
    <n v="2500"/>
    <m/>
    <s v="food"/>
    <s v="Bank"/>
    <m/>
  </r>
  <r>
    <d v="2026-01-31T00:00:00"/>
    <x v="3"/>
    <n v="5750"/>
    <m/>
    <m/>
    <s v="Bank"/>
    <m/>
  </r>
  <r>
    <d v="2026-01-31T00:00:00"/>
    <x v="1"/>
    <n v="20000"/>
    <m/>
    <s v="Salman zaffar//cash"/>
    <s v="Bank"/>
    <m/>
  </r>
  <r>
    <d v="2026-02-02T00:00:00"/>
    <x v="25"/>
    <m/>
    <n v="300000"/>
    <s v="TID:741025"/>
    <s v="Bank"/>
    <m/>
  </r>
  <r>
    <d v="2026-02-02T00:00:00"/>
    <x v="26"/>
    <n v="1000"/>
    <m/>
    <s v="naeem driver dasti"/>
    <s v="Bank"/>
    <m/>
  </r>
  <r>
    <d v="2026-02-02T00:00:00"/>
    <x v="17"/>
    <n v="150000"/>
    <m/>
    <s v="TID:500949"/>
    <s v="Bank"/>
    <m/>
  </r>
  <r>
    <d v="2026-02-02T00:00:00"/>
    <x v="19"/>
    <n v="100200"/>
    <m/>
    <s v="TID:688367"/>
    <s v="Bank"/>
    <m/>
  </r>
  <r>
    <d v="2026-02-02T00:00:00"/>
    <x v="12"/>
    <n v="28000"/>
    <m/>
    <s v="iqbal Fitter"/>
    <s v="Bank"/>
    <m/>
  </r>
  <r>
    <d v="2026-02-02T00:00:00"/>
    <x v="7"/>
    <n v="22640"/>
    <m/>
    <s v="Bill Nill"/>
    <s v="Bank"/>
    <m/>
  </r>
  <r>
    <d v="2026-02-02T00:00:00"/>
    <x v="27"/>
    <m/>
    <n v="200000"/>
    <s v="TID:067596"/>
    <s v="Bank"/>
    <m/>
  </r>
  <r>
    <d v="2026-02-02T00:00:00"/>
    <x v="12"/>
    <m/>
    <m/>
    <s v="Ashfaq Sahab theka"/>
    <s v="Bank"/>
    <m/>
  </r>
  <r>
    <d v="2026-02-02T00:00:00"/>
    <x v="12"/>
    <m/>
    <m/>
    <s v="khubaib"/>
    <s v="Bank"/>
    <m/>
  </r>
  <r>
    <d v="2026-02-02T00:00:00"/>
    <x v="12"/>
    <m/>
    <m/>
    <s v="Master Tanveer"/>
    <s v="Bank"/>
    <m/>
  </r>
  <r>
    <d v="2026-02-02T00:00:00"/>
    <x v="5"/>
    <n v="2500"/>
    <m/>
    <s v="kora karaya"/>
    <s v="Bank"/>
    <m/>
  </r>
  <r>
    <d v="2026-02-02T00:00:00"/>
    <x v="18"/>
    <n v="200144"/>
    <m/>
    <s v="TID:842255"/>
    <s v="Bank"/>
    <m/>
  </r>
  <r>
    <d v="2026-02-02T00:00:00"/>
    <x v="28"/>
    <m/>
    <n v="300000"/>
    <s v="TID:181245"/>
    <s v="Bank"/>
    <m/>
  </r>
  <r>
    <d v="2026-02-02T00:00:00"/>
    <x v="5"/>
    <n v="5000"/>
    <m/>
    <s v="petrol"/>
    <s v="Bank"/>
    <m/>
  </r>
  <r>
    <d v="2026-02-02T00:00:00"/>
    <x v="2"/>
    <n v="10000"/>
    <m/>
    <s v="grocceries"/>
    <s v="Bank"/>
    <m/>
  </r>
  <r>
    <d v="2026-02-02T00:00:00"/>
    <x v="12"/>
    <m/>
    <m/>
    <s v="khubaib"/>
    <s v="Bank"/>
    <m/>
  </r>
  <r>
    <d v="2026-02-02T00:00:00"/>
    <x v="29"/>
    <m/>
    <n v="150000"/>
    <s v="TID:204907"/>
    <s v="Bank"/>
    <m/>
  </r>
  <r>
    <d v="2026-02-02T00:00:00"/>
    <x v="1"/>
    <n v="222560"/>
    <m/>
    <s v="Fast//Abdullah"/>
    <s v="Bank"/>
    <m/>
  </r>
  <r>
    <d v="2026-02-03T00:00:00"/>
    <x v="5"/>
    <n v="2800"/>
    <m/>
    <s v="fuel pump"/>
    <s v="Bank"/>
    <m/>
  </r>
  <r>
    <d v="2026-02-03T00:00:00"/>
    <x v="11"/>
    <n v="900"/>
    <m/>
    <s v="registers"/>
    <s v="Bank"/>
    <m/>
  </r>
  <r>
    <d v="2026-02-03T00:00:00"/>
    <x v="5"/>
    <n v="350"/>
    <m/>
    <s v="fuel pipe"/>
    <s v="Bank"/>
    <m/>
  </r>
  <r>
    <d v="2026-02-03T00:00:00"/>
    <x v="1"/>
    <m/>
    <n v="28000"/>
    <s v="chain oil"/>
    <s v="Bank"/>
    <m/>
  </r>
  <r>
    <d v="2026-02-03T00:00:00"/>
    <x v="4"/>
    <n v="28000"/>
    <m/>
    <s v="chain oil"/>
    <s v="Bank"/>
    <m/>
  </r>
  <r>
    <d v="2026-02-03T00:00:00"/>
    <x v="27"/>
    <m/>
    <n v="200000"/>
    <s v="Against Cash//Jahangir Sb"/>
    <s v="Bank"/>
    <m/>
  </r>
  <r>
    <d v="2026-02-03T00:00:00"/>
    <x v="11"/>
    <n v="150015"/>
    <m/>
    <s v="Environment"/>
    <s v="Bank"/>
    <m/>
  </r>
  <r>
    <d v="2026-02-03T00:00:00"/>
    <x v="3"/>
    <n v="130"/>
    <m/>
    <m/>
    <s v="Bank"/>
    <m/>
  </r>
  <r>
    <d v="2026-02-03T00:00:00"/>
    <x v="3"/>
    <n v="600"/>
    <m/>
    <m/>
    <s v="Bank"/>
    <m/>
  </r>
  <r>
    <d v="2026-02-03T00:00:00"/>
    <x v="13"/>
    <n v="20000"/>
    <m/>
    <s v="abid sahab"/>
    <s v="Bank"/>
    <m/>
  </r>
  <r>
    <d v="2026-02-03T00:00:00"/>
    <x v="5"/>
    <n v="3500"/>
    <m/>
    <s v="raksha karaya"/>
    <s v="Bank"/>
    <m/>
  </r>
  <r>
    <d v="2026-02-03T00:00:00"/>
    <x v="30"/>
    <m/>
    <n v="250000"/>
    <m/>
    <s v="Bank"/>
    <m/>
  </r>
  <r>
    <d v="2026-02-03T00:00:00"/>
    <x v="18"/>
    <n v="150224"/>
    <m/>
    <s v="TID:949920"/>
    <s v="Bank"/>
    <m/>
  </r>
  <r>
    <d v="2026-02-03T00:00:00"/>
    <x v="17"/>
    <n v="100500"/>
    <m/>
    <s v="TID:311969"/>
    <s v="Bank"/>
    <m/>
  </r>
  <r>
    <d v="2026-02-03T00:00:00"/>
    <x v="11"/>
    <n v="2500"/>
    <m/>
    <s v="Bank charges BAHL"/>
    <s v="Bank"/>
    <m/>
  </r>
  <r>
    <d v="2026-02-02T00:00:00"/>
    <x v="11"/>
    <n v="8616"/>
    <m/>
    <s v="Faizan//Transport"/>
    <s v="Bank"/>
    <m/>
  </r>
  <r>
    <d v="2026-02-02T00:00:00"/>
    <x v="25"/>
    <m/>
    <n v="8616"/>
    <s v="Transport adjust"/>
    <s v="Bank"/>
    <m/>
  </r>
  <r>
    <d v="2026-02-04T00:00:00"/>
    <x v="11"/>
    <n v="15000"/>
    <m/>
    <s v="Environment"/>
    <s v="Bank"/>
    <m/>
  </r>
  <r>
    <d v="2026-02-04T00:00:00"/>
    <x v="12"/>
    <m/>
    <m/>
    <s v="Ali Raza"/>
    <s v="Bank"/>
    <m/>
  </r>
  <r>
    <d v="2026-02-04T00:00:00"/>
    <x v="21"/>
    <m/>
    <n v="100000"/>
    <s v="TID:515154"/>
    <s v="Bank"/>
    <m/>
  </r>
  <r>
    <d v="2026-02-04T00:00:00"/>
    <x v="4"/>
    <n v="1000"/>
    <m/>
    <m/>
    <s v="Bank"/>
    <m/>
  </r>
  <r>
    <d v="2026-02-04T00:00:00"/>
    <x v="11"/>
    <n v="2600"/>
    <m/>
    <s v="package device"/>
    <s v="Bank"/>
    <m/>
  </r>
  <r>
    <d v="2026-02-04T00:00:00"/>
    <x v="12"/>
    <m/>
    <m/>
    <s v="Bajwa"/>
    <s v="Bank"/>
    <m/>
  </r>
  <r>
    <d v="2026-02-04T00:00:00"/>
    <x v="17"/>
    <n v="150000"/>
    <m/>
    <s v="TID:882485"/>
    <s v="Bank"/>
    <m/>
  </r>
  <r>
    <d v="2026-02-04T00:00:00"/>
    <x v="1"/>
    <m/>
    <n v="125222"/>
    <s v="Kora sale"/>
    <s v="Bank"/>
    <m/>
  </r>
  <r>
    <d v="2026-02-04T00:00:00"/>
    <x v="6"/>
    <n v="2000"/>
    <m/>
    <s v="waseem helper"/>
    <s v="Bank"/>
    <m/>
  </r>
  <r>
    <d v="2026-02-04T00:00:00"/>
    <x v="11"/>
    <n v="1500"/>
    <m/>
    <s v="medicine"/>
    <s v="Bank"/>
    <m/>
  </r>
  <r>
    <d v="2026-02-04T00:00:00"/>
    <x v="5"/>
    <n v="2650"/>
    <m/>
    <s v="builty karaya"/>
    <s v="Bank"/>
    <m/>
  </r>
  <r>
    <d v="2026-02-04T00:00:00"/>
    <x v="5"/>
    <n v="2200"/>
    <m/>
    <s v="workshop"/>
    <s v="Bank"/>
    <m/>
  </r>
  <r>
    <d v="2026-02-04T00:00:00"/>
    <x v="3"/>
    <n v="1360"/>
    <m/>
    <m/>
    <s v="Bank"/>
    <m/>
  </r>
  <r>
    <d v="2026-02-05T00:00:00"/>
    <x v="4"/>
    <n v="1400"/>
    <m/>
    <s v="looms "/>
    <s v="Bank"/>
    <m/>
  </r>
  <r>
    <d v="2026-02-05T00:00:00"/>
    <x v="9"/>
    <m/>
    <n v="140000"/>
    <s v="TID:241738"/>
    <s v="Bank"/>
    <m/>
  </r>
  <r>
    <d v="2026-02-05T00:00:00"/>
    <x v="12"/>
    <n v="20000"/>
    <m/>
    <s v="khalid sahab"/>
    <s v="Bank"/>
    <m/>
  </r>
  <r>
    <d v="2026-02-05T00:00:00"/>
    <x v="5"/>
    <n v="7000"/>
    <m/>
    <s v="amjad sohail kora"/>
    <s v="Bank"/>
    <m/>
  </r>
  <r>
    <d v="2026-02-05T00:00:00"/>
    <x v="4"/>
    <n v="3300"/>
    <m/>
    <s v="lights"/>
    <s v="Bank"/>
    <m/>
  </r>
  <r>
    <d v="2026-02-05T00:00:00"/>
    <x v="4"/>
    <n v="4675"/>
    <m/>
    <s v="copper"/>
    <s v="Bank"/>
    <m/>
  </r>
  <r>
    <d v="2026-02-05T00:00:00"/>
    <x v="27"/>
    <m/>
    <n v="100000"/>
    <s v="TID:183397"/>
    <s v="Bank"/>
    <m/>
  </r>
  <r>
    <d v="2026-02-05T00:00:00"/>
    <x v="16"/>
    <m/>
    <n v="100000"/>
    <m/>
    <s v="Bank"/>
    <m/>
  </r>
  <r>
    <d v="2026-02-05T00:00:00"/>
    <x v="1"/>
    <m/>
    <n v="40000"/>
    <s v="loom ac"/>
    <s v="Bank"/>
    <m/>
  </r>
  <r>
    <d v="2026-02-05T00:00:00"/>
    <x v="13"/>
    <n v="40000"/>
    <m/>
    <s v="Master abid"/>
    <s v="Bank"/>
    <m/>
  </r>
  <r>
    <d v="2026-02-05T00:00:00"/>
    <x v="6"/>
    <n v="3000"/>
    <m/>
    <s v="imtiaz operator"/>
    <s v="Bank"/>
    <m/>
  </r>
  <r>
    <d v="2026-02-05T00:00:00"/>
    <x v="6"/>
    <n v="15000"/>
    <m/>
    <s v="naeem electric"/>
    <s v="Bank"/>
    <m/>
  </r>
  <r>
    <d v="2026-02-05T00:00:00"/>
    <x v="18"/>
    <n v="200119"/>
    <m/>
    <s v="TID:074649"/>
    <s v="Bank"/>
    <m/>
  </r>
  <r>
    <d v="2026-02-05T00:00:00"/>
    <x v="2"/>
    <n v="3310"/>
    <m/>
    <s v="kfc//Ahmad"/>
    <s v="Bank"/>
    <m/>
  </r>
  <r>
    <d v="2026-02-05T00:00:00"/>
    <x v="5"/>
    <n v="1400"/>
    <m/>
    <s v="builty karaya"/>
    <s v="Bank"/>
    <m/>
  </r>
  <r>
    <d v="2026-02-06T00:00:00"/>
    <x v="3"/>
    <n v="1850"/>
    <m/>
    <s v="750c+1100b"/>
    <s v="Bank"/>
    <m/>
  </r>
  <r>
    <d v="2026-02-06T00:00:00"/>
    <x v="12"/>
    <n v="20000"/>
    <m/>
    <s v="khalid sahab"/>
    <s v="Bank"/>
    <m/>
  </r>
  <r>
    <d v="2026-02-06T00:00:00"/>
    <x v="5"/>
    <n v="5000"/>
    <m/>
    <s v="Petrol 464"/>
    <s v="Bank"/>
    <m/>
  </r>
  <r>
    <d v="2026-02-06T00:00:00"/>
    <x v="4"/>
    <n v="1500"/>
    <m/>
    <s v="ID fan"/>
    <s v="Bank"/>
    <m/>
  </r>
  <r>
    <d v="2026-02-06T00:00:00"/>
    <x v="19"/>
    <n v="100000"/>
    <m/>
    <s v="TID:934904"/>
    <s v="Bank"/>
    <m/>
  </r>
  <r>
    <d v="2026-02-06T00:00:00"/>
    <x v="6"/>
    <n v="20000"/>
    <m/>
    <s v="Usama jet Depart"/>
    <s v="Bank"/>
    <m/>
  </r>
  <r>
    <d v="2026-02-06T00:00:00"/>
    <x v="17"/>
    <n v="150500"/>
    <m/>
    <s v="TID:994315"/>
    <s v="Bank"/>
    <m/>
  </r>
  <r>
    <d v="2026-02-06T00:00:00"/>
    <x v="6"/>
    <n v="5000"/>
    <m/>
    <s v="Dilawar elc"/>
    <s v="Bank"/>
    <m/>
  </r>
  <r>
    <d v="2026-02-06T00:00:00"/>
    <x v="1"/>
    <m/>
    <n v="65000"/>
    <s v="TID:002397"/>
    <s v="Bank"/>
    <m/>
  </r>
  <r>
    <d v="2026-02-06T00:00:00"/>
    <x v="1"/>
    <m/>
    <n v="150000"/>
    <s v="TID:837554"/>
    <s v="Bank"/>
    <m/>
  </r>
  <r>
    <d v="2026-02-06T00:00:00"/>
    <x v="21"/>
    <m/>
    <n v="100000"/>
    <s v="TID:096345"/>
    <s v="Bank"/>
    <m/>
  </r>
  <r>
    <d v="2026-02-07T00:00:00"/>
    <x v="3"/>
    <n v="100000"/>
    <m/>
    <s v="Ejaz Sahab//TID:520945"/>
    <s v="Bank"/>
    <m/>
  </r>
  <r>
    <d v="2026-02-07T00:00:00"/>
    <x v="6"/>
    <n v="2923"/>
    <m/>
    <s v="khubaib//Package"/>
    <s v="Bank"/>
    <m/>
  </r>
  <r>
    <d v="2026-02-07T00:00:00"/>
    <x v="1"/>
    <m/>
    <n v="75000"/>
    <s v="TID:573841"/>
    <s v="Bank"/>
    <m/>
  </r>
  <r>
    <d v="2026-02-07T00:00:00"/>
    <x v="1"/>
    <m/>
    <n v="15000"/>
    <s v="NP9"/>
    <s v="Bank"/>
    <m/>
  </r>
  <r>
    <d v="2026-02-07T00:00:00"/>
    <x v="8"/>
    <n v="15000"/>
    <m/>
    <s v="NP9"/>
    <s v="Bank"/>
    <m/>
  </r>
  <r>
    <d v="2026-02-07T00:00:00"/>
    <x v="1"/>
    <m/>
    <n v="349000"/>
    <s v="TID:544807"/>
    <s v="Bank"/>
    <m/>
  </r>
  <r>
    <d v="2026-02-07T00:00:00"/>
    <x v="19"/>
    <n v="100060"/>
    <m/>
    <s v="TID:573157"/>
    <s v="Bank"/>
    <m/>
  </r>
  <r>
    <d v="2026-02-07T00:00:00"/>
    <x v="18"/>
    <n v="100000"/>
    <m/>
    <s v="TID:135016"/>
    <s v="Bank"/>
    <m/>
  </r>
  <r>
    <d v="2026-02-07T00:00:00"/>
    <x v="17"/>
    <n v="64000"/>
    <m/>
    <s v="Freight"/>
    <s v="Bank"/>
    <m/>
  </r>
  <r>
    <d v="2026-02-07T00:00:00"/>
    <x v="17"/>
    <n v="100808"/>
    <m/>
    <s v="TID:738450"/>
    <s v="Bank"/>
    <m/>
  </r>
  <r>
    <d v="2026-02-07T00:00:00"/>
    <x v="31"/>
    <n v="60000"/>
    <m/>
    <s v="TID:577812"/>
    <s v="Bank"/>
    <m/>
  </r>
  <r>
    <d v="2026-02-07T00:00:00"/>
    <x v="3"/>
    <n v="6240"/>
    <m/>
    <m/>
    <s v="Bank"/>
    <m/>
  </r>
  <r>
    <d v="2026-02-07T00:00:00"/>
    <x v="6"/>
    <n v="5000"/>
    <m/>
    <s v="Master Waheed"/>
    <s v="Bank"/>
    <m/>
  </r>
  <r>
    <d v="2026-02-07T00:00:00"/>
    <x v="6"/>
    <n v="2000"/>
    <m/>
    <s v="Nazam"/>
    <s v="Bank"/>
    <m/>
  </r>
  <r>
    <d v="2026-02-08T00:00:00"/>
    <x v="11"/>
    <n v="2500"/>
    <m/>
    <s v="1500paint+1000painter"/>
    <s v="Bank"/>
    <m/>
  </r>
  <r>
    <d v="2026-02-08T00:00:00"/>
    <x v="6"/>
    <n v="5000"/>
    <m/>
    <s v="Master Tanveer"/>
    <s v="Bank"/>
    <m/>
  </r>
  <r>
    <d v="2026-02-09T00:00:00"/>
    <x v="6"/>
    <n v="20000"/>
    <m/>
    <s v="Anayat headman"/>
    <s v="Bank"/>
    <m/>
  </r>
  <r>
    <d v="2026-02-09T00:00:00"/>
    <x v="11"/>
    <n v="5000"/>
    <m/>
    <s v="Environment"/>
    <s v="Bank"/>
    <m/>
  </r>
  <r>
    <d v="2026-02-09T00:00:00"/>
    <x v="11"/>
    <n v="780"/>
    <m/>
    <s v="prints//stamps//stapler pins etc"/>
    <s v="Bank"/>
    <m/>
  </r>
  <r>
    <d v="2026-02-09T00:00:00"/>
    <x v="30"/>
    <m/>
    <n v="250000"/>
    <s v="Reciept#430"/>
    <s v="Bank"/>
    <m/>
  </r>
  <r>
    <d v="2026-02-09T00:00:00"/>
    <x v="21"/>
    <m/>
    <n v="50000"/>
    <s v="Cash"/>
    <s v="Bank"/>
    <m/>
  </r>
  <r>
    <d v="2026-02-09T00:00:00"/>
    <x v="32"/>
    <n v="50000"/>
    <m/>
    <s v="Bill Adjusted-Nill"/>
    <s v="Bank"/>
    <m/>
  </r>
  <r>
    <d v="2026-02-09T00:00:00"/>
    <x v="6"/>
    <n v="1000"/>
    <m/>
    <s v="Stenter/300*3"/>
    <s v="Bank"/>
    <m/>
  </r>
  <r>
    <d v="2026-02-09T00:00:00"/>
    <x v="5"/>
    <n v="2000"/>
    <m/>
    <s v="petrol loader"/>
    <s v="Bank"/>
    <m/>
  </r>
  <r>
    <d v="2026-02-09T00:00:00"/>
    <x v="5"/>
    <n v="5000"/>
    <m/>
    <s v="petrol 697"/>
    <s v="Bank"/>
    <m/>
  </r>
  <r>
    <d v="2026-02-09T00:00:00"/>
    <x v="19"/>
    <n v="19000"/>
    <m/>
    <s v="Freight"/>
    <s v="Bank"/>
    <m/>
  </r>
  <r>
    <d v="2026-02-09T00:00:00"/>
    <x v="1"/>
    <m/>
    <n v="19000"/>
    <s v="Aslam multani"/>
    <s v="Bank"/>
    <m/>
  </r>
  <r>
    <d v="2026-02-09T00:00:00"/>
    <x v="22"/>
    <m/>
    <n v="300000"/>
    <s v="TID:667482"/>
    <s v="Bank"/>
    <m/>
  </r>
  <r>
    <d v="2026-02-09T00:00:00"/>
    <x v="18"/>
    <n v="100000"/>
    <m/>
    <s v="TID:130258"/>
    <s v="Bank"/>
    <m/>
  </r>
  <r>
    <d v="2026-02-09T00:00:00"/>
    <x v="19"/>
    <n v="100195"/>
    <m/>
    <s v="TID:174429"/>
    <s v="Bank"/>
    <m/>
  </r>
  <r>
    <d v="2026-02-09T00:00:00"/>
    <x v="18"/>
    <n v="100153"/>
    <m/>
    <s v="TID:482908"/>
    <s v="Bank"/>
    <m/>
  </r>
  <r>
    <d v="2026-02-09T00:00:00"/>
    <x v="16"/>
    <m/>
    <n v="100000"/>
    <m/>
    <s v="Bank"/>
    <m/>
  </r>
  <r>
    <d v="2026-02-09T00:00:00"/>
    <x v="33"/>
    <n v="122500"/>
    <m/>
    <s v="Blackx3,Rubinex2"/>
    <s v="Bank"/>
    <m/>
  </r>
  <r>
    <d v="2026-02-09T00:00:00"/>
    <x v="29"/>
    <m/>
    <n v="62000"/>
    <s v="TID:466306"/>
    <s v="Bank"/>
    <m/>
  </r>
  <r>
    <d v="2026-02-09T00:00:00"/>
    <x v="17"/>
    <n v="150000"/>
    <m/>
    <s v="TID:773600"/>
    <s v="Bank"/>
    <m/>
  </r>
  <r>
    <d v="2026-02-09T00:00:00"/>
    <x v="27"/>
    <m/>
    <n v="125000"/>
    <s v="TID:819124"/>
    <s v="Bank"/>
    <m/>
  </r>
  <r>
    <d v="2026-02-09T00:00:00"/>
    <x v="5"/>
    <n v="2500"/>
    <m/>
    <s v="raksha karaya"/>
    <s v="Bank"/>
    <m/>
  </r>
  <r>
    <d v="2026-02-09T00:00:00"/>
    <x v="3"/>
    <n v="100000"/>
    <m/>
    <s v="TID:296596"/>
    <s v="Bank"/>
    <m/>
  </r>
  <r>
    <d v="2026-02-10T00:00:00"/>
    <x v="34"/>
    <m/>
    <n v="500000"/>
    <s v="TID:787978"/>
    <s v="Bank"/>
    <m/>
  </r>
  <r>
    <d v="2026-02-10T00:00:00"/>
    <x v="1"/>
    <m/>
    <n v="438800"/>
    <s v="Kataan 8439/52"/>
    <s v="Bank"/>
    <m/>
  </r>
  <r>
    <d v="2026-02-10T00:00:00"/>
    <x v="12"/>
    <n v="20000"/>
    <m/>
    <s v="Shoaib Folding"/>
    <s v="Bank"/>
    <m/>
  </r>
  <r>
    <d v="2026-02-10T00:00:00"/>
    <x v="6"/>
    <n v="8000"/>
    <m/>
    <s v="Shoaib Folding"/>
    <s v="Bank"/>
    <m/>
  </r>
  <r>
    <d v="2026-02-10T00:00:00"/>
    <x v="15"/>
    <n v="200170"/>
    <m/>
    <s v="TID:967204"/>
    <s v="Bank"/>
    <m/>
  </r>
  <r>
    <d v="2026-02-10T00:00:00"/>
    <x v="17"/>
    <n v="74000"/>
    <m/>
    <s v="Freight"/>
    <s v="Bank"/>
    <m/>
  </r>
  <r>
    <d v="2026-02-10T00:00:00"/>
    <x v="6"/>
    <n v="1000"/>
    <m/>
    <s v="Master Tanveer"/>
    <s v="Bank"/>
    <m/>
  </r>
  <r>
    <d v="2026-02-10T00:00:00"/>
    <x v="19"/>
    <n v="100111"/>
    <m/>
    <s v="TID:577818"/>
    <s v="Bank"/>
    <m/>
  </r>
  <r>
    <d v="2026-02-10T00:00:00"/>
    <x v="3"/>
    <n v="1000"/>
    <m/>
    <s v="cash"/>
    <s v="Bank"/>
    <m/>
  </r>
  <r>
    <d v="2026-02-10T00:00:00"/>
    <x v="17"/>
    <n v="102500"/>
    <m/>
    <s v="TID:296975"/>
    <s v="Bank"/>
    <m/>
  </r>
  <r>
    <d v="2026-02-10T00:00:00"/>
    <x v="12"/>
    <m/>
    <m/>
    <s v="Ashfaq Sahab theka"/>
    <s v="Bank"/>
    <m/>
  </r>
  <r>
    <d v="2026-02-10T00:00:00"/>
    <x v="5"/>
    <n v="6000"/>
    <m/>
    <s v="market phera"/>
    <s v="Bank"/>
    <m/>
  </r>
  <r>
    <d v="2026-02-10T00:00:00"/>
    <x v="2"/>
    <n v="370"/>
    <m/>
    <s v="ghar exp"/>
    <s v="Bank"/>
    <m/>
  </r>
  <r>
    <d v="2026-02-10T00:00:00"/>
    <x v="19"/>
    <n v="5000"/>
    <m/>
    <s v="Unloading"/>
    <s v="Bank"/>
    <m/>
  </r>
  <r>
    <d v="2026-02-10T00:00:00"/>
    <x v="18"/>
    <n v="7000"/>
    <m/>
    <s v="Unloading"/>
    <s v="Bank"/>
    <m/>
  </r>
  <r>
    <d v="2026-02-10T00:00:00"/>
    <x v="15"/>
    <n v="2000"/>
    <m/>
    <s v="Unloading"/>
    <s v="Bank"/>
    <m/>
  </r>
  <r>
    <d v="2026-02-10T00:00:00"/>
    <x v="17"/>
    <n v="2000"/>
    <m/>
    <s v="Unloading"/>
    <s v="Bank"/>
    <m/>
  </r>
  <r>
    <d v="2026-02-10T00:00:00"/>
    <x v="16"/>
    <m/>
    <n v="100000"/>
    <s v="Cash BSC"/>
    <s v="Bank"/>
    <m/>
  </r>
  <r>
    <d v="2026-02-10T00:00:00"/>
    <x v="1"/>
    <n v="100000"/>
    <m/>
    <s v="Shahid Qasayi"/>
    <s v="Bank"/>
    <m/>
  </r>
  <r>
    <d v="2026-02-10T00:00:00"/>
    <x v="30"/>
    <m/>
    <n v="200000"/>
    <s v="Cash BSC"/>
    <s v="Bank"/>
    <m/>
  </r>
  <r>
    <m/>
    <x v="14"/>
    <m/>
    <m/>
    <m/>
    <m/>
    <m/>
  </r>
  <r>
    <d v="2026-01-31T00:00:00"/>
    <x v="1"/>
    <m/>
    <n v="28750"/>
    <s v="Wazir Dyes"/>
    <s v="Bank"/>
    <m/>
  </r>
  <r>
    <d v="2026-01-31T00:00:00"/>
    <x v="1"/>
    <m/>
    <n v="10120"/>
    <s v="silai cones"/>
    <s v="Bank"/>
    <m/>
  </r>
  <r>
    <d v="2026-01-31T00:00:00"/>
    <x v="1"/>
    <m/>
    <n v="17750"/>
    <s v="Malik tahir"/>
    <s v="Bank"/>
    <m/>
  </r>
  <r>
    <d v="2026-02-03T00:00:00"/>
    <x v="1"/>
    <m/>
    <n v="20000"/>
    <s v="waqas drv"/>
    <s v="Bank"/>
    <m/>
  </r>
  <r>
    <d v="2026-02-10T00:00:00"/>
    <x v="1"/>
    <m/>
    <n v="9483"/>
    <s v="silai cones"/>
    <s v="Bank"/>
    <m/>
  </r>
  <r>
    <d v="2026-01-31T00:00:00"/>
    <x v="35"/>
    <n v="28750"/>
    <m/>
    <s v="Wazir Dyes"/>
    <s v="Bank"/>
    <m/>
  </r>
  <r>
    <d v="2026-01-31T00:00:00"/>
    <x v="4"/>
    <n v="10120"/>
    <m/>
    <s v="silai cones"/>
    <s v="Bank"/>
    <m/>
  </r>
  <r>
    <d v="2026-01-31T00:00:00"/>
    <x v="4"/>
    <n v="17750"/>
    <m/>
    <s v="Malik tahir"/>
    <s v="Bank"/>
    <m/>
  </r>
  <r>
    <d v="2026-02-03T00:00:00"/>
    <x v="12"/>
    <n v="20000"/>
    <m/>
    <s v="waqas drv"/>
    <s v="Bank"/>
    <m/>
  </r>
  <r>
    <d v="2026-02-10T00:00:00"/>
    <x v="4"/>
    <n v="9483"/>
    <m/>
    <s v="silai cones"/>
    <s v="Bank"/>
    <m/>
  </r>
  <r>
    <m/>
    <x v="14"/>
    <m/>
    <m/>
    <m/>
    <s v="Bank"/>
    <m/>
  </r>
  <r>
    <d v="2026-02-05T00:00:00"/>
    <x v="36"/>
    <m/>
    <n v="600000"/>
    <s v="Cash"/>
    <s v="Bank"/>
    <m/>
  </r>
  <r>
    <d v="2026-02-11T00:00:00"/>
    <x v="36"/>
    <m/>
    <n v="400000"/>
    <s v="Cash"/>
    <s v="Bank"/>
    <m/>
  </r>
  <r>
    <d v="2026-02-05T00:00:00"/>
    <x v="1"/>
    <n v="600000"/>
    <m/>
    <s v="HQ 600"/>
    <s v="Bank"/>
    <m/>
  </r>
  <r>
    <d v="2026-02-11T00:00:00"/>
    <x v="1"/>
    <n v="400000"/>
    <m/>
    <s v="HQ 400"/>
    <s v="Bank"/>
    <m/>
  </r>
  <r>
    <d v="2026-01-25T00:00:00"/>
    <x v="37"/>
    <m/>
    <n v="500000"/>
    <s v="Cash"/>
    <s v="Bank"/>
    <m/>
  </r>
  <r>
    <d v="2026-01-28T00:00:00"/>
    <x v="37"/>
    <m/>
    <n v="228245"/>
    <s v="Bill Adjusted-Nill"/>
    <s v="Bank"/>
    <m/>
  </r>
  <r>
    <d v="2026-01-28T00:00:00"/>
    <x v="10"/>
    <m/>
    <n v="418000"/>
    <s v="Cheque"/>
    <s v="Bank"/>
    <m/>
  </r>
  <r>
    <d v="2026-01-25T00:00:00"/>
    <x v="1"/>
    <n v="500000"/>
    <m/>
    <s v="GK 500"/>
    <s v="Bank"/>
    <m/>
  </r>
  <r>
    <d v="2026-01-28T00:00:00"/>
    <x v="1"/>
    <n v="228245"/>
    <m/>
    <s v="GK 228"/>
    <s v="Bank"/>
    <m/>
  </r>
  <r>
    <d v="2026-01-28T00:00:00"/>
    <x v="1"/>
    <n v="418000"/>
    <m/>
    <s v="Ubaid 418"/>
    <s v="Bank"/>
    <m/>
  </r>
  <r>
    <d v="2026-02-11T00:00:00"/>
    <x v="28"/>
    <m/>
    <n v="250000"/>
    <s v="Cash"/>
    <s v="Bank"/>
    <m/>
  </r>
  <r>
    <d v="2026-02-11T00:00:00"/>
    <x v="1"/>
    <n v="250000"/>
    <m/>
    <s v="RA 250"/>
    <s v="Bank"/>
    <m/>
  </r>
  <r>
    <d v="2026-02-11T00:00:00"/>
    <x v="16"/>
    <m/>
    <n v="100000"/>
    <s v="Cash"/>
    <s v="Bank"/>
    <m/>
  </r>
  <r>
    <d v="2026-01-21T00:00:00"/>
    <x v="16"/>
    <m/>
    <n v="38940"/>
    <s v="Maal BSC"/>
    <s v="Bank"/>
    <m/>
  </r>
  <r>
    <d v="2026-02-11T00:00:00"/>
    <x v="1"/>
    <n v="100000"/>
    <m/>
    <s v="Qasayi 100"/>
    <s v="Bank"/>
    <m/>
  </r>
  <r>
    <d v="2026-01-21T00:00:00"/>
    <x v="1"/>
    <n v="38940"/>
    <m/>
    <s v="Qasayi 38"/>
    <s v="Bank"/>
    <m/>
  </r>
  <r>
    <m/>
    <x v="14"/>
    <m/>
    <m/>
    <m/>
    <s v="Bank"/>
    <m/>
  </r>
  <r>
    <d v="2026-02-01T00:00:00"/>
    <x v="38"/>
    <m/>
    <n v="1508520"/>
    <s v="kora sale"/>
    <s v="Bank"/>
    <m/>
  </r>
  <r>
    <d v="2026-02-01T00:00:00"/>
    <x v="1"/>
    <n v="1508520"/>
    <m/>
    <s v="amjad sohail kora"/>
    <s v="Bank"/>
    <m/>
  </r>
  <r>
    <d v="2026-01-21T00:00:00"/>
    <x v="39"/>
    <m/>
    <n v="390000"/>
    <s v="Receipt #411"/>
    <s v="Bank"/>
    <m/>
  </r>
  <r>
    <d v="2026-01-22T00:00:00"/>
    <x v="39"/>
    <m/>
    <n v="235000"/>
    <s v="cash"/>
    <s v="Bank"/>
    <m/>
  </r>
  <r>
    <d v="2026-01-22T00:00:00"/>
    <x v="39"/>
    <m/>
    <n v="100000"/>
    <s v="Transfer"/>
    <s v="Bank"/>
    <m/>
  </r>
  <r>
    <d v="2026-01-26T00:00:00"/>
    <x v="39"/>
    <m/>
    <n v="400000"/>
    <s v="230Cash+170Transfer"/>
    <s v="Bank"/>
    <m/>
  </r>
  <r>
    <d v="2026-01-26T00:00:00"/>
    <x v="39"/>
    <m/>
    <n v="225000"/>
    <s v="Cash"/>
    <s v="Bank"/>
    <m/>
  </r>
  <r>
    <d v="2026-01-28T00:00:00"/>
    <x v="39"/>
    <m/>
    <n v="220000"/>
    <s v="Cash"/>
    <s v="Bank"/>
    <m/>
  </r>
  <r>
    <d v="2026-01-30T00:00:00"/>
    <x v="39"/>
    <m/>
    <n v="120000"/>
    <s v="Cash"/>
    <s v="Bank"/>
    <m/>
  </r>
  <r>
    <d v="2026-02-06T00:00:00"/>
    <x v="39"/>
    <m/>
    <n v="100000"/>
    <s v="Meezan"/>
    <s v="Bank"/>
    <m/>
  </r>
  <r>
    <d v="2026-02-10T00:00:00"/>
    <x v="39"/>
    <m/>
    <n v="368000"/>
    <s v="200cash+168transfer"/>
    <s v="Bank"/>
    <m/>
  </r>
  <r>
    <d v="2026-01-21T00:00:00"/>
    <x v="1"/>
    <n v="390000"/>
    <m/>
    <s v="Azam 390"/>
    <s v="Bank"/>
    <m/>
  </r>
  <r>
    <d v="2026-01-22T00:00:00"/>
    <x v="1"/>
    <n v="235000"/>
    <m/>
    <s v="Azam 235"/>
    <s v="Bank"/>
    <m/>
  </r>
  <r>
    <d v="2026-01-22T00:00:00"/>
    <x v="1"/>
    <n v="100000"/>
    <m/>
    <s v="Azam 100"/>
    <s v="Bank"/>
    <m/>
  </r>
  <r>
    <d v="2026-01-26T00:00:00"/>
    <x v="1"/>
    <n v="400000"/>
    <m/>
    <s v="Azam 400"/>
    <s v="Bank"/>
    <m/>
  </r>
  <r>
    <d v="2026-01-26T00:00:00"/>
    <x v="1"/>
    <n v="225000"/>
    <m/>
    <s v="Azam 225"/>
    <s v="Bank"/>
    <m/>
  </r>
  <r>
    <d v="2026-01-28T00:00:00"/>
    <x v="1"/>
    <n v="220000"/>
    <m/>
    <s v="Azam 220"/>
    <s v="Bank"/>
    <m/>
  </r>
  <r>
    <d v="2026-01-30T00:00:00"/>
    <x v="1"/>
    <n v="120000"/>
    <m/>
    <s v="Azam 120"/>
    <s v="Bank"/>
    <m/>
  </r>
  <r>
    <d v="2026-02-06T00:00:00"/>
    <x v="1"/>
    <n v="100000"/>
    <m/>
    <s v="Azam 100"/>
    <s v="Bank"/>
    <m/>
  </r>
  <r>
    <d v="2026-02-10T00:00:00"/>
    <x v="1"/>
    <n v="368000"/>
    <m/>
    <s v="Azam 368"/>
    <s v="Bank"/>
    <m/>
  </r>
  <r>
    <d v="2026-02-11T00:00:00"/>
    <x v="21"/>
    <m/>
    <n v="7000"/>
    <s v="Cash OSF"/>
    <s v="Bank"/>
    <m/>
  </r>
  <r>
    <d v="2026-02-11T00:00:00"/>
    <x v="1"/>
    <m/>
    <n v="100000"/>
    <s v="Cash Farman sb"/>
    <s v="Bank"/>
    <m/>
  </r>
  <r>
    <d v="2026-02-11T00:00:00"/>
    <x v="8"/>
    <n v="138250"/>
    <m/>
    <s v="4G,Blackx2,navy"/>
    <s v="Bank"/>
    <m/>
  </r>
  <r>
    <d v="2026-02-11T00:00:00"/>
    <x v="1"/>
    <m/>
    <n v="135000"/>
    <s v="Madina Dyes"/>
    <s v="Bank"/>
    <m/>
  </r>
  <r>
    <d v="2026-02-11T00:00:00"/>
    <x v="5"/>
    <n v="1000"/>
    <m/>
    <s v="loom dhaga toll+godaam"/>
    <s v="Bank"/>
    <m/>
  </r>
  <r>
    <d v="2026-02-11T00:00:00"/>
    <x v="11"/>
    <n v="500"/>
    <m/>
    <s v="chakku x2 + tire puncture"/>
    <s v="Bank"/>
    <m/>
  </r>
  <r>
    <d v="2026-02-11T00:00:00"/>
    <x v="12"/>
    <n v="55000"/>
    <m/>
    <s v="Master Tanveer"/>
    <s v="Bank"/>
    <m/>
  </r>
  <r>
    <d v="2026-02-11T00:00:00"/>
    <x v="12"/>
    <n v="16000"/>
    <m/>
    <s v="Ashraf guard transfer"/>
    <s v="Bank"/>
    <m/>
  </r>
  <r>
    <d v="2026-02-11T00:00:00"/>
    <x v="12"/>
    <n v="26000"/>
    <m/>
    <s v="General"/>
    <s v="Bank"/>
    <m/>
  </r>
  <r>
    <d v="2026-02-11T00:00:00"/>
    <x v="12"/>
    <n v="44000"/>
    <m/>
    <s v="General"/>
    <s v="Bank"/>
    <m/>
  </r>
  <r>
    <d v="2026-02-11T00:00:00"/>
    <x v="12"/>
    <n v="40000"/>
    <m/>
    <s v="General"/>
    <s v="Bank"/>
    <m/>
  </r>
  <r>
    <d v="2026-02-11T00:00:00"/>
    <x v="12"/>
    <n v="35200"/>
    <m/>
    <s v="General"/>
    <s v="Bank"/>
    <m/>
  </r>
  <r>
    <d v="2026-02-11T00:00:00"/>
    <x v="12"/>
    <n v="22000"/>
    <m/>
    <s v="General"/>
    <s v="Bank"/>
    <m/>
  </r>
  <r>
    <d v="2026-02-11T00:00:00"/>
    <x v="12"/>
    <n v="15000"/>
    <m/>
    <s v="General"/>
    <s v="Bank"/>
    <m/>
  </r>
  <r>
    <d v="2026-02-11T00:00:00"/>
    <x v="12"/>
    <n v="32000"/>
    <m/>
    <s v="General"/>
    <s v="Bank"/>
    <m/>
  </r>
  <r>
    <d v="2026-02-11T00:00:00"/>
    <x v="12"/>
    <n v="24500"/>
    <m/>
    <s v="General"/>
    <s v="Bank"/>
    <m/>
  </r>
  <r>
    <d v="2026-02-11T00:00:00"/>
    <x v="12"/>
    <n v="22100"/>
    <m/>
    <s v="General"/>
    <s v="Bank"/>
    <m/>
  </r>
  <r>
    <d v="2026-02-11T00:00:00"/>
    <x v="12"/>
    <n v="12650"/>
    <m/>
    <s v="General"/>
    <s v="Bank"/>
    <m/>
  </r>
  <r>
    <d v="2026-02-11T00:00:00"/>
    <x v="12"/>
    <n v="7000"/>
    <m/>
    <s v="General"/>
    <s v="Bank"/>
    <m/>
  </r>
  <r>
    <d v="2026-02-11T00:00:00"/>
    <x v="12"/>
    <n v="15000"/>
    <m/>
    <s v="General"/>
    <s v="Bank"/>
    <m/>
  </r>
  <r>
    <d v="2026-02-11T00:00:00"/>
    <x v="12"/>
    <n v="15650"/>
    <m/>
    <s v="General"/>
    <s v="Bank"/>
    <m/>
  </r>
  <r>
    <d v="2026-02-11T00:00:00"/>
    <x v="12"/>
    <n v="13000"/>
    <m/>
    <s v="General"/>
    <s v="Bank"/>
    <m/>
  </r>
  <r>
    <d v="2026-02-11T00:00:00"/>
    <x v="12"/>
    <n v="18650"/>
    <m/>
    <s v="General"/>
    <s v="Bank"/>
    <m/>
  </r>
  <r>
    <d v="2026-02-11T00:00:00"/>
    <x v="12"/>
    <n v="22650"/>
    <m/>
    <s v="General"/>
    <s v="Bank"/>
    <m/>
  </r>
  <r>
    <d v="2026-02-11T00:00:00"/>
    <x v="12"/>
    <n v="13650"/>
    <m/>
    <s v="General"/>
    <s v="Bank"/>
    <m/>
  </r>
  <r>
    <d v="2026-02-11T00:00:00"/>
    <x v="12"/>
    <n v="8800"/>
    <m/>
    <s v="General"/>
    <s v="Bank"/>
    <m/>
  </r>
  <r>
    <d v="2026-02-11T00:00:00"/>
    <x v="12"/>
    <n v="1000"/>
    <m/>
    <s v="General"/>
    <s v="Bank"/>
    <m/>
  </r>
  <r>
    <d v="2026-02-11T00:00:00"/>
    <x v="12"/>
    <n v="20000"/>
    <m/>
    <s v="General"/>
    <s v="Bank"/>
    <m/>
  </r>
  <r>
    <d v="2026-02-11T00:00:00"/>
    <x v="12"/>
    <n v="13650"/>
    <m/>
    <s v="General"/>
    <s v="Bank"/>
    <m/>
  </r>
  <r>
    <d v="2026-02-11T00:00:00"/>
    <x v="12"/>
    <n v="15350"/>
    <m/>
    <s v="General"/>
    <s v="Bank"/>
    <m/>
  </r>
  <r>
    <d v="2026-02-11T00:00:00"/>
    <x v="12"/>
    <n v="3850"/>
    <m/>
    <s v="General"/>
    <s v="Bank"/>
    <m/>
  </r>
  <r>
    <d v="2026-02-11T00:00:00"/>
    <x v="12"/>
    <n v="18150"/>
    <m/>
    <s v="General"/>
    <s v="Bank"/>
    <m/>
  </r>
  <r>
    <d v="2026-02-11T00:00:00"/>
    <x v="12"/>
    <n v="45000"/>
    <m/>
    <s v="General"/>
    <s v="Bank"/>
    <m/>
  </r>
  <r>
    <d v="2026-02-11T00:00:00"/>
    <x v="12"/>
    <n v="185000"/>
    <m/>
    <s v="General"/>
    <s v="Bank"/>
    <m/>
  </r>
  <r>
    <d v="2026-02-11T00:00:00"/>
    <x v="12"/>
    <n v="600"/>
    <m/>
    <s v="General"/>
    <s v="Bank"/>
    <m/>
  </r>
  <r>
    <d v="2026-02-11T00:00:00"/>
    <x v="5"/>
    <n v="5000"/>
    <m/>
    <s v="petrol 697"/>
    <s v="Bank"/>
    <m/>
  </r>
  <r>
    <d v="2026-02-11T00:00:00"/>
    <x v="5"/>
    <n v="1000"/>
    <m/>
    <s v="Petrol Bike"/>
    <s v="Bank"/>
    <m/>
  </r>
  <r>
    <d v="2026-02-11T00:00:00"/>
    <x v="22"/>
    <m/>
    <n v="162000"/>
    <s v="TID:427043"/>
    <s v="Bank"/>
    <m/>
  </r>
  <r>
    <d v="2026-02-11T00:00:00"/>
    <x v="4"/>
    <n v="1700"/>
    <m/>
    <s v="T rods/Fitter"/>
    <s v="Bank"/>
    <m/>
  </r>
  <r>
    <d v="2026-02-11T00:00:00"/>
    <x v="11"/>
    <n v="2540"/>
    <m/>
    <s v="stationary"/>
    <s v="Bank"/>
    <m/>
  </r>
  <r>
    <d v="2026-02-11T00:00:00"/>
    <x v="5"/>
    <n v="1010"/>
    <m/>
    <s v="Mtag 697"/>
    <s v="Bank"/>
    <m/>
  </r>
  <r>
    <d v="2026-02-11T00:00:00"/>
    <x v="2"/>
    <n v="4482"/>
    <m/>
    <s v="Optix"/>
    <s v="Bank"/>
    <m/>
  </r>
  <r>
    <d v="2026-02-11T00:00:00"/>
    <x v="4"/>
    <n v="28000"/>
    <m/>
    <s v="Chain oil"/>
    <s v="Bank"/>
    <m/>
  </r>
  <r>
    <d v="2026-02-11T00:00:00"/>
    <x v="11"/>
    <n v="1890"/>
    <m/>
    <s v="Medicine"/>
    <s v="Bank"/>
    <m/>
  </r>
  <r>
    <d v="2026-02-11T00:00:00"/>
    <x v="1"/>
    <m/>
    <n v="40000"/>
    <s v="Copper+elect"/>
    <s v="Bank"/>
    <m/>
  </r>
  <r>
    <d v="2026-02-11T00:00:00"/>
    <x v="29"/>
    <m/>
    <n v="95000"/>
    <s v="TID:337088"/>
    <s v="Bank"/>
    <m/>
  </r>
  <r>
    <d v="2026-02-11T00:00:00"/>
    <x v="4"/>
    <n v="40000"/>
    <m/>
    <s v="Garari+copper+elect"/>
    <s v="Bank"/>
    <m/>
  </r>
  <r>
    <d v="2026-02-11T00:00:00"/>
    <x v="18"/>
    <n v="150000"/>
    <m/>
    <s v="TID:783166"/>
    <s v="Bank"/>
    <m/>
  </r>
  <r>
    <d v="2026-02-11T00:00:00"/>
    <x v="31"/>
    <n v="60000"/>
    <m/>
    <s v="4drums ok"/>
    <s v="Bank"/>
    <m/>
  </r>
  <r>
    <d v="2026-02-11T00:00:00"/>
    <x v="3"/>
    <n v="2860"/>
    <m/>
    <m/>
    <s v="Bank"/>
    <m/>
  </r>
  <r>
    <d v="2026-02-12T00:00:00"/>
    <x v="5"/>
    <n v="5000"/>
    <m/>
    <s v="petrol 464"/>
    <s v="Bank"/>
    <m/>
  </r>
  <r>
    <d v="2026-02-12T00:00:00"/>
    <x v="2"/>
    <n v="4900"/>
    <m/>
    <s v="Mazdoor"/>
    <s v="Bank"/>
    <m/>
  </r>
  <r>
    <d v="2026-02-12T00:00:00"/>
    <x v="11"/>
    <n v="1000"/>
    <m/>
    <s v="chai x5"/>
    <s v="Bank"/>
    <m/>
  </r>
  <r>
    <d v="2026-02-12T00:00:00"/>
    <x v="39"/>
    <m/>
    <n v="155000"/>
    <s v="Cash"/>
    <s v="Bank"/>
    <m/>
  </r>
  <r>
    <d v="2026-02-12T00:00:00"/>
    <x v="30"/>
    <m/>
    <n v="150000"/>
    <s v="Cash"/>
    <s v="Bank"/>
    <m/>
  </r>
  <r>
    <d v="2026-02-12T00:00:00"/>
    <x v="12"/>
    <n v="72000"/>
    <m/>
    <s v="khubaib"/>
    <s v="Bank"/>
    <m/>
  </r>
  <r>
    <d v="2026-02-12T00:00:00"/>
    <x v="12"/>
    <n v="95500"/>
    <m/>
    <s v="Master Tanveer"/>
    <s v="Bank"/>
    <m/>
  </r>
  <r>
    <d v="2026-02-12T00:00:00"/>
    <x v="12"/>
    <n v="80000"/>
    <m/>
    <s v="Master Akbar"/>
    <s v="Bank"/>
    <m/>
  </r>
  <r>
    <d v="2026-02-12T00:00:00"/>
    <x v="12"/>
    <n v="25000"/>
    <m/>
    <s v="naeem electric"/>
    <s v="Bank"/>
    <m/>
  </r>
  <r>
    <d v="2026-02-12T00:00:00"/>
    <x v="6"/>
    <n v="15000"/>
    <m/>
    <s v="Master Waheed"/>
    <s v="Bank"/>
    <m/>
  </r>
  <r>
    <d v="2026-02-12T00:00:00"/>
    <x v="6"/>
    <n v="50000"/>
    <m/>
    <s v="Amjad fitter"/>
    <s v="Bank"/>
    <m/>
  </r>
  <r>
    <d v="2026-02-12T00:00:00"/>
    <x v="5"/>
    <n v="5000"/>
    <m/>
    <s v="petrol 697"/>
    <s v="Bank"/>
    <m/>
  </r>
  <r>
    <d v="2026-02-12T00:00:00"/>
    <x v="5"/>
    <n v="1920"/>
    <m/>
    <s v="engine oil x2"/>
    <s v="Bank"/>
    <m/>
  </r>
  <r>
    <d v="2026-02-12T00:00:00"/>
    <x v="2"/>
    <n v="2000"/>
    <m/>
    <s v="Mali"/>
    <s v="Bank"/>
    <m/>
  </r>
  <r>
    <d v="2026-02-12T00:00:00"/>
    <x v="11"/>
    <n v="2000"/>
    <m/>
    <s v="dori+shopper"/>
    <s v="Bank"/>
    <m/>
  </r>
  <r>
    <d v="2026-02-12T00:00:00"/>
    <x v="4"/>
    <n v="1900"/>
    <m/>
    <s v="belt kangi"/>
    <s v="Bank"/>
    <m/>
  </r>
  <r>
    <d v="2026-02-12T00:00:00"/>
    <x v="9"/>
    <m/>
    <n v="200000"/>
    <s v="TID:493709"/>
    <s v="Bank"/>
    <m/>
  </r>
  <r>
    <d v="2026-02-12T00:00:00"/>
    <x v="40"/>
    <n v="97520"/>
    <m/>
    <s v="Bill Nill"/>
    <s v="Bank"/>
    <m/>
  </r>
  <r>
    <d v="2026-02-12T00:00:00"/>
    <x v="4"/>
    <n v="1020"/>
    <m/>
    <s v="Bearings 4602"/>
    <s v="Bank"/>
    <m/>
  </r>
  <r>
    <d v="2026-02-12T00:00:00"/>
    <x v="19"/>
    <n v="100270"/>
    <m/>
    <s v="TID:304250"/>
    <s v="Bank"/>
    <m/>
  </r>
  <r>
    <d v="2026-02-12T00:00:00"/>
    <x v="18"/>
    <n v="200250"/>
    <m/>
    <s v="TID:458392"/>
    <s v="Bank"/>
    <m/>
  </r>
  <r>
    <d v="2026-02-12T00:00:00"/>
    <x v="25"/>
    <m/>
    <n v="500000"/>
    <m/>
    <s v="Bank"/>
    <m/>
  </r>
  <r>
    <d v="2026-02-12T00:00:00"/>
    <x v="16"/>
    <m/>
    <n v="100000"/>
    <s v="Cash"/>
    <s v="Bank"/>
    <m/>
  </r>
  <r>
    <d v="2026-02-12T00:00:00"/>
    <x v="18"/>
    <n v="200111"/>
    <m/>
    <s v="TID:575952"/>
    <s v="Bank"/>
    <m/>
  </r>
  <r>
    <d v="2026-02-12T00:00:00"/>
    <x v="6"/>
    <n v="25000"/>
    <m/>
    <s v="Ghulam Abbas Chakki"/>
    <s v="Bank"/>
    <m/>
  </r>
  <r>
    <d v="2026-02-13T00:00:00"/>
    <x v="25"/>
    <m/>
    <n v="300000"/>
    <s v="TID:431637"/>
    <s v="Bank"/>
    <m/>
  </r>
  <r>
    <d v="2026-02-13T00:00:00"/>
    <x v="7"/>
    <n v="53840"/>
    <m/>
    <s v="Bill Nill 13/2/26"/>
    <s v="Bank"/>
    <m/>
  </r>
  <r>
    <d v="2026-02-13T00:00:00"/>
    <x v="12"/>
    <n v="28000"/>
    <m/>
    <s v="Usama jet Depart"/>
    <s v="Bank"/>
    <m/>
  </r>
  <r>
    <d v="2026-02-13T00:00:00"/>
    <x v="12"/>
    <n v="165000"/>
    <m/>
    <s v="Ashfaq Sahab theka"/>
    <s v="Bank"/>
    <m/>
  </r>
  <r>
    <d v="2026-02-13T00:00:00"/>
    <x v="17"/>
    <n v="150000"/>
    <m/>
    <s v="TID:467194"/>
    <s v="Bank"/>
    <m/>
  </r>
  <r>
    <d v="2026-02-13T00:00:00"/>
    <x v="12"/>
    <n v="32800"/>
    <m/>
    <s v="Babar jet depart"/>
    <s v="Bank"/>
    <m/>
  </r>
  <r>
    <d v="2026-02-13T00:00:00"/>
    <x v="18"/>
    <n v="3000"/>
    <m/>
    <s v="Unloading"/>
    <s v="Bank"/>
    <m/>
  </r>
  <r>
    <d v="2026-02-13T00:00:00"/>
    <x v="30"/>
    <m/>
    <n v="150000"/>
    <m/>
    <s v="Bank"/>
    <m/>
  </r>
  <r>
    <d v="2026-02-13T00:00:00"/>
    <x v="16"/>
    <m/>
    <n v="100000"/>
    <m/>
    <s v="Bank"/>
    <m/>
  </r>
  <r>
    <d v="2026-02-13T00:00:00"/>
    <x v="14"/>
    <m/>
    <m/>
    <m/>
    <s v="Bank"/>
    <m/>
  </r>
  <r>
    <d v="2026-02-14T00:00:00"/>
    <x v="41"/>
    <m/>
    <n v="15855"/>
    <m/>
    <s v="Bank"/>
    <m/>
  </r>
  <r>
    <d v="2026-02-14T00:00:00"/>
    <x v="29"/>
    <m/>
    <n v="200000"/>
    <s v="TID:646544"/>
    <s v="Bank"/>
    <m/>
  </r>
  <r>
    <d v="2026-02-14T00:00:00"/>
    <x v="5"/>
    <n v="2000"/>
    <m/>
    <s v="petrol loader"/>
    <s v="Bank"/>
    <m/>
  </r>
  <r>
    <d v="2026-02-14T00:00:00"/>
    <x v="21"/>
    <m/>
    <n v="300000"/>
    <s v="TID:562939"/>
    <s v="Bank"/>
    <m/>
  </r>
  <r>
    <d v="2026-02-14T00:00:00"/>
    <x v="8"/>
    <n v="24650"/>
    <m/>
    <s v="leaveling+acid"/>
    <s v="Bank"/>
    <m/>
  </r>
  <r>
    <d v="2026-02-14T00:00:00"/>
    <x v="18"/>
    <n v="300003"/>
    <m/>
    <s v="TID:739994"/>
    <s v="Bank"/>
    <m/>
  </r>
  <r>
    <d v="2026-02-14T00:00:00"/>
    <x v="42"/>
    <n v="35000"/>
    <m/>
    <s v="Yellow 4G"/>
    <s v="Bank"/>
    <m/>
  </r>
  <r>
    <d v="2026-02-14T00:00:00"/>
    <x v="12"/>
    <n v="13050"/>
    <m/>
    <s v="Umer Farooq"/>
    <s v="Bank"/>
    <m/>
  </r>
  <r>
    <d v="2026-02-14T00:00:00"/>
    <x v="43"/>
    <n v="110000"/>
    <m/>
    <s v="rubine x2, Navy x2"/>
    <s v="Bank"/>
    <m/>
  </r>
  <r>
    <d v="2026-02-14T00:00:00"/>
    <x v="12"/>
    <n v="15970"/>
    <m/>
    <s v="Sabir salary"/>
    <s v="Bank"/>
    <m/>
  </r>
  <r>
    <d v="2026-02-14T00:00:00"/>
    <x v="15"/>
    <n v="1000"/>
    <m/>
    <s v="Unloading"/>
    <s v="Bank"/>
    <m/>
  </r>
  <r>
    <d v="2026-02-14T00:00:00"/>
    <x v="11"/>
    <n v="3000"/>
    <m/>
    <s v="Kanta charges govt"/>
    <s v="Bank"/>
    <m/>
  </r>
  <r>
    <d v="2026-02-14T00:00:00"/>
    <x v="18"/>
    <n v="2000"/>
    <m/>
    <s v="Unloading"/>
    <s v="Bank"/>
    <m/>
  </r>
  <r>
    <d v="2026-02-14T00:00:00"/>
    <x v="44"/>
    <n v="29000"/>
    <m/>
    <s v="Cement x20"/>
    <s v="Bank"/>
    <m/>
  </r>
  <r>
    <d v="2026-02-14T00:00:00"/>
    <x v="4"/>
    <n v="2600"/>
    <m/>
    <s v="UC207 x2"/>
    <s v="Bank"/>
    <m/>
  </r>
  <r>
    <d v="2026-02-14T00:00:00"/>
    <x v="4"/>
    <n v="2500"/>
    <m/>
    <s v="Ball valve x2"/>
    <s v="Bank"/>
    <m/>
  </r>
  <r>
    <d v="2026-02-14T00:00:00"/>
    <x v="11"/>
    <n v="250"/>
    <m/>
    <s v="inch tape"/>
    <s v="Bank"/>
    <m/>
  </r>
  <r>
    <d v="2026-02-14T00:00:00"/>
    <x v="16"/>
    <m/>
    <n v="100000"/>
    <m/>
    <s v="Bank"/>
    <m/>
  </r>
  <r>
    <d v="2026-02-14T00:00:00"/>
    <x v="43"/>
    <n v="45000"/>
    <m/>
    <s v="Black x2"/>
    <s v="Bank"/>
    <m/>
  </r>
  <r>
    <d v="2026-02-14T00:00:00"/>
    <x v="15"/>
    <n v="200040"/>
    <m/>
    <s v="TID:538710"/>
    <s v="Bank"/>
    <m/>
  </r>
  <r>
    <d v="2026-02-15T00:00:00"/>
    <x v="23"/>
    <n v="78000"/>
    <m/>
    <s v="Starch"/>
    <s v="Bank"/>
    <m/>
  </r>
  <r>
    <d v="2026-02-15T00:00:00"/>
    <x v="1"/>
    <m/>
    <n v="78000"/>
    <s v="Starch"/>
    <s v="Bank"/>
    <m/>
  </r>
  <r>
    <d v="2026-02-15T00:00:00"/>
    <x v="7"/>
    <n v="7250"/>
    <m/>
    <d v="2026-02-15T00:00:00"/>
    <s v="Bank"/>
    <m/>
  </r>
  <r>
    <d v="2026-02-15T00:00:00"/>
    <x v="1"/>
    <m/>
    <n v="7250"/>
    <s v="Rashan"/>
    <s v="Bank"/>
    <m/>
  </r>
  <r>
    <d v="2026-02-15T00:00:00"/>
    <x v="19"/>
    <n v="100500"/>
    <m/>
    <s v="TID:708711"/>
    <s v="Bank"/>
    <m/>
  </r>
  <r>
    <d v="2026-02-15T00:00:00"/>
    <x v="15"/>
    <n v="54950"/>
    <m/>
    <s v="Freight"/>
    <s v="Bank"/>
    <m/>
  </r>
  <r>
    <d v="2026-02-15T00:00:00"/>
    <x v="3"/>
    <m/>
    <n v="54940"/>
    <s v="MZ freight"/>
    <s v="Bank"/>
    <m/>
  </r>
  <r>
    <d v="2026-02-15T00:00:00"/>
    <x v="11"/>
    <n v="1300"/>
    <m/>
    <s v="500+800 tapes"/>
    <s v="Bank"/>
    <m/>
  </r>
  <r>
    <d v="2026-02-15T00:00:00"/>
    <x v="5"/>
    <n v="600"/>
    <m/>
    <s v="tire repair"/>
    <s v="Bank"/>
    <m/>
  </r>
  <r>
    <d v="2026-02-16T00:00:00"/>
    <x v="24"/>
    <m/>
    <n v="-30000"/>
    <s v="Faizan Kora"/>
    <s v="Bank"/>
    <m/>
  </r>
  <r>
    <d v="2026-02-16T00:00:00"/>
    <x v="3"/>
    <m/>
    <n v="30000"/>
    <s v="Faizan Kora"/>
    <s v="Bank"/>
    <m/>
  </r>
  <r>
    <d v="2026-02-16T00:00:00"/>
    <x v="3"/>
    <n v="680"/>
    <m/>
    <s v="Package"/>
    <s v="Bank"/>
    <m/>
  </r>
  <r>
    <d v="2026-02-16T00:00:00"/>
    <x v="19"/>
    <n v="34000"/>
    <m/>
    <s v="Freight"/>
    <s v="Bank"/>
    <m/>
  </r>
  <r>
    <d v="2026-02-16T00:00:00"/>
    <x v="3"/>
    <m/>
    <n v="34000"/>
    <s v="Aslam multani freight"/>
    <s v="Bank"/>
    <m/>
  </r>
  <r>
    <d v="2026-02-16T00:00:00"/>
    <x v="44"/>
    <n v="52000"/>
    <m/>
    <s v="3000 bricks"/>
    <s v="Bank"/>
    <m/>
  </r>
  <r>
    <d v="2026-02-16T00:00:00"/>
    <x v="3"/>
    <m/>
    <n v="52000"/>
    <s v="eentt 3000"/>
    <s v="Bank"/>
    <m/>
  </r>
  <r>
    <d v="2026-02-16T00:00:00"/>
    <x v="4"/>
    <n v="3580"/>
    <m/>
    <s v="Zodian 12 number+disc+valves"/>
    <s v="Bank"/>
    <m/>
  </r>
  <r>
    <d v="2026-02-16T00:00:00"/>
    <x v="3"/>
    <m/>
    <n v="3580"/>
    <s v="parts"/>
    <s v="Bank"/>
    <m/>
  </r>
  <r>
    <d v="2026-02-16T00:00:00"/>
    <x v="3"/>
    <m/>
    <n v="10000"/>
    <s v="Cash"/>
    <s v="Bank"/>
    <m/>
  </r>
  <r>
    <d v="2026-02-16T00:00:00"/>
    <x v="18"/>
    <n v="1000"/>
    <m/>
    <s v="Unloading"/>
    <s v="Bank"/>
    <m/>
  </r>
  <r>
    <d v="2026-02-16T00:00:00"/>
    <x v="17"/>
    <n v="2000"/>
    <m/>
    <s v="Unloading"/>
    <s v="Bank"/>
    <m/>
  </r>
  <r>
    <d v="2026-02-16T00:00:00"/>
    <x v="19"/>
    <n v="2000"/>
    <m/>
    <s v="Unloading"/>
    <s v="Bank"/>
    <m/>
  </r>
  <r>
    <d v="2026-02-16T00:00:00"/>
    <x v="5"/>
    <n v="200"/>
    <m/>
    <s v="petrol"/>
    <s v="Bank"/>
    <m/>
  </r>
  <r>
    <d v="2026-02-16T00:00:00"/>
    <x v="44"/>
    <n v="3600"/>
    <m/>
    <s v="Mazdoor"/>
    <s v="Bank"/>
    <m/>
  </r>
  <r>
    <d v="2026-02-16T00:00:00"/>
    <x v="4"/>
    <n v="1400"/>
    <m/>
    <s v="Diesel x5l"/>
    <s v="Bank"/>
    <m/>
  </r>
  <r>
    <d v="2026-02-16T00:00:00"/>
    <x v="13"/>
    <n v="1000"/>
    <m/>
    <s v="Hamid baba"/>
    <s v="Bank"/>
    <m/>
  </r>
  <r>
    <d v="2026-02-16T00:00:00"/>
    <x v="22"/>
    <m/>
    <n v="150000"/>
    <s v="TID:570508"/>
    <s v="Bank"/>
    <m/>
  </r>
  <r>
    <d v="2026-02-16T00:00:00"/>
    <x v="18"/>
    <n v="250000"/>
    <m/>
    <s v="TID:213548"/>
    <s v="Bank"/>
    <m/>
  </r>
  <r>
    <d v="2026-02-16T00:00:00"/>
    <x v="29"/>
    <m/>
    <n v="150000"/>
    <s v="Cash"/>
    <s v="Bank"/>
    <m/>
  </r>
  <r>
    <d v="2026-02-16T00:00:00"/>
    <x v="30"/>
    <m/>
    <n v="150000"/>
    <s v="Cash"/>
    <s v="Bank"/>
    <m/>
  </r>
  <r>
    <d v="2026-02-16T00:00:00"/>
    <x v="17"/>
    <n v="200046"/>
    <m/>
    <s v="TID:219153"/>
    <s v="Bank"/>
    <m/>
  </r>
  <r>
    <d v="2026-02-16T00:00:00"/>
    <x v="36"/>
    <m/>
    <n v="276500"/>
    <s v="Cash"/>
    <s v="Bank"/>
    <m/>
  </r>
  <r>
    <d v="2026-02-16T00:00:00"/>
    <x v="34"/>
    <m/>
    <n v="136000"/>
    <s v="Cash"/>
    <s v="Bank"/>
    <m/>
  </r>
  <r>
    <d v="2026-02-16T00:00:00"/>
    <x v="1"/>
    <m/>
    <m/>
    <s v="136-76 pakiza"/>
    <s v="Bank"/>
    <m/>
  </r>
  <r>
    <d v="2026-02-17T00:00:00"/>
    <x v="6"/>
    <n v="50000"/>
    <m/>
    <s v="Amjad fitter"/>
    <s v="Bank"/>
    <m/>
  </r>
  <r>
    <d v="2026-02-17T00:00:00"/>
    <x v="19"/>
    <n v="136000"/>
    <m/>
    <s v="TID:485192"/>
    <s v="Bank"/>
    <m/>
  </r>
  <r>
    <d v="2026-02-17T00:00:00"/>
    <x v="5"/>
    <n v="2000"/>
    <m/>
    <s v="Mtag 464"/>
    <s v="Bank"/>
    <m/>
  </r>
  <r>
    <d v="2026-02-17T00:00:00"/>
    <x v="15"/>
    <n v="41000"/>
    <m/>
    <s v="Freight"/>
    <s v="Bank"/>
    <m/>
  </r>
  <r>
    <d v="2026-02-17T00:00:00"/>
    <x v="6"/>
    <n v="10000"/>
    <m/>
    <s v="Nasir operator"/>
    <s v="Bank"/>
    <m/>
  </r>
  <r>
    <d v="2026-02-17T00:00:00"/>
    <x v="45"/>
    <n v="20380"/>
    <m/>
    <s v="Bill Nill"/>
    <s v="Bank"/>
    <m/>
  </r>
  <r>
    <d v="2026-02-17T00:00:00"/>
    <x v="8"/>
    <n v="21750"/>
    <m/>
    <s v="leaveling+acid"/>
    <s v="Bank"/>
    <m/>
  </r>
  <r>
    <d v="2026-02-17T00:00:00"/>
    <x v="30"/>
    <m/>
    <n v="150000"/>
    <s v="receipt #438"/>
    <s v="Bank"/>
    <m/>
  </r>
  <r>
    <d v="2026-02-17T00:00:00"/>
    <x v="18"/>
    <n v="200775"/>
    <m/>
    <s v="TID:395981"/>
    <s v="Bank"/>
    <m/>
  </r>
  <r>
    <d v="2026-02-17T00:00:00"/>
    <x v="44"/>
    <n v="5000"/>
    <m/>
    <s v="Mazdoor"/>
    <s v="Bank"/>
    <m/>
  </r>
  <r>
    <d v="2026-02-17T00:00:00"/>
    <x v="5"/>
    <n v="200"/>
    <m/>
    <s v="bike"/>
    <s v="Bank"/>
    <m/>
  </r>
  <r>
    <d v="2026-02-17T00:00:00"/>
    <x v="4"/>
    <n v="2870"/>
    <m/>
    <s v="sunsuper"/>
    <s v="Bank"/>
    <m/>
  </r>
  <r>
    <d v="2026-02-18T00:00:00"/>
    <x v="5"/>
    <n v="3000"/>
    <m/>
    <s v="paitay maal karaya"/>
    <s v="Bank"/>
    <m/>
  </r>
  <r>
    <d v="2026-02-18T00:00:00"/>
    <x v="5"/>
    <n v="2800"/>
    <m/>
    <s v="builty"/>
    <s v="Bank"/>
    <m/>
  </r>
  <r>
    <d v="2026-02-18T00:00:00"/>
    <x v="44"/>
    <n v="4500"/>
    <m/>
    <s v="Mazdoor"/>
    <s v="Bank"/>
    <m/>
  </r>
  <r>
    <d v="2026-02-18T00:00:00"/>
    <x v="1"/>
    <m/>
    <n v="25000"/>
    <s v="Pins//awan"/>
    <s v="Bank"/>
    <m/>
  </r>
  <r>
    <d v="2026-02-18T00:00:00"/>
    <x v="4"/>
    <n v="25000"/>
    <m/>
    <s v="Pins//awan"/>
    <s v="Bank"/>
    <m/>
  </r>
  <r>
    <d v="2026-02-18T00:00:00"/>
    <x v="1"/>
    <m/>
    <n v="408000"/>
    <s v="TID:019650"/>
    <s v="Bank"/>
    <m/>
  </r>
  <r>
    <d v="2026-02-18T00:00:00"/>
    <x v="46"/>
    <n v="351000"/>
    <m/>
    <s v="TID:287168"/>
    <s v="Bank"/>
    <m/>
  </r>
  <r>
    <d v="2026-02-18T00:00:00"/>
    <x v="47"/>
    <n v="10000"/>
    <m/>
    <s v="Zubair anjum 10k"/>
    <s v="Bank"/>
    <m/>
  </r>
  <r>
    <d v="2026-02-18T00:00:00"/>
    <x v="6"/>
    <n v="2000"/>
    <m/>
    <s v="Saif Silai"/>
    <s v="Bank"/>
    <m/>
  </r>
  <r>
    <d v="2026-02-18T00:00:00"/>
    <x v="19"/>
    <n v="100130"/>
    <m/>
    <s v="TID:551478"/>
    <s v="Bank"/>
    <m/>
  </r>
  <r>
    <d v="2026-02-18T00:00:00"/>
    <x v="11"/>
    <n v="500"/>
    <m/>
    <s v="Asif photocell"/>
    <s v="Bank"/>
    <m/>
  </r>
  <r>
    <d v="2026-02-18T00:00:00"/>
    <x v="5"/>
    <n v="200"/>
    <m/>
    <s v="bike"/>
    <s v="Bank"/>
    <m/>
  </r>
  <r>
    <d v="2026-02-19T00:00:00"/>
    <x v="5"/>
    <n v="2400"/>
    <m/>
    <s v="Raksha"/>
    <s v="Bank"/>
    <m/>
  </r>
  <r>
    <d v="2026-02-19T00:00:00"/>
    <x v="3"/>
    <n v="1400"/>
    <m/>
    <m/>
    <s v="Bank"/>
    <m/>
  </r>
  <r>
    <d v="2026-02-19T00:00:00"/>
    <x v="1"/>
    <m/>
    <n v="200000"/>
    <s v="TID:270488"/>
    <s v="Bank"/>
    <m/>
  </r>
  <r>
    <d v="2026-02-19T00:00:00"/>
    <x v="17"/>
    <n v="150000"/>
    <m/>
    <s v="TID:521261"/>
    <s v="Bank"/>
    <m/>
  </r>
  <r>
    <d v="2026-02-19T00:00:00"/>
    <x v="15"/>
    <n v="35500"/>
    <m/>
    <s v="Freight"/>
    <s v="Bank"/>
    <m/>
  </r>
  <r>
    <d v="2026-02-19T00:00:00"/>
    <x v="1"/>
    <m/>
    <n v="50000"/>
    <s v="TID:6109299"/>
    <s v="Bank"/>
    <m/>
  </r>
  <r>
    <d v="2026-02-19T00:00:00"/>
    <x v="4"/>
    <n v="21450"/>
    <m/>
    <s v="Boiler bricks"/>
    <s v="Bank"/>
    <m/>
  </r>
  <r>
    <d v="2026-02-19T00:00:00"/>
    <x v="4"/>
    <n v="5800"/>
    <m/>
    <s v="mandi"/>
    <s v="Bank"/>
    <m/>
  </r>
  <r>
    <d v="2026-02-19T00:00:00"/>
    <x v="4"/>
    <n v="5530"/>
    <m/>
    <s v="valves etc"/>
    <s v="Bank"/>
    <m/>
  </r>
  <r>
    <d v="2026-02-19T00:00:00"/>
    <x v="1"/>
    <m/>
    <n v="68000"/>
    <s v="TID:910064"/>
    <s v="Bank"/>
    <m/>
  </r>
  <r>
    <d v="2026-02-19T00:00:00"/>
    <x v="35"/>
    <n v="28750"/>
    <m/>
    <s v="Orange H3r"/>
    <s v="Bank"/>
    <m/>
  </r>
  <r>
    <d v="2026-02-19T00:00:00"/>
    <x v="4"/>
    <n v="1000"/>
    <m/>
    <s v="shaft"/>
    <s v="Bank"/>
    <m/>
  </r>
  <r>
    <d v="2026-02-19T00:00:00"/>
    <x v="48"/>
    <n v="72500"/>
    <m/>
    <s v="Dyes"/>
    <s v="Bank"/>
    <m/>
  </r>
  <r>
    <d v="2026-02-19T00:00:00"/>
    <x v="1"/>
    <m/>
    <n v="50000"/>
    <s v="TID:854863"/>
    <s v="Bank"/>
    <m/>
  </r>
  <r>
    <d v="2026-02-20T00:00:00"/>
    <x v="21"/>
    <m/>
    <n v="200000"/>
    <s v="TID:735461"/>
    <s v="Bank"/>
    <m/>
  </r>
  <r>
    <d v="2026-02-20T00:00:00"/>
    <x v="4"/>
    <n v="8315"/>
    <m/>
    <s v="Diesel x5l"/>
    <s v="Bank"/>
    <m/>
  </r>
  <r>
    <d v="2026-02-20T00:00:00"/>
    <x v="4"/>
    <n v="1100"/>
    <m/>
    <s v="gutkay"/>
    <s v="Bank"/>
    <m/>
  </r>
  <r>
    <d v="2026-02-20T00:00:00"/>
    <x v="4"/>
    <n v="240"/>
    <m/>
    <m/>
    <s v="Bank"/>
    <m/>
  </r>
  <r>
    <d v="2026-02-20T00:00:00"/>
    <x v="4"/>
    <n v="4550"/>
    <m/>
    <s v="pulleys"/>
    <s v="Bank"/>
    <m/>
  </r>
  <r>
    <d v="2026-02-20T00:00:00"/>
    <x v="4"/>
    <n v="10750"/>
    <m/>
    <s v="22 number 2.5kg"/>
    <s v="Bank"/>
    <m/>
  </r>
  <r>
    <d v="2026-02-20T00:00:00"/>
    <x v="49"/>
    <n v="64290"/>
    <m/>
    <s v="Freight"/>
    <s v="Bank"/>
    <m/>
  </r>
  <r>
    <d v="2026-02-20T00:00:00"/>
    <x v="1"/>
    <m/>
    <n v="947000"/>
    <s v="Cash deposited"/>
    <s v="Bank"/>
    <m/>
  </r>
  <r>
    <d v="2026-02-20T00:00:00"/>
    <x v="25"/>
    <m/>
    <n v="694000"/>
    <s v="TID:447580"/>
    <s v="Bank"/>
    <m/>
  </r>
  <r>
    <d v="2026-02-20T00:00:00"/>
    <x v="4"/>
    <n v="2850"/>
    <m/>
    <s v="Bearings 6310"/>
    <s v="Bank"/>
    <m/>
  </r>
  <r>
    <d v="2026-02-20T00:00:00"/>
    <x v="1"/>
    <m/>
    <n v="450000"/>
    <s v="TID:438661"/>
    <s v="Bank"/>
    <m/>
  </r>
  <r>
    <d v="2026-02-20T00:00:00"/>
    <x v="50"/>
    <n v="2222081"/>
    <m/>
    <s v="Bill Nill"/>
    <s v="Bank"/>
    <m/>
  </r>
  <r>
    <d v="2026-02-20T00:00:00"/>
    <x v="4"/>
    <n v="1000"/>
    <m/>
    <m/>
    <s v="Bank"/>
    <m/>
  </r>
  <r>
    <d v="2026-02-20T00:00:00"/>
    <x v="4"/>
    <n v="26300"/>
    <m/>
    <s v="boiler plates"/>
    <s v="Bank"/>
    <m/>
  </r>
  <r>
    <d v="2026-02-20T00:00:00"/>
    <x v="1"/>
    <m/>
    <n v="130000"/>
    <s v="TID:043451"/>
    <s v="Bank"/>
    <m/>
  </r>
  <r>
    <d v="2026-02-20T00:00:00"/>
    <x v="30"/>
    <m/>
    <n v="100000"/>
    <m/>
    <s v="Bank"/>
    <m/>
  </r>
  <r>
    <d v="2026-02-20T00:00:00"/>
    <x v="1"/>
    <n v="100000"/>
    <m/>
    <s v="Shani badshha"/>
    <s v="Bank"/>
    <m/>
  </r>
  <r>
    <d v="2026-02-20T00:00:00"/>
    <x v="5"/>
    <n v="6600"/>
    <m/>
    <m/>
    <s v="Bank"/>
    <m/>
  </r>
  <r>
    <d v="2026-02-20T00:00:00"/>
    <x v="21"/>
    <m/>
    <n v="100000"/>
    <s v="TID:528967"/>
    <s v="Bank"/>
    <m/>
  </r>
  <r>
    <d v="2026-02-20T00:00:00"/>
    <x v="48"/>
    <n v="100000"/>
    <m/>
    <s v="Rubine x2, black x2"/>
    <s v="Bank"/>
    <m/>
  </r>
  <r>
    <d v="2026-02-20T00:00:00"/>
    <x v="3"/>
    <n v="800"/>
    <m/>
    <m/>
    <s v="Bank"/>
    <m/>
  </r>
  <r>
    <d v="2026-02-20T00:00:00"/>
    <x v="19"/>
    <n v="100050"/>
    <m/>
    <m/>
    <s v="Bank"/>
    <m/>
  </r>
  <r>
    <d v="2026-02-20T00:00:00"/>
    <x v="25"/>
    <m/>
    <n v="10000"/>
    <s v="Transport"/>
    <s v="Bank"/>
    <m/>
  </r>
  <r>
    <d v="2026-02-20T00:00:00"/>
    <x v="5"/>
    <n v="10000"/>
    <m/>
    <s v="Faizan transport"/>
    <s v="Bank"/>
    <m/>
  </r>
  <r>
    <d v="2026-02-21T00:00:00"/>
    <x v="23"/>
    <n v="78000"/>
    <m/>
    <s v="Starch"/>
    <s v="Bank"/>
    <m/>
  </r>
  <r>
    <d v="2026-02-21T00:00:00"/>
    <x v="4"/>
    <n v="1300"/>
    <m/>
    <s v="Chain"/>
    <s v="Bank"/>
    <m/>
  </r>
  <r>
    <d v="2026-02-21T00:00:00"/>
    <x v="4"/>
    <n v="800"/>
    <m/>
    <m/>
    <s v="Bank"/>
    <m/>
  </r>
  <r>
    <d v="2026-02-21T00:00:00"/>
    <x v="30"/>
    <m/>
    <n v="100000"/>
    <s v="TID:103244"/>
    <s v="Bank"/>
    <m/>
  </r>
  <r>
    <d v="2026-02-21T00:00:00"/>
    <x v="11"/>
    <n v="820"/>
    <m/>
    <s v="Stationary"/>
    <s v="Bank"/>
    <m/>
  </r>
  <r>
    <d v="2026-02-21T00:00:00"/>
    <x v="36"/>
    <m/>
    <n v="350000"/>
    <m/>
    <s v="Bank"/>
    <m/>
  </r>
  <r>
    <d v="2026-02-21T00:00:00"/>
    <x v="4"/>
    <n v="125000"/>
    <m/>
    <s v="Generator advance"/>
    <s v="Bank"/>
    <m/>
  </r>
  <r>
    <d v="2026-02-21T00:00:00"/>
    <x v="51"/>
    <m/>
    <n v="39278"/>
    <s v="Crinkle"/>
    <s v="Bank"/>
    <m/>
  </r>
  <r>
    <d v="2026-02-21T00:00:00"/>
    <x v="4"/>
    <n v="950"/>
    <m/>
    <s v="Bearings 6310"/>
    <s v="Bank"/>
    <m/>
  </r>
  <r>
    <d v="2026-02-21T00:00:00"/>
    <x v="21"/>
    <m/>
    <n v="29454"/>
    <s v="Bill Nill//TID:011882"/>
    <s v="Bank"/>
    <m/>
  </r>
  <r>
    <d v="2026-02-21T00:00:00"/>
    <x v="40"/>
    <n v="100000"/>
    <m/>
    <s v="TID:940387"/>
    <s v="Bank"/>
    <m/>
  </r>
  <r>
    <d v="2026-02-21T00:00:00"/>
    <x v="6"/>
    <n v="5000"/>
    <m/>
    <s v="Naeem Electric"/>
    <s v="Bank"/>
    <m/>
  </r>
  <r>
    <d v="2026-02-21T00:00:00"/>
    <x v="29"/>
    <m/>
    <n v="200000"/>
    <s v="receipt #442"/>
    <s v="Bank"/>
    <m/>
  </r>
  <r>
    <d v="2026-02-21T00:00:00"/>
    <x v="20"/>
    <n v="40000"/>
    <m/>
    <s v="TID:098913"/>
    <s v="Bank"/>
    <m/>
  </r>
  <r>
    <d v="2026-02-21T00:00:00"/>
    <x v="15"/>
    <n v="150000"/>
    <m/>
    <s v="TID:937951"/>
    <s v="Bank"/>
    <m/>
  </r>
  <r>
    <d v="2026-02-21T00:00:00"/>
    <x v="17"/>
    <n v="151000"/>
    <m/>
    <s v="TID:749401"/>
    <s v="Bank"/>
    <m/>
  </r>
  <r>
    <d v="2026-02-22T00:00:00"/>
    <x v="6"/>
    <n v="5000"/>
    <m/>
    <s v="Khubaib"/>
    <s v="Bank"/>
    <m/>
  </r>
  <r>
    <d v="2026-02-22T00:00:00"/>
    <x v="12"/>
    <n v="40000"/>
    <m/>
    <s v="Khalid Sahab"/>
    <s v="Bank"/>
    <m/>
  </r>
  <r>
    <d v="2026-02-22T00:00:00"/>
    <x v="6"/>
    <n v="1000"/>
    <m/>
    <s v="Nasir operator"/>
    <s v="Bank"/>
    <m/>
  </r>
  <r>
    <d v="2026-02-22T00:00:00"/>
    <x v="6"/>
    <n v="1000"/>
    <m/>
    <s v="Shoaib Folding"/>
    <s v="Bank"/>
    <m/>
  </r>
  <r>
    <d v="2026-02-22T00:00:00"/>
    <x v="4"/>
    <n v="2000"/>
    <m/>
    <s v="Battery terminals"/>
    <s v="Bank"/>
    <m/>
  </r>
  <r>
    <d v="2026-02-22T00:00:00"/>
    <x v="4"/>
    <n v="8000"/>
    <m/>
    <s v="pump repair"/>
    <s v="Bank"/>
    <m/>
  </r>
  <r>
    <d v="2026-02-22T00:00:00"/>
    <x v="1"/>
    <m/>
    <n v="6000"/>
    <s v="pump repair"/>
    <s v="Bank"/>
    <m/>
  </r>
  <r>
    <d v="2026-02-22T00:00:00"/>
    <x v="5"/>
    <n v="6000"/>
    <m/>
    <s v="MAK dyes transport"/>
    <s v="Bank"/>
    <m/>
  </r>
  <r>
    <d v="2026-02-21T00:00:00"/>
    <x v="31"/>
    <n v="2500"/>
    <m/>
    <s v="Raksha karaya"/>
    <s v="Bank"/>
    <m/>
  </r>
  <r>
    <d v="2026-02-21T00:00:00"/>
    <x v="3"/>
    <m/>
    <n v="5000"/>
    <s v="Cash reserve"/>
    <s v="Bank"/>
    <m/>
  </r>
  <r>
    <d v="2026-02-21T00:00:00"/>
    <x v="44"/>
    <n v="7200"/>
    <m/>
    <s v="Mazdoor"/>
    <s v="Bank"/>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d v="2026-01-20T00:00:00"/>
    <x v="0"/>
    <s v="December Closing CF"/>
    <s v="Chamki"/>
    <x v="0"/>
    <m/>
    <m/>
    <e v="#DIV/0!"/>
    <n v="2468066.8273591809"/>
    <n v="24680668.273591813"/>
    <m/>
  </r>
  <r>
    <d v="2026-01-20T00:00:00"/>
    <x v="1"/>
    <s v="December Closing CF"/>
    <s v="Chamki"/>
    <x v="0"/>
    <m/>
    <m/>
    <e v="#DIV/0!"/>
    <n v="148145.57425018289"/>
    <n v="1481455.7425018288"/>
    <m/>
  </r>
  <r>
    <d v="2026-01-20T00:00:00"/>
    <x v="2"/>
    <s v="December Closing CF"/>
    <s v="Chamki"/>
    <x v="0"/>
    <m/>
    <m/>
    <e v="#DIV/0!"/>
    <n v="626388.07607900514"/>
    <n v="6263880.7607900519"/>
    <m/>
  </r>
  <r>
    <d v="2026-01-20T00:00:00"/>
    <x v="3"/>
    <s v="December Closing CF"/>
    <s v="Chamki"/>
    <x v="0"/>
    <m/>
    <m/>
    <e v="#DIV/0!"/>
    <n v="131178.67593269935"/>
    <n v="1354241.9972933433"/>
    <m/>
  </r>
  <r>
    <d v="2026-01-20T00:00:00"/>
    <x v="4"/>
    <s v="December Closing CF"/>
    <s v="Chamki"/>
    <x v="0"/>
    <m/>
    <m/>
    <e v="#DIV/0!"/>
    <n v="599330.65106071695"/>
    <n v="5408917.8595464528"/>
    <m/>
  </r>
  <r>
    <d v="2026-01-20T00:00:00"/>
    <x v="5"/>
    <s v="December Closing CF"/>
    <s v="Chamki"/>
    <x v="0"/>
    <m/>
    <m/>
    <e v="#DIV/0!"/>
    <n v="837856.62033650337"/>
    <n v="8378566.2033650335"/>
    <m/>
  </r>
  <r>
    <d v="2026-01-20T00:00:00"/>
    <x v="6"/>
    <s v="December Closing CF"/>
    <s v="Chamki"/>
    <x v="0"/>
    <m/>
    <m/>
    <e v="#DIV/0!"/>
    <n v="162638.07607900514"/>
    <n v="1626380.7607900514"/>
    <m/>
  </r>
  <r>
    <d v="2026-01-20T00:00:00"/>
    <x v="7"/>
    <s v="December Closing CF"/>
    <s v="Chamki"/>
    <x v="0"/>
    <m/>
    <m/>
    <e v="#DIV/0!"/>
    <n v="400309.07095830288"/>
    <n v="4003090.7095830292"/>
    <m/>
  </r>
  <r>
    <d v="2026-01-20T00:00:00"/>
    <x v="8"/>
    <s v="December Closing CF"/>
    <s v="Chamki"/>
    <x v="0"/>
    <m/>
    <m/>
    <e v="#DIV/0!"/>
    <n v="46132.955376737387"/>
    <n v="461329.5537673739"/>
    <m/>
  </r>
  <r>
    <d v="2026-01-20T00:00:00"/>
    <x v="9"/>
    <s v="December Closing CF"/>
    <s v="Chamki"/>
    <x v="0"/>
    <m/>
    <m/>
    <e v="#DIV/0!"/>
    <n v="21310.35113386979"/>
    <n v="255724.21360643749"/>
    <m/>
  </r>
  <r>
    <d v="2026-01-20T00:00:00"/>
    <x v="10"/>
    <s v="December Closing CF"/>
    <s v="Chamki"/>
    <x v="0"/>
    <m/>
    <m/>
    <e v="#DIV/0!"/>
    <n v="287970.007315289"/>
    <n v="2879700.07315289"/>
    <m/>
  </r>
  <r>
    <d v="2026-01-20T00:00:00"/>
    <x v="11"/>
    <s v="December Closing CF"/>
    <s v="Chamki"/>
    <x v="0"/>
    <m/>
    <m/>
    <e v="#DIV/0!"/>
    <n v="481526.15215801029"/>
    <n v="4861679.7732260432"/>
    <m/>
  </r>
  <r>
    <d v="2026-01-20T00:00:00"/>
    <x v="12"/>
    <s v="December Closing CF"/>
    <s v="Chamki"/>
    <x v="0"/>
    <m/>
    <m/>
    <e v="#DIV/0!"/>
    <n v="50406.91294806145"/>
    <n v="504069.1294806145"/>
    <m/>
  </r>
  <r>
    <d v="2026-01-20T00:00:00"/>
    <x v="13"/>
    <s v="December Closing CF"/>
    <s v="Chamki"/>
    <x v="0"/>
    <m/>
    <m/>
    <e v="#DIV/0!"/>
    <n v="48385.149963423559"/>
    <n v="483851.49963423557"/>
    <m/>
  </r>
  <r>
    <d v="2026-01-20T00:00:00"/>
    <x v="14"/>
    <s v="December Closing CF"/>
    <s v="Chamki"/>
    <x v="0"/>
    <m/>
    <m/>
    <e v="#DIV/0!"/>
    <n v="8915.5084125822978"/>
    <n v="89155.084125822978"/>
    <m/>
  </r>
  <r>
    <d v="2026-01-20T00:00:00"/>
    <x v="15"/>
    <s v="December Closing CF"/>
    <s v="Chamki"/>
    <x v="0"/>
    <m/>
    <m/>
    <e v="#DIV/0!"/>
    <n v="47437.820043891741"/>
    <n v="474378.20043891744"/>
    <m/>
  </r>
  <r>
    <d v="2026-01-20T00:00:00"/>
    <x v="16"/>
    <s v="December Closing CF"/>
    <s v="Chamki"/>
    <x v="0"/>
    <m/>
    <m/>
    <e v="#DIV/0!"/>
    <n v="0"/>
    <n v="0"/>
    <m/>
  </r>
  <r>
    <d v="2026-01-20T00:00:00"/>
    <x v="17"/>
    <s v="December Closing CF"/>
    <s v="Chamki"/>
    <x v="0"/>
    <m/>
    <m/>
    <e v="#DIV/0!"/>
    <n v="64300.475493782011"/>
    <n v="643004.75493782014"/>
    <m/>
  </r>
  <r>
    <d v="2026-01-20T00:00:00"/>
    <x v="18"/>
    <s v="December Closing CF"/>
    <s v="Chamki"/>
    <x v="0"/>
    <m/>
    <m/>
    <e v="#DIV/0!"/>
    <n v="249333.39429407462"/>
    <n v="2493333.9429407464"/>
    <m/>
  </r>
  <r>
    <d v="2026-01-20T00:00:00"/>
    <x v="19"/>
    <s v="December Closing CF"/>
    <s v="Chamki"/>
    <x v="0"/>
    <m/>
    <m/>
    <e v="#DIV/0!"/>
    <n v="52616.130212143384"/>
    <n v="526161.30212143378"/>
    <m/>
  </r>
  <r>
    <d v="2026-01-20T00:00:00"/>
    <x v="20"/>
    <s v="December Closing CF"/>
    <s v="Chamki"/>
    <x v="0"/>
    <m/>
    <m/>
    <e v="#DIV/0!"/>
    <n v="238964.88661302123"/>
    <n v="2389648.8661302123"/>
    <m/>
  </r>
  <r>
    <d v="2026-01-20T00:00:00"/>
    <x v="21"/>
    <s v="December Closing CF"/>
    <s v="Chamki"/>
    <x v="0"/>
    <m/>
    <m/>
    <e v="#DIV/0!"/>
    <n v="42432.333577176301"/>
    <n v="424323.335771763"/>
    <m/>
  </r>
  <r>
    <d v="2026-01-20T00:00:00"/>
    <x v="22"/>
    <s v="December Closing CF"/>
    <s v="Chamki"/>
    <x v="0"/>
    <m/>
    <m/>
    <e v="#DIV/0!"/>
    <n v="0"/>
    <n v="0"/>
    <m/>
  </r>
  <r>
    <d v="2026-01-20T00:00:00"/>
    <x v="23"/>
    <s v="December Closing CF"/>
    <s v="Chamki"/>
    <x v="0"/>
    <m/>
    <m/>
    <e v="#DIV/0!"/>
    <n v="12456.108266276518"/>
    <n v="124561.08266276518"/>
    <m/>
  </r>
  <r>
    <d v="2026-01-20T00:00:00"/>
    <x v="24"/>
    <s v="December Closing CF"/>
    <s v="Chamki"/>
    <x v="0"/>
    <m/>
    <m/>
    <e v="#DIV/0!"/>
    <n v="0"/>
    <n v="0"/>
    <m/>
  </r>
  <r>
    <d v="2026-01-20T00:00:00"/>
    <x v="25"/>
    <s v="December Closing CF"/>
    <s v="Chamki"/>
    <x v="0"/>
    <m/>
    <m/>
    <e v="#DIV/0!"/>
    <n v="0"/>
    <n v="0"/>
    <m/>
  </r>
  <r>
    <d v="2026-01-20T00:00:00"/>
    <x v="0"/>
    <s v="December Closing CF"/>
    <s v="Silky"/>
    <x v="0"/>
    <m/>
    <m/>
    <e v="#DIV/0!"/>
    <n v="379933.24798829557"/>
    <n v="4850776.335040235"/>
    <m/>
  </r>
  <r>
    <d v="2026-01-20T00:00:00"/>
    <x v="1"/>
    <s v="December Closing CF"/>
    <s v="Silky"/>
    <x v="0"/>
    <m/>
    <m/>
    <e v="#DIV/0!"/>
    <n v="290231.34601316752"/>
    <n v="3713863.386978786"/>
    <m/>
  </r>
  <r>
    <d v="2026-01-20T00:00:00"/>
    <x v="2"/>
    <s v="December Closing CF"/>
    <s v="Silky"/>
    <x v="0"/>
    <m/>
    <m/>
    <e v="#DIV/0!"/>
    <n v="126699.8902706657"/>
    <n v="1632304.3160204829"/>
    <m/>
  </r>
  <r>
    <d v="2026-01-20T00:00:00"/>
    <x v="3"/>
    <s v="December Closing CF"/>
    <s v="Silky"/>
    <x v="0"/>
    <m/>
    <m/>
    <e v="#DIV/0!"/>
    <n v="0"/>
    <n v="0"/>
    <m/>
  </r>
  <r>
    <d v="2026-01-20T00:00:00"/>
    <x v="4"/>
    <s v="December Closing CF"/>
    <s v="Silky"/>
    <x v="0"/>
    <m/>
    <m/>
    <e v="#DIV/0!"/>
    <n v="485823.88441843458"/>
    <n v="5829886.6130212145"/>
    <m/>
  </r>
  <r>
    <d v="2026-01-20T00:00:00"/>
    <x v="5"/>
    <s v="December Closing CF"/>
    <s v="Silky"/>
    <x v="0"/>
    <m/>
    <m/>
    <e v="#DIV/0!"/>
    <n v="0"/>
    <n v="0"/>
    <m/>
  </r>
  <r>
    <d v="2026-01-20T00:00:00"/>
    <x v="6"/>
    <s v="December Closing CF"/>
    <s v="Silky"/>
    <x v="0"/>
    <m/>
    <m/>
    <e v="#DIV/0!"/>
    <n v="0"/>
    <n v="0"/>
    <m/>
  </r>
  <r>
    <d v="2026-01-20T00:00:00"/>
    <x v="7"/>
    <s v="December Closing CF"/>
    <s v="Silky"/>
    <x v="0"/>
    <m/>
    <m/>
    <e v="#DIV/0!"/>
    <n v="96615.764447695692"/>
    <n v="1256004.9378200439"/>
    <m/>
  </r>
  <r>
    <d v="2026-01-20T00:00:00"/>
    <x v="8"/>
    <s v="December Closing CF"/>
    <s v="Silky"/>
    <x v="0"/>
    <m/>
    <m/>
    <e v="#DIV/0!"/>
    <n v="69492.501828822249"/>
    <n v="888407.09583028522"/>
    <m/>
  </r>
  <r>
    <d v="2026-01-20T00:00:00"/>
    <x v="9"/>
    <s v="December Closing CF"/>
    <s v="Silky"/>
    <x v="0"/>
    <m/>
    <m/>
    <e v="#DIV/0!"/>
    <n v="0"/>
    <n v="0"/>
    <m/>
  </r>
  <r>
    <d v="2026-01-20T00:00:00"/>
    <x v="10"/>
    <s v="December Closing CF"/>
    <s v="Silky"/>
    <x v="0"/>
    <m/>
    <m/>
    <e v="#DIV/0!"/>
    <n v="0"/>
    <n v="0"/>
    <m/>
  </r>
  <r>
    <d v="2026-01-20T00:00:00"/>
    <x v="11"/>
    <s v="December Closing CF"/>
    <s v="Silky"/>
    <x v="0"/>
    <m/>
    <m/>
    <e v="#DIV/0!"/>
    <n v="141474.94513533285"/>
    <n v="1776019.5683979518"/>
    <m/>
  </r>
  <r>
    <d v="2026-01-20T00:00:00"/>
    <x v="12"/>
    <s v="December Closing CF"/>
    <s v="Silky"/>
    <x v="0"/>
    <m/>
    <m/>
    <e v="#DIV/0!"/>
    <n v="0"/>
    <n v="0"/>
    <m/>
  </r>
  <r>
    <d v="2026-01-20T00:00:00"/>
    <x v="13"/>
    <s v="December Closing CF"/>
    <s v="Silky"/>
    <x v="0"/>
    <m/>
    <m/>
    <e v="#DIV/0!"/>
    <n v="0"/>
    <n v="0"/>
    <m/>
  </r>
  <r>
    <d v="2026-01-20T00:00:00"/>
    <x v="14"/>
    <s v="December Closing CF"/>
    <s v="Silky"/>
    <x v="0"/>
    <m/>
    <m/>
    <e v="#DIV/0!"/>
    <n v="0"/>
    <n v="0"/>
    <m/>
  </r>
  <r>
    <d v="2026-01-20T00:00:00"/>
    <x v="15"/>
    <s v="December Closing CF"/>
    <s v="Silky"/>
    <x v="0"/>
    <m/>
    <m/>
    <e v="#DIV/0!"/>
    <n v="9232.809070958303"/>
    <n v="120026.51792245793"/>
    <m/>
  </r>
  <r>
    <d v="2026-01-20T00:00:00"/>
    <x v="16"/>
    <s v="December Closing CF"/>
    <s v="Silky"/>
    <x v="0"/>
    <m/>
    <m/>
    <e v="#DIV/0!"/>
    <n v="398433.61375274323"/>
    <n v="5179636.9787856629"/>
    <m/>
  </r>
  <r>
    <d v="2026-01-20T00:00:00"/>
    <x v="17"/>
    <s v="December Closing CF"/>
    <s v="Silky"/>
    <x v="0"/>
    <m/>
    <m/>
    <e v="#DIV/0!"/>
    <n v="7565.8376005852242"/>
    <n v="98355.888807607917"/>
    <m/>
  </r>
  <r>
    <d v="2026-01-20T00:00:00"/>
    <x v="18"/>
    <s v="December Closing CF"/>
    <s v="Silky"/>
    <x v="0"/>
    <m/>
    <m/>
    <e v="#DIV/0!"/>
    <n v="43834.125822970011"/>
    <n v="569843.63569861022"/>
    <m/>
  </r>
  <r>
    <d v="2026-01-20T00:00:00"/>
    <x v="19"/>
    <s v="December Closing CF"/>
    <s v="Silky"/>
    <x v="0"/>
    <m/>
    <m/>
    <e v="#DIV/0!"/>
    <n v="31409.107534747625"/>
    <n v="408318.39795171918"/>
    <m/>
  </r>
  <r>
    <d v="2026-01-20T00:00:00"/>
    <x v="20"/>
    <s v="December Closing CF"/>
    <s v="Silky"/>
    <x v="0"/>
    <m/>
    <m/>
    <e v="#DIV/0!"/>
    <n v="0"/>
    <n v="0"/>
    <m/>
  </r>
  <r>
    <d v="2026-01-20T00:00:00"/>
    <x v="21"/>
    <s v="December Closing CF"/>
    <s v="Silky"/>
    <x v="0"/>
    <m/>
    <m/>
    <e v="#DIV/0!"/>
    <n v="0"/>
    <n v="0"/>
    <m/>
  </r>
  <r>
    <d v="2026-01-20T00:00:00"/>
    <x v="22"/>
    <s v="December Closing CF"/>
    <s v="Silky"/>
    <x v="0"/>
    <m/>
    <m/>
    <e v="#DIV/0!"/>
    <n v="60995.793708851503"/>
    <n v="792945.31821506959"/>
    <m/>
  </r>
  <r>
    <d v="2026-01-20T00:00:00"/>
    <x v="23"/>
    <s v="December Closing CF"/>
    <s v="Silky"/>
    <x v="0"/>
    <m/>
    <m/>
    <e v="#DIV/0!"/>
    <n v="0"/>
    <n v="0"/>
    <m/>
  </r>
  <r>
    <d v="2026-01-20T00:00:00"/>
    <x v="24"/>
    <s v="December Closing CF"/>
    <s v="Silky"/>
    <x v="0"/>
    <m/>
    <m/>
    <e v="#DIV/0!"/>
    <n v="29626.005852231167"/>
    <n v="385138.07607900514"/>
    <m/>
  </r>
  <r>
    <d v="2026-01-20T00:00:00"/>
    <x v="25"/>
    <s v="December Closing CF"/>
    <s v="Silky"/>
    <x v="0"/>
    <m/>
    <m/>
    <e v="#DIV/0!"/>
    <n v="0"/>
    <n v="0"/>
    <m/>
  </r>
  <r>
    <d v="2026-01-20T00:00:00"/>
    <x v="5"/>
    <s v="December Closing CF"/>
    <s v="Slub"/>
    <x v="0"/>
    <m/>
    <m/>
    <e v="#DIV/0!"/>
    <m/>
    <n v="71359.729334308722"/>
    <m/>
  </r>
  <r>
    <d v="2026-01-20T00:00:00"/>
    <x v="16"/>
    <s v="December Closing CF"/>
    <s v="Slub"/>
    <x v="0"/>
    <m/>
    <m/>
    <e v="#DIV/0!"/>
    <m/>
    <n v="44550.109729334312"/>
    <m/>
  </r>
  <r>
    <d v="2026-01-20T00:00:00"/>
    <x v="17"/>
    <s v="December Closing CF"/>
    <s v="Satin"/>
    <x v="0"/>
    <m/>
    <m/>
    <e v="#DIV/0!"/>
    <m/>
    <n v="94656.181419166067"/>
    <m/>
  </r>
  <r>
    <d v="2026-01-20T00:00:00"/>
    <x v="4"/>
    <s v="December Closing CF"/>
    <s v="Satin"/>
    <x v="0"/>
    <m/>
    <m/>
    <e v="#DIV/0!"/>
    <m/>
    <n v="239959.76591075349"/>
    <m/>
  </r>
  <r>
    <d v="2026-01-20T00:00:00"/>
    <x v="19"/>
    <s v="December Closing CF"/>
    <s v="Black-Chamki"/>
    <x v="0"/>
    <m/>
    <m/>
    <e v="#DIV/0!"/>
    <m/>
    <n v="161653.2553035845"/>
    <m/>
  </r>
  <r>
    <d v="2026-01-20T00:00:00"/>
    <x v="19"/>
    <s v="December Closing CF"/>
    <s v="Kataan"/>
    <x v="0"/>
    <m/>
    <m/>
    <e v="#DIV/0!"/>
    <m/>
    <n v="1545665.6912948061"/>
    <m/>
  </r>
  <r>
    <d v="2026-01-20T00:00:00"/>
    <x v="20"/>
    <s v="December Closing CF"/>
    <s v="Kataan"/>
    <x v="0"/>
    <m/>
    <m/>
    <e v="#DIV/0!"/>
    <m/>
    <n v="523143.74542794435"/>
    <m/>
  </r>
  <r>
    <d v="2026-01-20T00:00:00"/>
    <x v="20"/>
    <s v="December Closing CF"/>
    <s v="Black-Chamki"/>
    <x v="0"/>
    <m/>
    <m/>
    <e v="#DIV/0!"/>
    <m/>
    <n v="23767.373811265548"/>
    <m/>
  </r>
  <r>
    <d v="2026-01-20T00:00:00"/>
    <x v="25"/>
    <s v="December Closing CF"/>
    <s v="Munaar"/>
    <x v="0"/>
    <m/>
    <m/>
    <e v="#DIV/0!"/>
    <m/>
    <n v="151504.2062911485"/>
    <m/>
  </r>
  <r>
    <d v="2026-01-21T00:00:00"/>
    <x v="7"/>
    <n v="1375"/>
    <s v="Silky"/>
    <x v="1"/>
    <n v="16895"/>
    <n v="18197"/>
    <n v="1.5120500929511422"/>
    <n v="16639.539136795906"/>
    <n v="216314.00877834676"/>
    <m/>
  </r>
  <r>
    <d v="2026-01-21T00:00:00"/>
    <x v="7"/>
    <n v="1376"/>
    <s v="Silky"/>
    <x v="2"/>
    <n v="20503"/>
    <n v="10968"/>
    <n v="51.083933298465325"/>
    <n v="10029.261155815655"/>
    <n v="130380.39502560352"/>
    <m/>
  </r>
  <r>
    <d v="2026-01-21T00:00:00"/>
    <x v="7"/>
    <n v="1377"/>
    <s v="Silky"/>
    <x v="3"/>
    <n v="6991"/>
    <n v="7531"/>
    <n v="1.4957783008083112"/>
    <n v="6886.4301389904904"/>
    <n v="89523.591806876371"/>
    <m/>
  </r>
  <r>
    <d v="2026-01-21T00:00:00"/>
    <x v="8"/>
    <n v="1378"/>
    <s v="Silky"/>
    <x v="4"/>
    <n v="31746"/>
    <n v="15139"/>
    <n v="56.393656101044535"/>
    <n v="13843.269934162401"/>
    <n v="179962.50914411122"/>
    <m/>
  </r>
  <r>
    <d v="2026-01-21T00:00:00"/>
    <x v="8"/>
    <n v="1379"/>
    <s v="Silky"/>
    <x v="5"/>
    <n v="14961"/>
    <n v="1686"/>
    <n v="89.695226608934504"/>
    <n v="1541.697147037308"/>
    <n v="20042.062911485005"/>
    <m/>
  </r>
  <r>
    <d v="2026-01-22T00:00:00"/>
    <x v="7"/>
    <n v="1380"/>
    <s v="Silky"/>
    <x v="6"/>
    <n v="70035"/>
    <n v="8408"/>
    <n v="89.022105103786288"/>
    <n v="7688.3686905632776"/>
    <n v="99948.792977322606"/>
    <m/>
  </r>
  <r>
    <d v="2026-01-22T00:00:00"/>
    <x v="0"/>
    <n v="1381"/>
    <s v="Silky"/>
    <x v="7"/>
    <n v="50350"/>
    <n v="38195"/>
    <n v="1.5414410756017247"/>
    <n v="34925.932699341625"/>
    <n v="454037.12509144115"/>
    <m/>
  </r>
  <r>
    <d v="2026-01-22T00:00:00"/>
    <x v="0"/>
    <n v="1382"/>
    <s v="Silky"/>
    <x v="7"/>
    <n v="50350"/>
    <n v="16019"/>
    <n v="1.5414410756017247"/>
    <n v="14647.951719092905"/>
    <n v="190423.37234820778"/>
    <m/>
  </r>
  <r>
    <d v="2026-01-22T00:00:00"/>
    <x v="0"/>
    <n v="1383"/>
    <s v="Silky"/>
    <x v="8"/>
    <n v="24208"/>
    <n v="980"/>
    <n v="63.488524956352428"/>
    <n v="896.12289685442579"/>
    <n v="11649.597659107536"/>
    <m/>
  </r>
  <r>
    <d v="2026-01-22T00:00:00"/>
    <x v="0"/>
    <n v="1384"/>
    <s v="Chamki"/>
    <x v="9"/>
    <n v="57352"/>
    <n v="34000"/>
    <n v="25.245711158024818"/>
    <n v="31089.978054133142"/>
    <n v="310899.78054133139"/>
    <m/>
  </r>
  <r>
    <d v="2026-01-23T00:00:00"/>
    <x v="0"/>
    <n v="1385"/>
    <s v="Chamki"/>
    <x v="9"/>
    <n v="57352"/>
    <n v="12886"/>
    <n v="25.245711158024818"/>
    <n v="11783.101682516461"/>
    <n v="117831.01682516461"/>
    <m/>
  </r>
  <r>
    <d v="2026-01-23T00:00:00"/>
    <x v="0"/>
    <n v="1386"/>
    <s v="Chamki"/>
    <x v="10"/>
    <n v="38006"/>
    <n v="28436"/>
    <n v="9.7108603458096354E-2"/>
    <n v="26002.194586686175"/>
    <n v="260021.94586686176"/>
    <m/>
  </r>
  <r>
    <d v="2026-01-23T00:00:00"/>
    <x v="0"/>
    <n v="1387"/>
    <s v="Chamki"/>
    <x v="11"/>
    <n v="13976"/>
    <n v="4368"/>
    <n v="71.421381161728178"/>
    <n v="3994.1477688368695"/>
    <n v="39941.477688368694"/>
    <m/>
  </r>
  <r>
    <d v="2026-01-23T00:00:00"/>
    <x v="5"/>
    <n v="1388"/>
    <s v="Chamki"/>
    <x v="12"/>
    <n v="22557"/>
    <n v="1891"/>
    <n v="7.8380644024960588E-2"/>
    <n v="1729.1514264813461"/>
    <n v="17291.514264813461"/>
    <m/>
  </r>
  <r>
    <d v="2026-01-24T00:00:00"/>
    <x v="7"/>
    <n v="1389"/>
    <s v="Chamki"/>
    <x v="13"/>
    <n v="50630"/>
    <n v="49876"/>
    <n v="2.1581908479854519"/>
    <n v="45607.168983174837"/>
    <n v="456071.68983174837"/>
    <m/>
  </r>
  <r>
    <d v="2026-01-24T00:00:00"/>
    <x v="0"/>
    <n v="1390"/>
    <s v="Chamki"/>
    <x v="10"/>
    <n v="38006"/>
    <n v="13087"/>
    <n v="9.7108603458096354E-2"/>
    <n v="11966.898317483541"/>
    <n v="119668.98317483542"/>
    <m/>
  </r>
  <r>
    <d v="2026-01-24T00:00:00"/>
    <x v="0"/>
    <n v="1391"/>
    <s v="Chamki"/>
    <x v="14"/>
    <n v="100417"/>
    <n v="4343"/>
    <n v="93.895244686278559"/>
    <n v="3971.2874908558892"/>
    <n v="39712.874908558893"/>
    <m/>
  </r>
  <r>
    <d v="2026-01-24T00:00:00"/>
    <x v="7"/>
    <n v="1392"/>
    <s v="Chamki"/>
    <x v="13"/>
    <n v="50630"/>
    <n v="4298"/>
    <n v="2.1581908479854519"/>
    <n v="3930.1389904901248"/>
    <n v="39301.389904901247"/>
    <m/>
  </r>
  <r>
    <d v="2026-01-26T00:00:00"/>
    <x v="7"/>
    <n v="1393"/>
    <s v="Chamki"/>
    <x v="15"/>
    <n v="26970"/>
    <n v="18078"/>
    <n v="1.4490619098030351"/>
    <n v="16530.724213606438"/>
    <n v="165307.24213606439"/>
    <m/>
  </r>
  <r>
    <d v="2026-01-26T00:00:00"/>
    <x v="7"/>
    <n v="1394"/>
    <s v="Chamki"/>
    <x v="16"/>
    <n v="25205"/>
    <n v="27004"/>
    <n v="2.0323036542923063"/>
    <n v="24692.757863935629"/>
    <n v="246927.5786393563"/>
    <m/>
  </r>
  <r>
    <d v="2026-01-26T00:00:00"/>
    <x v="7"/>
    <n v="1395"/>
    <s v="Chamki"/>
    <x v="15"/>
    <n v="26970"/>
    <n v="10989"/>
    <n v="1.4490619098030351"/>
    <n v="10048.46378931968"/>
    <n v="100484.63789319679"/>
    <m/>
  </r>
  <r>
    <d v="2026-01-26T00:00:00"/>
    <x v="5"/>
    <n v="1396"/>
    <s v="Chamki"/>
    <x v="12"/>
    <n v="22557"/>
    <n v="12689"/>
    <n v="7.8380644024960588E-2"/>
    <n v="11602.962692026336"/>
    <n v="116029.62692026337"/>
    <m/>
  </r>
  <r>
    <d v="2026-01-26T00:00:00"/>
    <x v="5"/>
    <n v="1397"/>
    <s v="Chamki"/>
    <x v="12"/>
    <n v="22557"/>
    <n v="10069"/>
    <n v="7.8380644024960588E-2"/>
    <n v="9207.205559619606"/>
    <n v="92072.055596196064"/>
    <m/>
  </r>
  <r>
    <d v="2026-01-26T00:00:00"/>
    <x v="5"/>
    <n v="1398"/>
    <s v="Chamki"/>
    <x v="17"/>
    <n v="24970"/>
    <n v="26890"/>
    <n v="1.5277733426417512"/>
    <n v="24588.514996342357"/>
    <n v="245885.14996342358"/>
    <m/>
  </r>
  <r>
    <d v="2026-01-27T00:00:00"/>
    <x v="12"/>
    <n v="1399"/>
    <s v="Chamki"/>
    <x v="18"/>
    <n v="72275"/>
    <n v="6894"/>
    <n v="1.7673849448772216"/>
    <n v="6303.9502560351139"/>
    <n v="63039.502560351139"/>
    <m/>
  </r>
  <r>
    <d v="2026-01-27T00:00:00"/>
    <x v="12"/>
    <n v="1400"/>
    <s v="Chamki"/>
    <x v="18"/>
    <n v="72275"/>
    <n v="29817"/>
    <n v="1.7673849448772216"/>
    <n v="27264.996342355524"/>
    <n v="272649.96342355525"/>
    <m/>
  </r>
  <r>
    <d v="2026-01-27T00:00:00"/>
    <x v="10"/>
    <n v="1401"/>
    <s v="Chamki"/>
    <x v="19"/>
    <n v="61388"/>
    <n v="4389"/>
    <n v="2.1582485710114128"/>
    <n v="4013.3504023408927"/>
    <n v="40133.504023408925"/>
    <m/>
  </r>
  <r>
    <d v="2026-01-27T00:00:00"/>
    <x v="0"/>
    <n v="1402"/>
    <s v="Chamki"/>
    <x v="20"/>
    <n v="61388"/>
    <n v="4114"/>
    <n v="20.618366184765776"/>
    <n v="3761.8873445501099"/>
    <n v="37618.8734455011"/>
    <m/>
  </r>
  <r>
    <d v="2026-01-27T00:00:00"/>
    <x v="0"/>
    <n v="1403"/>
    <s v="Chamki"/>
    <x v="14"/>
    <n v="100417"/>
    <n v="2361"/>
    <n v="93.895244686278559"/>
    <n v="2158.924652523775"/>
    <n v="21589.246525237751"/>
    <m/>
  </r>
  <r>
    <d v="2026-01-27T00:00:00"/>
    <x v="19"/>
    <n v="1404"/>
    <s v="Kataan"/>
    <x v="21"/>
    <n v="28546"/>
    <n v="5143"/>
    <n v="51.095373931811743"/>
    <n v="4702.8163862472575"/>
    <n v="47028.163862472575"/>
    <m/>
  </r>
  <r>
    <d v="2026-01-27T00:00:00"/>
    <x v="19"/>
    <n v="1405"/>
    <s v="Kataan"/>
    <x v="22"/>
    <n v="29087"/>
    <n v="31183"/>
    <n v="1.969670535853524"/>
    <n v="28514.081931236287"/>
    <n v="285140.81931236287"/>
    <m/>
  </r>
  <r>
    <d v="2026-01-27T00:00:00"/>
    <x v="19"/>
    <n v="1406"/>
    <s v="Kataan"/>
    <x v="21"/>
    <n v="28546"/>
    <n v="10124"/>
    <n v="51.095373931811743"/>
    <n v="9257.4981711777618"/>
    <n v="92574.981711777626"/>
    <m/>
  </r>
  <r>
    <d v="2026-01-28T00:00:00"/>
    <x v="12"/>
    <n v="1407"/>
    <s v="Chamki"/>
    <x v="18"/>
    <n v="72275"/>
    <n v="19318"/>
    <n v="1.7673849448772216"/>
    <n v="17664.594001463058"/>
    <n v="176645.94001463059"/>
    <m/>
  </r>
  <r>
    <d v="2026-01-28T00:00:00"/>
    <x v="12"/>
    <n v="1408"/>
    <s v="Chamki"/>
    <x v="18"/>
    <n v="72275"/>
    <n v="21614"/>
    <n v="1.7673849448772216"/>
    <n v="19764.081931236287"/>
    <n v="197640.81931236287"/>
    <m/>
  </r>
  <r>
    <d v="2026-01-28T00:00:00"/>
    <x v="0"/>
    <n v="1409"/>
    <s v="Chamki"/>
    <x v="23"/>
    <n v="9163"/>
    <n v="4740"/>
    <n v="16.133241884903185"/>
    <n v="4334.3087051938555"/>
    <n v="43343.087051938557"/>
    <m/>
  </r>
  <r>
    <d v="2026-01-28T00:00:00"/>
    <x v="0"/>
    <n v="1410"/>
    <s v="Chamki"/>
    <x v="20"/>
    <n v="61388"/>
    <n v="24832"/>
    <n v="20.618366184765776"/>
    <n v="22706.656912948063"/>
    <n v="227066.56912948063"/>
    <m/>
  </r>
  <r>
    <d v="2026-01-28T00:00:00"/>
    <x v="0"/>
    <n v="1411"/>
    <s v="Chamki"/>
    <x v="20"/>
    <n v="61388"/>
    <n v="22178"/>
    <n v="20.618366184765776"/>
    <n v="20279.809802487202"/>
    <n v="202798.09802487202"/>
    <m/>
  </r>
  <r>
    <d v="2026-01-28T00:00:00"/>
    <x v="10"/>
    <n v="1412"/>
    <s v="Chamki"/>
    <x v="19"/>
    <n v="61388"/>
    <n v="16954"/>
    <n v="2.1582485710114128"/>
    <n v="15502.926115581568"/>
    <n v="155029.26115581568"/>
    <m/>
  </r>
  <r>
    <d v="2026-01-29T00:00:00"/>
    <x v="0"/>
    <n v="1413"/>
    <s v="Chamki"/>
    <x v="23"/>
    <n v="9163"/>
    <n v="1930"/>
    <n v="16.133241884903185"/>
    <n v="1764.8134601316754"/>
    <n v="17648.134601316753"/>
    <m/>
  </r>
  <r>
    <d v="2026-01-29T00:00:00"/>
    <x v="0"/>
    <n v="1414"/>
    <s v="Silky"/>
    <x v="24"/>
    <n v="15801"/>
    <n v="2237"/>
    <n v="4.6294839246745028"/>
    <n v="2045.5376737381127"/>
    <n v="26591.989758595464"/>
    <m/>
  </r>
  <r>
    <d v="2026-01-29T00:00:00"/>
    <x v="8"/>
    <n v="1415"/>
    <s v="Silky"/>
    <x v="25"/>
    <n v="10156"/>
    <n v="10772"/>
    <n v="3.0126370968415586"/>
    <n v="9850.0365764447706"/>
    <n v="128050.47549378203"/>
    <m/>
  </r>
  <r>
    <d v="2026-01-29T00:00:00"/>
    <x v="8"/>
    <n v="1416"/>
    <s v="Silky"/>
    <x v="26"/>
    <n v="18250"/>
    <n v="19489"/>
    <n v="2.3509134090248409"/>
    <n v="17820.958302852963"/>
    <n v="231672.45793708853"/>
    <m/>
  </r>
  <r>
    <d v="2026-01-30T00:00:00"/>
    <x v="26"/>
    <n v="1417"/>
    <s v="Silky"/>
    <x v="27"/>
    <n v="22555"/>
    <n v="13182"/>
    <n v="2.9844465378217819"/>
    <n v="12053.767373811266"/>
    <n v="156698.97585954645"/>
    <m/>
  </r>
  <r>
    <d v="2026-01-30T00:00:00"/>
    <x v="18"/>
    <n v="1418"/>
    <s v="Silky"/>
    <x v="28"/>
    <n v="2825"/>
    <n v="3025"/>
    <n v="2.0851810372173247"/>
    <n v="2766.0936356986103"/>
    <n v="35959.217264081934"/>
    <m/>
  </r>
  <r>
    <d v="2026-01-30T00:00:00"/>
    <x v="0"/>
    <n v="1419"/>
    <s v="Silky"/>
    <x v="24"/>
    <n v="15801"/>
    <n v="2293"/>
    <n v="4.6294839246745028"/>
    <n v="2096.7446964155088"/>
    <n v="27257.681053401615"/>
    <m/>
  </r>
  <r>
    <d v="2026-01-30T00:00:00"/>
    <x v="26"/>
    <n v="1420"/>
    <s v="Silky"/>
    <x v="29"/>
    <n v="24771"/>
    <n v="26201"/>
    <n v="3.2801028009101714"/>
    <n v="23958.485735186543"/>
    <n v="311460.31455742504"/>
    <m/>
  </r>
  <r>
    <d v="2026-01-31T00:00:00"/>
    <x v="26"/>
    <n v="1421"/>
    <s v="Silky"/>
    <x v="27"/>
    <n v="22555"/>
    <n v="10748"/>
    <n v="2.9844465378217819"/>
    <n v="9828.0907095830298"/>
    <n v="127765.17922457939"/>
    <m/>
  </r>
  <r>
    <d v="2026-01-31T00:00:00"/>
    <x v="1"/>
    <n v="1422"/>
    <s v="Silky"/>
    <x v="30"/>
    <n v="20829"/>
    <n v="12106"/>
    <n v="5.8150840071150185"/>
    <n v="11069.861009509877"/>
    <n v="143908.19312362841"/>
    <m/>
  </r>
  <r>
    <d v="2026-01-31T00:00:00"/>
    <x v="1"/>
    <n v="1423"/>
    <s v="Silky"/>
    <x v="30"/>
    <n v="20829"/>
    <n v="9348"/>
    <n v="5.8150840071150185"/>
    <n v="8547.9151426481349"/>
    <n v="111122.89685442575"/>
    <m/>
  </r>
  <r>
    <d v="2026-01-31T00:00:00"/>
    <x v="18"/>
    <n v="1424"/>
    <s v="Chamki"/>
    <x v="31"/>
    <n v="38203"/>
    <n v="40953"/>
    <n v="1.9766024495370402"/>
    <n v="37447.87856620337"/>
    <n v="374478.78566203371"/>
    <m/>
  </r>
  <r>
    <d v="2026-01-31T00:00:00"/>
    <x v="2"/>
    <n v="1425"/>
    <s v="Chamki"/>
    <x v="32"/>
    <n v="19708"/>
    <n v="21060"/>
    <n v="2.2858830364432663"/>
    <n v="19257.498171177762"/>
    <n v="192574.98171177763"/>
    <m/>
  </r>
  <r>
    <d v="2026-01-31T00:00:00"/>
    <x v="27"/>
    <n v="1426"/>
    <s v="Chamki"/>
    <x v="33"/>
    <n v="51107"/>
    <n v="11051"/>
    <n v="2.5990324042809902"/>
    <n v="10105.15727871251"/>
    <n v="101051.5727871251"/>
    <m/>
  </r>
  <r>
    <d v="2026-01-31T00:00:00"/>
    <x v="0"/>
    <n v="1427"/>
    <s v="Silky"/>
    <x v="8"/>
    <n v="24208"/>
    <n v="8143"/>
    <n v="63.488524956352428"/>
    <n v="7446.0497439648871"/>
    <n v="96798.646671543538"/>
    <m/>
  </r>
  <r>
    <d v="2026-01-31T00:00:00"/>
    <x v="0"/>
    <n v="1428"/>
    <s v="Silky"/>
    <x v="24"/>
    <n v="15801"/>
    <n v="4235"/>
    <n v="4.6294839246745028"/>
    <n v="3872.5310899780543"/>
    <n v="50342.904169714704"/>
    <m/>
  </r>
  <r>
    <d v="2026-01-31T00:00:00"/>
    <x v="27"/>
    <n v="1429"/>
    <s v="Chamki"/>
    <x v="33"/>
    <n v="51107"/>
    <n v="5210"/>
    <n v="2.5990324042809902"/>
    <n v="4764.0819312362846"/>
    <n v="47640.819312362844"/>
    <m/>
  </r>
  <r>
    <d v="2026-02-02T00:00:00"/>
    <x v="1"/>
    <n v="1430"/>
    <s v="Silky"/>
    <x v="34"/>
    <n v="25068"/>
    <n v="26732"/>
    <n v="2.4890775510508973"/>
    <n v="24444.038039502564"/>
    <n v="317772.49451353331"/>
    <m/>
  </r>
  <r>
    <d v="2026-02-02T00:00:00"/>
    <x v="22"/>
    <n v="1431"/>
    <s v="Silky"/>
    <x v="35"/>
    <n v="49937"/>
    <n v="21597"/>
    <n v="3.640474342221296"/>
    <n v="19748.536942209219"/>
    <n v="256730.98024871986"/>
    <m/>
  </r>
  <r>
    <d v="2026-02-02T00:00:00"/>
    <x v="22"/>
    <n v="1432"/>
    <s v="Silky"/>
    <x v="35"/>
    <n v="49937"/>
    <n v="31026"/>
    <n v="3.640474342221296"/>
    <n v="28370.51938551573"/>
    <n v="368816.75201170449"/>
    <m/>
  </r>
  <r>
    <d v="2026-02-02T00:00:00"/>
    <x v="0"/>
    <n v="1433"/>
    <s v="Silky"/>
    <x v="24"/>
    <n v="15801"/>
    <n v="7255"/>
    <n v="4.6294839246745028"/>
    <n v="6634.0526700804685"/>
    <n v="86242.684711046095"/>
    <m/>
  </r>
  <r>
    <d v="2026-02-02T00:00:00"/>
    <x v="27"/>
    <n v="1434"/>
    <s v="Chamki"/>
    <x v="33"/>
    <n v="51104"/>
    <n v="14000"/>
    <n v="2.5990324042809902"/>
    <n v="12801.755669348941"/>
    <n v="128017.5566934894"/>
    <m/>
  </r>
  <r>
    <d v="2026-02-02T00:00:00"/>
    <x v="0"/>
    <n v="1435"/>
    <s v="Silky"/>
    <x v="8"/>
    <n v="24208"/>
    <n v="543"/>
    <n v="63.488524956352428"/>
    <n v="496.52523774689104"/>
    <n v="6454.8280907095832"/>
    <m/>
  </r>
  <r>
    <d v="2026-02-02T00:00:00"/>
    <x v="19"/>
    <n v="1436"/>
    <s v="Chamki"/>
    <x v="36"/>
    <n v="20797"/>
    <n v="22226"/>
    <n v="2.2758016242213586"/>
    <n v="20323.701536210683"/>
    <n v="203237.01536210685"/>
    <m/>
  </r>
  <r>
    <d v="2026-02-03T00:00:00"/>
    <x v="27"/>
    <n v="1437"/>
    <s v="Chamki"/>
    <x v="33"/>
    <n v="51104"/>
    <n v="24177"/>
    <n v="2.5990324042809902"/>
    <n v="22107.717629846382"/>
    <n v="221077.17629846383"/>
    <m/>
  </r>
  <r>
    <d v="2026-02-03T00:00:00"/>
    <x v="10"/>
    <n v="1438"/>
    <s v="Chamki"/>
    <x v="19"/>
    <n v="61388"/>
    <n v="24294"/>
    <n v="2.1582485710114128"/>
    <n v="22214.70373079737"/>
    <n v="222147.03730797369"/>
    <m/>
  </r>
  <r>
    <d v="2026-02-03T00:00:00"/>
    <x v="10"/>
    <n v="1439"/>
    <s v="Chamki"/>
    <x v="19"/>
    <n v="61388"/>
    <n v="20048"/>
    <n v="2.1582485710114128"/>
    <n v="18332.114118507681"/>
    <n v="183321.14118507682"/>
    <m/>
  </r>
  <r>
    <d v="2026-02-03T00:00:00"/>
    <x v="0"/>
    <n v="1440"/>
    <s v="Kataan"/>
    <x v="37"/>
    <n v="53024"/>
    <n v="4154"/>
    <n v="78.28308082268525"/>
    <n v="3798.4637893196787"/>
    <n v="41783.101682516462"/>
    <m/>
  </r>
  <r>
    <d v="2026-02-05T00:00:00"/>
    <x v="20"/>
    <n v="1441"/>
    <s v="Chamki"/>
    <x v="38"/>
    <n v="52566"/>
    <n v="52734"/>
    <n v="0.95532112749133091"/>
    <n v="48220.555961960505"/>
    <n v="482205.55961960508"/>
    <m/>
  </r>
  <r>
    <d v="2026-02-05T00:00:00"/>
    <x v="20"/>
    <n v="1442"/>
    <s v="Chamki"/>
    <x v="39"/>
    <n v="20322"/>
    <n v="21839"/>
    <n v="1.7329769064801326"/>
    <n v="19969.824433065107"/>
    <n v="199698.24433065107"/>
    <m/>
  </r>
  <r>
    <d v="2026-02-05T00:00:00"/>
    <x v="0"/>
    <n v="1443"/>
    <s v="Chamki"/>
    <x v="40"/>
    <n v="70927"/>
    <n v="27816"/>
    <n v="-0.75063113666979575"/>
    <n v="25435.259692757867"/>
    <n v="254352.59692757868"/>
    <m/>
  </r>
  <r>
    <d v="2026-02-05T00:00:00"/>
    <x v="0"/>
    <n v="1444"/>
    <s v="Chamki"/>
    <x v="40"/>
    <n v="70927"/>
    <n v="21465"/>
    <n v="-0.75063113666979575"/>
    <n v="19627.834674469643"/>
    <n v="196278.34674469644"/>
    <m/>
  </r>
  <r>
    <d v="2026-02-05T00:00:00"/>
    <x v="0"/>
    <n v="1445"/>
    <s v="Chamki"/>
    <x v="40"/>
    <n v="70927"/>
    <n v="24592"/>
    <n v="-0.75063113666979575"/>
    <n v="22487.198244330652"/>
    <n v="224871.98244330651"/>
    <m/>
  </r>
  <r>
    <d v="2026-02-05T00:00:00"/>
    <x v="0"/>
    <n v="1446"/>
    <s v="Chamki"/>
    <x v="41"/>
    <n v="55052"/>
    <n v="10863"/>
    <n v="60.154384328581322"/>
    <n v="9933.2479882955377"/>
    <n v="99332.479882955377"/>
    <m/>
  </r>
  <r>
    <d v="2026-02-05T00:00:00"/>
    <x v="0"/>
    <n v="1447"/>
    <s v="Chamki"/>
    <x v="23"/>
    <n v="9163"/>
    <n v="1734"/>
    <n v="16.133241884903185"/>
    <n v="1585.5888807607903"/>
    <n v="15855.888807607902"/>
    <m/>
  </r>
  <r>
    <d v="2026-02-05T00:00:00"/>
    <x v="0"/>
    <n v="1448"/>
    <s v="Chamki"/>
    <x v="20"/>
    <n v="61388"/>
    <n v="2168"/>
    <n v="20.618366184765776"/>
    <n v="1982.4433065106073"/>
    <n v="19824.433065106074"/>
    <m/>
  </r>
  <r>
    <d v="2026-02-06T00:00:00"/>
    <x v="0"/>
    <n v="1449"/>
    <s v="Chamki"/>
    <x v="41"/>
    <n v="55052"/>
    <n v="13126"/>
    <n v="60.154384328581322"/>
    <n v="12002.56035113387"/>
    <n v="120025.6035113387"/>
    <m/>
  </r>
  <r>
    <d v="2026-02-06T00:00:00"/>
    <x v="0"/>
    <n v="1450"/>
    <s v="Chamki"/>
    <x v="40"/>
    <n v="70927"/>
    <n v="2252"/>
    <n v="-0.75063113666979575"/>
    <n v="2059.253840526701"/>
    <n v="20592.538405267009"/>
    <m/>
  </r>
  <r>
    <d v="2026-02-06T00:00:00"/>
    <x v="7"/>
    <n v="1451"/>
    <s v="Silky"/>
    <x v="42"/>
    <n v="47813"/>
    <n v="30736"/>
    <n v="3.5156945483066409"/>
    <n v="28105.340160936361"/>
    <n v="365369.42209217267"/>
    <m/>
  </r>
  <r>
    <d v="2026-02-06T00:00:00"/>
    <x v="7"/>
    <n v="1452"/>
    <s v="Silky"/>
    <x v="42"/>
    <n v="47813"/>
    <n v="19714"/>
    <n v="3.5156945483066409"/>
    <n v="18026.700804681786"/>
    <n v="234347.11046086322"/>
    <m/>
  </r>
  <r>
    <d v="2026-02-07T00:00:00"/>
    <x v="0"/>
    <n v="1453"/>
    <s v="Silky"/>
    <x v="43"/>
    <n v="25142"/>
    <n v="15225"/>
    <n v="-3.5522766167321151"/>
    <n v="13921.909290416972"/>
    <n v="180984.82077542064"/>
    <m/>
  </r>
  <r>
    <d v="2026-02-07T00:00:00"/>
    <x v="27"/>
    <n v="1454"/>
    <s v="Silky"/>
    <x v="44"/>
    <n v="62470"/>
    <n v="12000"/>
    <n v="3.3420460255450735"/>
    <n v="10972.93343087052"/>
    <n v="142648.13460131676"/>
    <m/>
  </r>
  <r>
    <d v="2026-02-07T00:00:00"/>
    <x v="0"/>
    <n v="1455"/>
    <s v="Silky"/>
    <x v="43"/>
    <n v="25142"/>
    <n v="11802"/>
    <n v="-3.5522766167321151"/>
    <n v="10791.880029261156"/>
    <n v="140294.44038039504"/>
    <m/>
  </r>
  <r>
    <d v="2026-02-09T00:00:00"/>
    <x v="27"/>
    <n v="1456"/>
    <s v="Silky"/>
    <x v="44"/>
    <n v="62470"/>
    <n v="34623"/>
    <n v="3.3420460255450735"/>
    <n v="31659.65618141917"/>
    <n v="411575.53035844921"/>
    <m/>
  </r>
  <r>
    <d v="2026-02-09T00:00:00"/>
    <x v="27"/>
    <n v="1457"/>
    <s v="Silky"/>
    <x v="44"/>
    <n v="62470"/>
    <n v="17989"/>
    <n v="3.3420460255450735"/>
    <n v="16449.341623994151"/>
    <n v="213841.44111192395"/>
    <m/>
  </r>
  <r>
    <d v="2026-02-09T00:00:00"/>
    <x v="28"/>
    <n v="1458"/>
    <s v="Silky"/>
    <x v="45"/>
    <n v="50784"/>
    <n v="32775"/>
    <n v="3.5946641950485514"/>
    <n v="29969.824433065107"/>
    <n v="389607.71762984642"/>
    <m/>
  </r>
  <r>
    <d v="2026-02-09T00:00:00"/>
    <x v="18"/>
    <n v="1459"/>
    <s v="Chamki"/>
    <x v="46"/>
    <n v="60945"/>
    <n v="16899"/>
    <n v="2.4913213089883897"/>
    <n v="15452.63350402341"/>
    <n v="154526.33504023409"/>
    <m/>
  </r>
  <r>
    <d v="2026-02-09T00:00:00"/>
    <x v="28"/>
    <n v="1460"/>
    <s v="Silky"/>
    <x v="45"/>
    <n v="50784"/>
    <n v="12214"/>
    <n v="3.5946641950485514"/>
    <n v="11168.617410387711"/>
    <n v="145192.02633504025"/>
    <m/>
  </r>
  <r>
    <d v="2026-02-09T00:00:00"/>
    <x v="10"/>
    <n v="1461"/>
    <s v="Chamki"/>
    <x v="47"/>
    <n v="45681"/>
    <n v="18843"/>
    <n v="2.53567698658712"/>
    <n v="17230.248719824434"/>
    <n v="172302.48719824434"/>
    <m/>
  </r>
  <r>
    <d v="2026-02-10T00:00:00"/>
    <x v="5"/>
    <n v="1462"/>
    <s v="Chamki"/>
    <x v="48"/>
    <n v="34568"/>
    <n v="36850"/>
    <n v="2.52242031947209"/>
    <n v="33696.04974396489"/>
    <n v="336960.4974396489"/>
    <m/>
  </r>
  <r>
    <d v="2026-02-10T00:00:00"/>
    <x v="5"/>
    <n v="1463"/>
    <s v="Black-Chamki"/>
    <x v="49"/>
    <n v="27813"/>
    <n v="10710"/>
    <n v="3.4333462974361737"/>
    <n v="9793.3430870519387"/>
    <n v="117520.11704462327"/>
    <m/>
  </r>
  <r>
    <d v="2026-02-10T00:00:00"/>
    <x v="5"/>
    <n v="1464"/>
    <s v="Chamki"/>
    <x v="50"/>
    <n v="24175"/>
    <n v="25825"/>
    <n v="2.3178194235673288"/>
    <n v="23614.667154352599"/>
    <n v="236146.671543526"/>
    <m/>
  </r>
  <r>
    <d v="2026-02-10T00:00:00"/>
    <x v="5"/>
    <n v="1465"/>
    <s v="Black-Chamki"/>
    <x v="49"/>
    <n v="27813"/>
    <n v="18662"/>
    <n v="3.4333462974361737"/>
    <n v="17064.740307242137"/>
    <n v="204776.88368690564"/>
    <m/>
  </r>
  <r>
    <d v="2026-02-10T00:00:00"/>
    <x v="20"/>
    <n v="1466"/>
    <s v="Chamki"/>
    <x v="38"/>
    <n v="52566"/>
    <n v="4203"/>
    <n v="0.95532112749133091"/>
    <n v="3843.2699341623997"/>
    <n v="38432.699341624"/>
    <m/>
  </r>
  <r>
    <d v="2026-02-10T00:00:00"/>
    <x v="0"/>
    <n v="1467"/>
    <s v="Chamki"/>
    <x v="40"/>
    <n v="70927"/>
    <n v="2023"/>
    <n v="-0.75063113666979575"/>
    <n v="1849.8536942209219"/>
    <n v="18498.536942209219"/>
    <m/>
  </r>
  <r>
    <d v="2026-02-10T00:00:00"/>
    <x v="0"/>
    <n v="1468"/>
    <s v="Kataan"/>
    <x v="37"/>
    <n v="53024"/>
    <n v="8439"/>
    <n v="78.28308082268525"/>
    <n v="7716.7154352596935"/>
    <n v="84883.869787856631"/>
    <m/>
  </r>
  <r>
    <d v="2026-02-10T00:00:00"/>
    <x v="10"/>
    <n v="1469"/>
    <s v="Chamki"/>
    <x v="47"/>
    <n v="45681"/>
    <n v="29847"/>
    <n v="2.53567698658712"/>
    <n v="27292.428675932701"/>
    <n v="272924.28675932699"/>
    <m/>
  </r>
  <r>
    <d v="2026-02-11T00:00:00"/>
    <x v="18"/>
    <n v="1470"/>
    <s v="Chamki"/>
    <x v="46"/>
    <n v="60945"/>
    <n v="48090"/>
    <n v="2.4913213089883897"/>
    <n v="43974.030724213611"/>
    <n v="439740.3072421361"/>
    <m/>
  </r>
  <r>
    <d v="2026-02-11T00:00:00"/>
    <x v="18"/>
    <n v="1471"/>
    <s v="Chamki"/>
    <x v="51"/>
    <n v="15104"/>
    <n v="15955"/>
    <n v="3.4068497917002247"/>
    <n v="14589.429407461595"/>
    <n v="145894.29407461596"/>
    <m/>
  </r>
  <r>
    <d v="2026-02-11T00:00:00"/>
    <x v="0"/>
    <n v="1472"/>
    <s v="Chamki"/>
    <x v="52"/>
    <n v="39029"/>
    <n v="23896"/>
    <n v="27.714452684190363"/>
    <n v="21850.768105340161"/>
    <n v="218507.68105340161"/>
    <m/>
  </r>
  <r>
    <d v="2026-02-11T00:00:00"/>
    <x v="0"/>
    <n v="1473"/>
    <s v="Chamki"/>
    <x v="53"/>
    <n v="61388"/>
    <n v="5309"/>
    <n v="85.554246702316647"/>
    <n v="4854.6086320409659"/>
    <n v="48546.08632040966"/>
    <m/>
  </r>
  <r>
    <d v="2026-02-11T00:00:00"/>
    <x v="2"/>
    <n v="1474"/>
    <s v="Chamki"/>
    <x v="54"/>
    <n v="25072"/>
    <n v="4507"/>
    <n v="83.562336812335985"/>
    <n v="4121.25091441112"/>
    <n v="41212.509144111202"/>
    <m/>
  </r>
  <r>
    <d v="2026-02-12T00:00:00"/>
    <x v="16"/>
    <n v="1475"/>
    <s v="Silky"/>
    <x v="55"/>
    <n v="17444"/>
    <n v="18354"/>
    <n v="3.7886856081376976"/>
    <n v="16783.101682516462"/>
    <n v="218180.321872714"/>
    <m/>
  </r>
  <r>
    <d v="2026-02-12T00:00:00"/>
    <x v="16"/>
    <n v="1476"/>
    <s v="Silky"/>
    <x v="56"/>
    <n v="50157"/>
    <n v="29733"/>
    <n v="5.0494249811261938"/>
    <n v="27188.185808339433"/>
    <n v="353446.41550841264"/>
    <m/>
  </r>
  <r>
    <d v="2026-02-12T00:00:00"/>
    <x v="29"/>
    <n v="1477"/>
    <s v="Silky"/>
    <x v="43"/>
    <n v="1400"/>
    <n v="1445"/>
    <n v="-3.5522766167321151"/>
    <n v="1321.3240673006585"/>
    <n v="15855.888807607902"/>
    <m/>
  </r>
  <r>
    <d v="2026-02-13T00:00:00"/>
    <x v="1"/>
    <n v="1478"/>
    <s v="Silky"/>
    <x v="57"/>
    <n v="20008"/>
    <n v="20873"/>
    <n v="4.6056412840862038"/>
    <n v="19086.503291880032"/>
    <n v="248124.54279444041"/>
    <m/>
  </r>
  <r>
    <d v="2026-02-13T00:00:00"/>
    <x v="28"/>
    <n v="1479"/>
    <s v="Silky"/>
    <x v="45"/>
    <n v="50784"/>
    <n v="8552"/>
    <n v="3.5946641950485514"/>
    <n v="7820.0438917337242"/>
    <n v="101660.57059253841"/>
    <m/>
  </r>
  <r>
    <d v="2026-02-13T00:00:00"/>
    <x v="27"/>
    <n v="1480"/>
    <s v="Silky"/>
    <x v="44"/>
    <n v="62470"/>
    <n v="1422"/>
    <n v="3.3420460255450735"/>
    <n v="1300.2926115581568"/>
    <n v="16903.803950256039"/>
    <m/>
  </r>
  <r>
    <d v="2026-02-13T00:00:00"/>
    <x v="16"/>
    <n v="1481"/>
    <s v="Silky"/>
    <x v="56"/>
    <n v="50157"/>
    <n v="22349"/>
    <n v="5.0494249811261938"/>
    <n v="20436.174103877103"/>
    <n v="265670.26335040235"/>
    <m/>
  </r>
  <r>
    <d v="2026-02-13T00:00:00"/>
    <x v="2"/>
    <n v="1482"/>
    <s v="Silky"/>
    <x v="58"/>
    <n v="20111"/>
    <n v="10714"/>
    <n v="3.1527182149312551"/>
    <n v="9797.0007315288967"/>
    <n v="127361.00950987566"/>
    <m/>
  </r>
  <r>
    <d v="2026-02-13T00:00:00"/>
    <x v="0"/>
    <n v="1483"/>
    <s v="Chamki"/>
    <x v="52"/>
    <n v="39029"/>
    <n v="6957"/>
    <n v="27.714452684190363"/>
    <n v="6361.5581565471839"/>
    <n v="63615.581565471839"/>
    <m/>
  </r>
  <r>
    <d v="2026-02-14T00:00:00"/>
    <x v="27"/>
    <n v="1484"/>
    <s v="Silky"/>
    <x v="59"/>
    <n v="27995"/>
    <n v="19687"/>
    <n v="5.8935568622937069"/>
    <n v="18002.011704462329"/>
    <n v="234026.15215801029"/>
    <m/>
  </r>
  <r>
    <d v="2026-02-14T00:00:00"/>
    <x v="2"/>
    <n v="1485"/>
    <s v="Silky"/>
    <x v="58"/>
    <n v="20111"/>
    <n v="7934"/>
    <n v="3.1527182149312551"/>
    <n v="7254.9378200438923"/>
    <n v="94314.191660570606"/>
    <m/>
  </r>
  <r>
    <d v="2026-02-14T00:00:00"/>
    <x v="1"/>
    <n v="1486"/>
    <s v="Silky"/>
    <x v="60"/>
    <n v="30340"/>
    <n v="17714"/>
    <n v="3.5226949968149341"/>
    <n v="16197.878566203366"/>
    <n v="210572.42136064376"/>
    <m/>
  </r>
  <r>
    <d v="2026-02-14T00:00:00"/>
    <x v="0"/>
    <n v="1487"/>
    <s v="Chamki"/>
    <x v="53"/>
    <n v="61388"/>
    <n v="4389"/>
    <n v="85.554246702316647"/>
    <n v="4013.3504023408927"/>
    <n v="40133.504023408925"/>
    <m/>
  </r>
  <r>
    <d v="2026-02-14T00:00:00"/>
    <x v="0"/>
    <n v="1488"/>
    <s v="Chamki"/>
    <x v="61"/>
    <n v="7943"/>
    <n v="2095"/>
    <n v="75.882018194559421"/>
    <n v="1915.6912948061449"/>
    <n v="19156.91294806145"/>
    <m/>
  </r>
  <r>
    <d v="2026-02-16T00:00:00"/>
    <x v="0"/>
    <n v="1489"/>
    <s v="Chamki"/>
    <x v="62"/>
    <n v="7968"/>
    <n v="3128"/>
    <n v="7.7211369251695885"/>
    <n v="2860.2779809802491"/>
    <n v="28602.77980980249"/>
    <m/>
  </r>
  <r>
    <d v="2026-02-16T00:00:00"/>
    <x v="0"/>
    <n v="1490"/>
    <s v="Chamki"/>
    <x v="63"/>
    <n v="5552"/>
    <n v="1916"/>
    <n v="33.840247370606875"/>
    <n v="1752.0117044623264"/>
    <n v="17520.117044623265"/>
    <m/>
  </r>
  <r>
    <d v="2026-02-16T00:00:00"/>
    <x v="10"/>
    <n v="1491"/>
    <s v="Chamki"/>
    <x v="64"/>
    <n v="23541"/>
    <n v="25328"/>
    <n v="1.6175828210750893"/>
    <n v="23160.204828090711"/>
    <n v="231602.0482809071"/>
    <m/>
  </r>
  <r>
    <d v="2026-02-16T00:00:00"/>
    <x v="2"/>
    <n v="1492"/>
    <s v="Chamki"/>
    <x v="65"/>
    <n v="25013"/>
    <n v="24149"/>
    <n v="11.717450451734365"/>
    <n v="22082.114118507681"/>
    <n v="220821.14118507682"/>
    <m/>
  </r>
  <r>
    <d v="2026-02-16T00:00:00"/>
    <x v="2"/>
    <n v="1493"/>
    <s v="Silky"/>
    <x v="58"/>
    <n v="20111"/>
    <n v="2652"/>
    <n v="3.1527182149312551"/>
    <n v="2425.0182882223849"/>
    <n v="31525.237746891002"/>
    <m/>
  </r>
  <r>
    <d v="2026-02-16T00:00:00"/>
    <x v="16"/>
    <s v="Kora transport"/>
    <s v="Chamki"/>
    <x v="0"/>
    <m/>
    <m/>
    <e v="#DIV/0!"/>
    <m/>
    <n v="30000"/>
    <m/>
  </r>
  <r>
    <d v="2026-02-16T00:00:00"/>
    <x v="0"/>
    <n v="1494"/>
    <s v="Silky"/>
    <x v="66"/>
    <n v="96074"/>
    <n v="3063"/>
    <n v="29.347621413321974"/>
    <n v="2800.8412582297001"/>
    <n v="36410.936356986102"/>
    <m/>
  </r>
  <r>
    <d v="2026-02-16T00:00:00"/>
    <x v="0"/>
    <n v="1494"/>
    <s v="Silky"/>
    <x v="24"/>
    <m/>
    <n v="460"/>
    <n v="4.6294839246745028"/>
    <n v="420.62911485003661"/>
    <n v="5468.1784930504764"/>
    <m/>
  </r>
  <r>
    <d v="2026-02-16T00:00:00"/>
    <x v="27"/>
    <n v="1495"/>
    <s v="Chamki"/>
    <x v="67"/>
    <n v="24922"/>
    <n v="26640"/>
    <n v="2.2553879442558582"/>
    <n v="24359.912216532553"/>
    <n v="243599.12216532553"/>
    <m/>
  </r>
  <r>
    <d v="2026-02-16T00:00:00"/>
    <x v="27"/>
    <n v="1496"/>
    <s v="Chamki"/>
    <x v="68"/>
    <n v="22604"/>
    <n v="24110"/>
    <n v="2.4665896086650321"/>
    <n v="22046.452084857352"/>
    <n v="220464.52084857353"/>
    <m/>
  </r>
  <r>
    <d v="2026-02-16T00:00:00"/>
    <x v="0"/>
    <n v="1497"/>
    <s v="Chamki"/>
    <x v="63"/>
    <n v="5552"/>
    <n v="2101"/>
    <n v="33.840247370606875"/>
    <n v="1921.1777615215804"/>
    <n v="19211.777615215804"/>
    <m/>
  </r>
  <r>
    <d v="2026-02-16T00:00:00"/>
    <x v="0"/>
    <n v="1498"/>
    <s v="Chamki"/>
    <x v="69"/>
    <n v="100801"/>
    <n v="5331"/>
    <n v="95.164010598442246"/>
    <n v="4874.7256766642286"/>
    <n v="48747.256766642284"/>
    <m/>
  </r>
  <r>
    <d v="2026-02-16T00:00:00"/>
    <x v="0"/>
    <n v="1499"/>
    <s v="Chamki"/>
    <x v="62"/>
    <n v="7968"/>
    <n v="4913"/>
    <n v="7.7211369251695885"/>
    <n v="4492.5018288222391"/>
    <n v="44925.018288222389"/>
    <m/>
  </r>
  <r>
    <d v="2026-02-16T00:00:00"/>
    <x v="0"/>
    <n v="1500"/>
    <s v="Chamki"/>
    <x v="70"/>
    <n v="47491"/>
    <n v="4203"/>
    <n v="91.907372061732957"/>
    <n v="3843.2699341623997"/>
    <n v="38432.699341624"/>
    <m/>
  </r>
  <r>
    <d v="2026-02-17T00:00:00"/>
    <x v="0"/>
    <n v="1501"/>
    <s v="Silky"/>
    <x v="66"/>
    <n v="96074"/>
    <n v="37163"/>
    <n v="29.347621413321974"/>
    <n v="33982.26042428676"/>
    <n v="441769.38551572786"/>
    <m/>
  </r>
  <r>
    <d v="2026-02-17T00:00:00"/>
    <x v="27"/>
    <n v="1502"/>
    <s v="Silky"/>
    <x v="59"/>
    <n v="27995"/>
    <n v="9124"/>
    <n v="5.8935568622937069"/>
    <n v="8343.0870519385517"/>
    <n v="108460.13167520118"/>
    <m/>
  </r>
  <r>
    <d v="2026-02-17T00:00:00"/>
    <x v="0"/>
    <n v="1503"/>
    <s v="Silky"/>
    <x v="66"/>
    <n v="96074"/>
    <n v="17576"/>
    <n v="29.347621413321974"/>
    <n v="16071.689831748356"/>
    <n v="208931.96781272863"/>
    <m/>
  </r>
  <r>
    <d v="2026-02-17T00:00:00"/>
    <x v="1"/>
    <n v="1504"/>
    <s v="Silky"/>
    <x v="60"/>
    <n v="30340"/>
    <n v="14297"/>
    <n v="3.5226949968149341"/>
    <n v="13073.335771762986"/>
    <n v="169953.36503291881"/>
    <m/>
  </r>
  <r>
    <d v="2026-02-17T00:00:00"/>
    <x v="0"/>
    <n v="1505"/>
    <s v="Silky"/>
    <x v="66"/>
    <n v="96074"/>
    <n v="16430"/>
    <n v="29.347621413321974"/>
    <n v="15023.774689100221"/>
    <n v="195309.07095830288"/>
    <m/>
  </r>
  <r>
    <d v="2026-02-18T00:00:00"/>
    <x v="22"/>
    <n v="1507"/>
    <s v="Silky"/>
    <x v="71"/>
    <n v="1519"/>
    <n v="1650"/>
    <n v="0.67291989830832222"/>
    <n v="1508.7783467446966"/>
    <n v="19614.118507681054"/>
    <m/>
  </r>
  <r>
    <d v="2026-02-18T00:00:00"/>
    <x v="22"/>
    <n v="1508"/>
    <s v="Silky"/>
    <x v="72"/>
    <n v="1308"/>
    <n v="1408"/>
    <n v="1.5679773785315234"/>
    <n v="1287.4908558888078"/>
    <n v="16737.381126554501"/>
    <m/>
  </r>
  <r>
    <d v="2026-02-18T00:00:00"/>
    <x v="0"/>
    <n v="1506"/>
    <s v="Silky"/>
    <x v="66"/>
    <n v="96074"/>
    <n v="16430"/>
    <n v="29.347621413321974"/>
    <n v="15023.774689100221"/>
    <n v="195309.07095830288"/>
    <m/>
  </r>
  <r>
    <d v="2026-02-19T00:00:00"/>
    <x v="16"/>
    <n v="1509"/>
    <s v="Silky"/>
    <x v="73"/>
    <n v="51893"/>
    <n v="35712"/>
    <n v="1.7818176338343648"/>
    <n v="32655.449890270669"/>
    <n v="424520.84857351868"/>
    <m/>
  </r>
  <r>
    <d v="2026-02-19T00:00:00"/>
    <x v="16"/>
    <n v="1510"/>
    <s v="Silky"/>
    <x v="73"/>
    <n v="51893"/>
    <n v="20027"/>
    <n v="1.7818176338343648"/>
    <n v="18312.91148500366"/>
    <n v="238067.8493050476"/>
    <m/>
  </r>
  <r>
    <d v="2026-02-20T00:00:00"/>
    <x v="0"/>
    <n v="1511"/>
    <s v="Kataan"/>
    <x v="37"/>
    <n v="53024"/>
    <n v="30060"/>
    <n v="78.28308082268525"/>
    <m/>
    <m/>
    <m/>
  </r>
  <r>
    <d v="2026-02-20T00:00:00"/>
    <x v="10"/>
    <n v="1512"/>
    <s v="Chamki"/>
    <x v="74"/>
    <n v="25007"/>
    <n v="19622"/>
    <s v="NF"/>
    <m/>
    <m/>
    <m/>
  </r>
  <r>
    <d v="2026-02-20T00:00:00"/>
    <x v="10"/>
    <n v="1513"/>
    <s v="Chamki"/>
    <x v="74"/>
    <n v="25007"/>
    <n v="7279"/>
    <s v="NF"/>
    <m/>
    <m/>
    <m/>
  </r>
  <r>
    <d v="2026-02-20T00:00:00"/>
    <x v="0"/>
    <n v="1514"/>
    <s v="Kataan"/>
    <x v="37"/>
    <n v="53024"/>
    <n v="10650"/>
    <n v="78.28308082268525"/>
    <m/>
    <m/>
    <m/>
  </r>
  <r>
    <d v="2026-02-21T00:00:00"/>
    <x v="30"/>
    <n v="1515"/>
    <s v="Crinkle"/>
    <x v="75"/>
    <n v="3875"/>
    <n v="3905"/>
    <s v="NF"/>
    <m/>
    <m/>
    <m/>
  </r>
  <r>
    <d v="2026-02-21T00:00:00"/>
    <x v="0"/>
    <n v="1516"/>
    <s v="Crinkle"/>
    <x v="76"/>
    <n v="13927"/>
    <n v="6913"/>
    <s v="NF"/>
    <m/>
    <m/>
    <m/>
  </r>
  <r>
    <d v="2026-02-21T00:00:00"/>
    <x v="10"/>
    <n v="1517"/>
    <s v="Chamki"/>
    <x v="77"/>
    <n v="25162"/>
    <n v="26931"/>
    <s v="NF"/>
    <m/>
    <m/>
    <m/>
  </r>
  <r>
    <d v="2026-02-21T00:00:00"/>
    <x v="2"/>
    <n v="1518"/>
    <s v="Chamki"/>
    <x v="65"/>
    <n v="25013"/>
    <n v="2608"/>
    <n v="11.717450451734365"/>
    <m/>
    <m/>
    <m/>
  </r>
  <r>
    <d v="2026-02-21T00:00:00"/>
    <x v="2"/>
    <n v="1519"/>
    <s v="Chamki"/>
    <x v="54"/>
    <n v="25072"/>
    <n v="22243"/>
    <n v="83.562336812335985"/>
    <m/>
    <m/>
    <m/>
  </r>
  <r>
    <d v="2026-02-21T00:00:00"/>
    <x v="0"/>
    <n v="1520"/>
    <s v="Chamki"/>
    <x v="11"/>
    <n v="13976"/>
    <n v="10555"/>
    <n v="71.421381161728178"/>
    <m/>
    <m/>
    <m/>
  </r>
  <r>
    <d v="2026-02-21T00:00:00"/>
    <x v="0"/>
    <n v="1521"/>
    <s v="Chamki"/>
    <x v="41"/>
    <n v="55052"/>
    <n v="12715"/>
    <n v="60.15438432858132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D32CB-E765-4B1C-8CB9-BD089352B63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7:W75" firstHeaderRow="0" firstDataRow="1" firstDataCol="1"/>
  <pivotFields count="4">
    <pivotField axis="axisRow" showAll="0" includeNewItemsInFilter="1">
      <items count="19">
        <item x="0"/>
        <item x="1"/>
        <item x="2"/>
        <item x="3"/>
        <item x="4"/>
        <item x="5"/>
        <item x="6"/>
        <item x="7"/>
        <item x="8"/>
        <item x="9"/>
        <item x="10"/>
        <item x="11"/>
        <item x="13"/>
        <item x="14"/>
        <item x="15"/>
        <item m="1" x="17"/>
        <item x="16"/>
        <item x="12"/>
        <item t="default"/>
      </items>
    </pivotField>
    <pivotField dataField="1" showAll="0"/>
    <pivotField showAll="0"/>
    <pivotField dataField="1" showAll="0"/>
  </pivotFields>
  <rowFields count="1">
    <field x="0"/>
  </rowFields>
  <rowItems count="18">
    <i>
      <x/>
    </i>
    <i>
      <x v="1"/>
    </i>
    <i>
      <x v="2"/>
    </i>
    <i>
      <x v="3"/>
    </i>
    <i>
      <x v="4"/>
    </i>
    <i>
      <x v="5"/>
    </i>
    <i>
      <x v="6"/>
    </i>
    <i>
      <x v="7"/>
    </i>
    <i>
      <x v="8"/>
    </i>
    <i>
      <x v="9"/>
    </i>
    <i>
      <x v="10"/>
    </i>
    <i>
      <x v="11"/>
    </i>
    <i>
      <x v="12"/>
    </i>
    <i>
      <x v="13"/>
    </i>
    <i>
      <x v="14"/>
    </i>
    <i>
      <x v="16"/>
    </i>
    <i>
      <x v="17"/>
    </i>
    <i t="grand">
      <x/>
    </i>
  </rowItems>
  <colFields count="1">
    <field x="-2"/>
  </colFields>
  <colItems count="2">
    <i>
      <x/>
    </i>
    <i i="1">
      <x v="1"/>
    </i>
  </colItems>
  <dataFields count="2">
    <dataField name="Sum of Tiyaar" fld="1" baseField="0" baseItem="0"/>
    <dataField name="Sum of Total" fld="3" baseField="0" baseItem="0"/>
  </dataFields>
  <formats count="4">
    <format dxfId="115">
      <pivotArea field="0" grandRow="1" outline="0" collapsedLevelsAreSubtotals="1" axis="axisRow" fieldPosition="0">
        <references count="1">
          <reference field="4294967294" count="1" selected="0">
            <x v="1"/>
          </reference>
        </references>
      </pivotArea>
    </format>
    <format dxfId="114">
      <pivotArea field="0" grandRow="1" outline="0" collapsedLevelsAreSubtotals="1" axis="axisRow" fieldPosition="0">
        <references count="1">
          <reference field="4294967294" count="1" selected="0">
            <x v="0"/>
          </reference>
        </references>
      </pivotArea>
    </format>
    <format dxfId="113">
      <pivotArea collapsedLevelsAreSubtotals="1" fieldPosition="0">
        <references count="2">
          <reference field="4294967294" count="1" selected="0">
            <x v="1"/>
          </reference>
          <reference field="0" count="0"/>
        </references>
      </pivotArea>
    </format>
    <format dxfId="112">
      <pivotArea collapsedLevelsAreSubtotals="1" fieldPosition="0">
        <references count="2">
          <reference field="4294967294" count="1" selected="0">
            <x v="0"/>
          </reference>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66807-2FAF-42B6-B070-4BF70FC56CD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ri #">
  <location ref="L8:P62" firstHeaderRow="0" firstDataRow="1" firstDataCol="1" rowPageCount="1" colPageCount="1"/>
  <pivotFields count="9">
    <pivotField axis="axisRow" numFmtId="14" showAll="0">
      <items count="195">
        <item m="1" x="178"/>
        <item m="1" x="179"/>
        <item m="1" x="180"/>
        <item m="1" x="181"/>
        <item m="1" x="182"/>
        <item m="1" x="183"/>
        <item m="1" x="184"/>
        <item m="1" x="193"/>
        <item m="1" x="174"/>
        <item m="1" x="185"/>
        <item m="1" x="186"/>
        <item m="1" x="187"/>
        <item m="1" x="188"/>
        <item m="1" x="189"/>
        <item m="1" x="190"/>
        <item m="1" x="191"/>
        <item m="1" x="145"/>
        <item m="1" x="146"/>
        <item m="1" x="192"/>
        <item m="1" x="147"/>
        <item m="1" x="144"/>
        <item m="1" x="148"/>
        <item m="1" x="150"/>
        <item m="1" x="151"/>
        <item m="1" x="152"/>
        <item m="1" x="154"/>
        <item m="1" x="155"/>
        <item m="1" x="156"/>
        <item m="1" x="149"/>
        <item m="1" x="153"/>
        <item m="1" x="157"/>
        <item m="1" x="158"/>
        <item m="1" x="159"/>
        <item m="1" x="160"/>
        <item m="1" x="143"/>
        <item m="1" x="161"/>
        <item m="1" x="175"/>
        <item m="1" x="176"/>
        <item m="1" x="177"/>
        <item m="1" x="162"/>
        <item m="1" x="163"/>
        <item m="1" x="164"/>
        <item m="1" x="165"/>
        <item m="1" x="166"/>
        <item m="1" x="167"/>
        <item m="1" x="168"/>
        <item m="1" x="169"/>
        <item m="1" x="170"/>
        <item m="1" x="171"/>
        <item m="1" x="172"/>
        <item m="1" x="173"/>
        <item m="1" x="114"/>
        <item m="1" x="115"/>
        <item m="1" x="116"/>
        <item m="1" x="117"/>
        <item m="1" x="118"/>
        <item m="1" x="119"/>
        <item m="1" x="120"/>
        <item m="1" x="121"/>
        <item m="1" x="123"/>
        <item m="1" x="124"/>
        <item m="1" x="125"/>
        <item m="1" x="122"/>
        <item m="1" x="126"/>
        <item m="1" x="127"/>
        <item m="1" x="128"/>
        <item m="1" x="129"/>
        <item m="1" x="130"/>
        <item m="1" x="131"/>
        <item m="1" x="132"/>
        <item m="1" x="133"/>
        <item m="1" x="134"/>
        <item m="1" x="135"/>
        <item m="1" x="136"/>
        <item m="1" x="137"/>
        <item m="1" x="138"/>
        <item m="1" x="139"/>
        <item m="1" x="140"/>
        <item m="1" x="141"/>
        <item m="1" x="142"/>
        <item m="1" x="60"/>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61"/>
        <item m="1" x="64"/>
        <item m="1" x="62"/>
        <item m="1" x="63"/>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28"/>
        <item m="1" x="29"/>
        <item m="1" x="30"/>
        <item m="1" x="31"/>
        <item m="1" x="32"/>
        <item m="1" x="33"/>
        <item m="1" x="34"/>
        <item m="1" x="35"/>
        <item x="1"/>
        <item m="1" x="36"/>
        <item m="1" x="37"/>
        <item m="1" x="38"/>
        <item m="1" x="39"/>
        <item m="1" x="40"/>
        <item m="1" x="41"/>
        <item m="1" x="59"/>
        <item m="1" x="42"/>
        <item m="1" x="43"/>
        <item m="1" x="27"/>
        <item m="1" x="26"/>
        <item m="1" x="44"/>
        <item m="1" x="45"/>
        <item m="1" x="46"/>
        <item m="1" x="47"/>
        <item m="1" x="48"/>
        <item m="1" x="49"/>
        <item m="1" x="50"/>
        <item m="1" x="51"/>
        <item m="1" x="52"/>
        <item m="1" x="53"/>
        <item m="1" x="54"/>
        <item m="1" x="55"/>
        <item m="1" x="56"/>
        <item m="1" x="57"/>
        <item m="1" x="58"/>
        <item x="0"/>
        <item x="2"/>
        <item x="3"/>
        <item x="4"/>
        <item x="5"/>
        <item x="6"/>
        <item x="7"/>
        <item x="8"/>
        <item x="9"/>
        <item x="10"/>
        <item x="11"/>
        <item x="12"/>
        <item x="13"/>
        <item x="14"/>
        <item x="15"/>
        <item x="16"/>
        <item x="17"/>
        <item x="18"/>
        <item x="19"/>
        <item x="20"/>
        <item x="21"/>
        <item x="22"/>
        <item x="23"/>
        <item x="24"/>
        <item x="25"/>
        <item t="default"/>
      </items>
    </pivotField>
    <pivotField axis="axisPage" showAll="0">
      <items count="15">
        <item x="0"/>
        <item x="1"/>
        <item x="10"/>
        <item m="1" x="13"/>
        <item x="3"/>
        <item x="4"/>
        <item x="5"/>
        <item m="1" x="12"/>
        <item x="6"/>
        <item x="7"/>
        <item x="8"/>
        <item x="9"/>
        <item x="2"/>
        <item x="11"/>
        <item t="default"/>
      </items>
    </pivotField>
    <pivotField axis="axisRow" showAll="0">
      <items count="60">
        <item m="1" x="49"/>
        <item m="1" x="33"/>
        <item m="1" x="45"/>
        <item m="1" x="15"/>
        <item m="1" x="50"/>
        <item m="1" x="51"/>
        <item m="1" x="46"/>
        <item m="1" x="47"/>
        <item m="1" x="48"/>
        <item m="1" x="26"/>
        <item m="1" x="52"/>
        <item m="1" x="53"/>
        <item m="1" x="54"/>
        <item m="1" x="55"/>
        <item m="1" x="56"/>
        <item m="1" x="57"/>
        <item m="1" x="22"/>
        <item m="1" x="23"/>
        <item m="1" x="58"/>
        <item m="1" x="24"/>
        <item x="0"/>
        <item m="1" x="25"/>
        <item m="1" x="27"/>
        <item m="1" x="28"/>
        <item m="1" x="29"/>
        <item m="1" x="30"/>
        <item m="1" x="31"/>
        <item m="1" x="32"/>
        <item m="1" x="34"/>
        <item m="1" x="35"/>
        <item m="1" x="17"/>
        <item m="1" x="36"/>
        <item m="1" x="37"/>
        <item m="1" x="38"/>
        <item m="1" x="21"/>
        <item m="1" x="39"/>
        <item m="1" x="40"/>
        <item m="1" x="19"/>
        <item m="1" x="41"/>
        <item m="1" x="42"/>
        <item m="1" x="43"/>
        <item m="1" x="44"/>
        <item m="1" x="7"/>
        <item m="1" x="8"/>
        <item m="1" x="9"/>
        <item m="1" x="10"/>
        <item m="1" x="11"/>
        <item m="1" x="12"/>
        <item m="1" x="13"/>
        <item m="1" x="14"/>
        <item m="1" x="16"/>
        <item m="1" x="18"/>
        <item m="1" x="20"/>
        <item m="1" x="6"/>
        <item x="1"/>
        <item m="1" x="3"/>
        <item m="1" x="5"/>
        <item m="1" x="4"/>
        <item x="2"/>
        <item t="default"/>
      </items>
    </pivotField>
    <pivotField dataField="1" numFmtId="164" showAll="0"/>
    <pivotField numFmtId="164" showAll="0"/>
    <pivotField numFmtId="164" showAll="0"/>
    <pivotField dataField="1" numFmtId="164" showAll="0"/>
    <pivotField dataField="1" numFmtId="164" showAll="0"/>
    <pivotField dataField="1" numFmtId="164" showAll="0"/>
  </pivotFields>
  <rowFields count="2">
    <field x="0"/>
    <field x="2"/>
  </rowFields>
  <rowItems count="54">
    <i>
      <x v="142"/>
    </i>
    <i r="1">
      <x v="54"/>
    </i>
    <i>
      <x v="169"/>
    </i>
    <i r="1">
      <x v="20"/>
    </i>
    <i>
      <x v="170"/>
    </i>
    <i r="1">
      <x v="54"/>
    </i>
    <i>
      <x v="171"/>
    </i>
    <i r="1">
      <x v="54"/>
    </i>
    <i>
      <x v="172"/>
    </i>
    <i r="1">
      <x v="54"/>
    </i>
    <i>
      <x v="173"/>
    </i>
    <i r="1">
      <x v="54"/>
    </i>
    <i>
      <x v="174"/>
    </i>
    <i r="1">
      <x v="54"/>
    </i>
    <i>
      <x v="175"/>
    </i>
    <i r="1">
      <x v="54"/>
    </i>
    <i r="1">
      <x v="58"/>
    </i>
    <i>
      <x v="176"/>
    </i>
    <i r="1">
      <x v="54"/>
    </i>
    <i>
      <x v="177"/>
    </i>
    <i r="1">
      <x v="54"/>
    </i>
    <i>
      <x v="178"/>
    </i>
    <i r="1">
      <x v="54"/>
    </i>
    <i>
      <x v="179"/>
    </i>
    <i r="1">
      <x v="54"/>
    </i>
    <i>
      <x v="180"/>
    </i>
    <i r="1">
      <x v="54"/>
    </i>
    <i>
      <x v="181"/>
    </i>
    <i r="1">
      <x v="54"/>
    </i>
    <i>
      <x v="182"/>
    </i>
    <i r="1">
      <x v="54"/>
    </i>
    <i>
      <x v="183"/>
    </i>
    <i r="1">
      <x v="54"/>
    </i>
    <i>
      <x v="184"/>
    </i>
    <i r="1">
      <x v="54"/>
    </i>
    <i>
      <x v="185"/>
    </i>
    <i r="1">
      <x v="54"/>
    </i>
    <i>
      <x v="186"/>
    </i>
    <i r="1">
      <x v="54"/>
    </i>
    <i>
      <x v="187"/>
    </i>
    <i r="1">
      <x v="54"/>
    </i>
    <i>
      <x v="188"/>
    </i>
    <i r="1">
      <x v="54"/>
    </i>
    <i>
      <x v="189"/>
    </i>
    <i r="1">
      <x v="54"/>
    </i>
    <i>
      <x v="190"/>
    </i>
    <i r="1">
      <x v="54"/>
    </i>
    <i>
      <x v="191"/>
    </i>
    <i r="1">
      <x v="54"/>
    </i>
    <i>
      <x v="192"/>
    </i>
    <i r="1">
      <x v="54"/>
    </i>
    <i>
      <x v="193"/>
    </i>
    <i r="1">
      <x v="54"/>
    </i>
    <i t="grand">
      <x/>
    </i>
  </rowItems>
  <colFields count="1">
    <field x="-2"/>
  </colFields>
  <colItems count="4">
    <i>
      <x/>
    </i>
    <i i="1">
      <x v="1"/>
    </i>
    <i i="2">
      <x v="2"/>
    </i>
    <i i="3">
      <x v="3"/>
    </i>
  </colItems>
  <pageFields count="1">
    <pageField fld="1" hier="-1"/>
  </pageFields>
  <dataFields count="4">
    <dataField name="Sum of Weight" fld="3" baseField="0" baseItem="0" numFmtId="164"/>
    <dataField name="Sum of total" fld="6" baseField="0" baseItem="0" numFmtId="164"/>
    <dataField name="Sum of Paid" fld="7" baseField="0" baseItem="0" numFmtId="164"/>
    <dataField name="Sum of balance" fld="8" baseField="0" baseItem="0" numFmtId="164"/>
  </dataFields>
  <formats count="2">
    <format dxfId="69">
      <pivotArea dataOnly="0" labelOnly="1" outline="0" fieldPosition="0">
        <references count="1">
          <reference field="1" count="1">
            <x v="1"/>
          </reference>
        </references>
      </pivotArea>
    </format>
    <format dxfId="68">
      <pivotArea dataOnly="0" labelOnly="1" outline="0" fieldPosition="0">
        <references count="1">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047DD-2C16-4A8B-96A1-89F799ED19D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3:L216" firstHeaderRow="0" firstDataRow="1" firstDataCol="1"/>
  <pivotFields count="7">
    <pivotField numFmtId="14" showAll="0"/>
    <pivotField axis="axisRow" showAll="0">
      <items count="93">
        <item x="6"/>
        <item x="29"/>
        <item m="1" x="60"/>
        <item m="1" x="79"/>
        <item m="1" x="82"/>
        <item x="23"/>
        <item x="15"/>
        <item x="11"/>
        <item x="4"/>
        <item x="7"/>
        <item x="12"/>
        <item m="1" x="90"/>
        <item m="1" x="55"/>
        <item x="5"/>
        <item x="32"/>
        <item m="1" x="88"/>
        <item x="2"/>
        <item x="26"/>
        <item x="3"/>
        <item x="21"/>
        <item x="14"/>
        <item x="22"/>
        <item m="1" x="91"/>
        <item m="1" x="56"/>
        <item x="36"/>
        <item m="1" x="89"/>
        <item m="1" x="81"/>
        <item m="1" x="64"/>
        <item m="1" x="83"/>
        <item m="1" x="84"/>
        <item m="1" x="85"/>
        <item m="1" x="86"/>
        <item x="10"/>
        <item m="1" x="87"/>
        <item m="1" x="57"/>
        <item x="45"/>
        <item x="43"/>
        <item x="39"/>
        <item m="1" x="78"/>
        <item m="1" x="74"/>
        <item m="1" x="53"/>
        <item x="17"/>
        <item x="40"/>
        <item m="1" x="80"/>
        <item x="1"/>
        <item x="31"/>
        <item m="1" x="69"/>
        <item x="25"/>
        <item x="8"/>
        <item m="1" x="70"/>
        <item m="1" x="71"/>
        <item m="1" x="72"/>
        <item m="1" x="73"/>
        <item m="1" x="75"/>
        <item x="38"/>
        <item m="1" x="61"/>
        <item m="1" x="76"/>
        <item m="1" x="77"/>
        <item m="1" x="59"/>
        <item x="42"/>
        <item m="1" x="58"/>
        <item x="50"/>
        <item m="1" x="62"/>
        <item x="46"/>
        <item m="1" x="68"/>
        <item x="13"/>
        <item x="27"/>
        <item m="1" x="65"/>
        <item x="16"/>
        <item m="1" x="63"/>
        <item x="18"/>
        <item m="1" x="66"/>
        <item x="20"/>
        <item m="1" x="67"/>
        <item x="0"/>
        <item x="47"/>
        <item x="9"/>
        <item m="1" x="54"/>
        <item x="19"/>
        <item x="37"/>
        <item m="1" x="52"/>
        <item x="28"/>
        <item x="30"/>
        <item x="24"/>
        <item x="33"/>
        <item x="34"/>
        <item x="35"/>
        <item x="41"/>
        <item x="44"/>
        <item x="48"/>
        <item x="49"/>
        <item x="51"/>
        <item t="default"/>
      </items>
    </pivotField>
    <pivotField dataField="1" showAll="0"/>
    <pivotField dataField="1" showAll="0"/>
    <pivotField showAll="0"/>
    <pivotField showAll="0"/>
    <pivotField showAll="0"/>
  </pivotFields>
  <rowFields count="1">
    <field x="1"/>
  </rowFields>
  <rowItems count="53">
    <i>
      <x/>
    </i>
    <i>
      <x v="1"/>
    </i>
    <i>
      <x v="5"/>
    </i>
    <i>
      <x v="6"/>
    </i>
    <i>
      <x v="7"/>
    </i>
    <i>
      <x v="8"/>
    </i>
    <i>
      <x v="9"/>
    </i>
    <i>
      <x v="10"/>
    </i>
    <i>
      <x v="13"/>
    </i>
    <i>
      <x v="14"/>
    </i>
    <i>
      <x v="16"/>
    </i>
    <i>
      <x v="17"/>
    </i>
    <i>
      <x v="18"/>
    </i>
    <i>
      <x v="19"/>
    </i>
    <i>
      <x v="20"/>
    </i>
    <i>
      <x v="21"/>
    </i>
    <i>
      <x v="24"/>
    </i>
    <i>
      <x v="32"/>
    </i>
    <i>
      <x v="35"/>
    </i>
    <i>
      <x v="36"/>
    </i>
    <i>
      <x v="37"/>
    </i>
    <i>
      <x v="41"/>
    </i>
    <i>
      <x v="42"/>
    </i>
    <i>
      <x v="44"/>
    </i>
    <i>
      <x v="45"/>
    </i>
    <i>
      <x v="47"/>
    </i>
    <i>
      <x v="48"/>
    </i>
    <i>
      <x v="54"/>
    </i>
    <i>
      <x v="59"/>
    </i>
    <i>
      <x v="61"/>
    </i>
    <i>
      <x v="63"/>
    </i>
    <i>
      <x v="65"/>
    </i>
    <i>
      <x v="66"/>
    </i>
    <i>
      <x v="68"/>
    </i>
    <i>
      <x v="70"/>
    </i>
    <i>
      <x v="72"/>
    </i>
    <i>
      <x v="74"/>
    </i>
    <i>
      <x v="75"/>
    </i>
    <i>
      <x v="76"/>
    </i>
    <i>
      <x v="78"/>
    </i>
    <i>
      <x v="79"/>
    </i>
    <i>
      <x v="81"/>
    </i>
    <i>
      <x v="82"/>
    </i>
    <i>
      <x v="83"/>
    </i>
    <i>
      <x v="84"/>
    </i>
    <i>
      <x v="85"/>
    </i>
    <i>
      <x v="86"/>
    </i>
    <i>
      <x v="87"/>
    </i>
    <i>
      <x v="88"/>
    </i>
    <i>
      <x v="89"/>
    </i>
    <i>
      <x v="90"/>
    </i>
    <i>
      <x v="91"/>
    </i>
    <i t="grand">
      <x/>
    </i>
  </rowItems>
  <colFields count="1">
    <field x="-2"/>
  </colFields>
  <colItems count="2">
    <i>
      <x/>
    </i>
    <i i="1">
      <x v="1"/>
    </i>
  </colItems>
  <dataFields count="2">
    <dataField name="Sum of Credit" fld="3" baseField="0" baseItem="0"/>
    <dataField name="Sum of Debit" fld="2" baseField="0" baseItem="0"/>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1352D-875A-40F5-872B-61931E55FFF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M25" firstHeaderRow="0" firstDataRow="1" firstDataCol="1" rowPageCount="1" colPageCount="1"/>
  <pivotFields count="9">
    <pivotField axis="axisRow" showAll="0">
      <items count="79">
        <item m="1" x="73"/>
        <item m="1" x="74"/>
        <item m="1" x="75"/>
        <item m="1" x="76"/>
        <item m="1" x="77"/>
        <item m="1" x="72"/>
        <item m="1" x="60"/>
        <item m="1" x="61"/>
        <item m="1" x="65"/>
        <item m="1" x="66"/>
        <item m="1" x="62"/>
        <item m="1" x="67"/>
        <item m="1" x="68"/>
        <item m="1" x="69"/>
        <item m="1" x="70"/>
        <item m="1" x="71"/>
        <item m="1" x="59"/>
        <item m="1" x="63"/>
        <item m="1" x="64"/>
        <item m="1" x="52"/>
        <item m="1" x="53"/>
        <item m="1" x="54"/>
        <item m="1" x="55"/>
        <item m="1" x="56"/>
        <item m="1" x="57"/>
        <item m="1" x="58"/>
        <item m="1" x="28"/>
        <item m="1" x="44"/>
        <item m="1" x="45"/>
        <item m="1" x="46"/>
        <item m="1" x="47"/>
        <item m="1" x="48"/>
        <item m="1" x="49"/>
        <item m="1" x="50"/>
        <item m="1" x="51"/>
        <item m="1" x="29"/>
        <item m="1" x="30"/>
        <item m="1" x="31"/>
        <item m="1" x="32"/>
        <item m="1" x="33"/>
        <item m="1" x="34"/>
        <item m="1" x="35"/>
        <item m="1" x="37"/>
        <item m="1" x="38"/>
        <item m="1" x="36"/>
        <item m="1" x="39"/>
        <item m="1" x="40"/>
        <item m="1" x="41"/>
        <item m="1" x="42"/>
        <item m="1" x="43"/>
        <item x="0"/>
        <item m="1" x="15"/>
        <item m="1" x="16"/>
        <item m="1" x="17"/>
        <item m="1" x="18"/>
        <item m="1" x="19"/>
        <item m="1" x="20"/>
        <item m="1" x="21"/>
        <item m="1" x="22"/>
        <item m="1" x="23"/>
        <item m="1" x="24"/>
        <item m="1" x="25"/>
        <item m="1" x="26"/>
        <item m="1" x="27"/>
        <item x="1"/>
        <item x="2"/>
        <item x="3"/>
        <item x="4"/>
        <item x="5"/>
        <item x="14"/>
        <item x="6"/>
        <item x="7"/>
        <item x="8"/>
        <item x="9"/>
        <item x="10"/>
        <item x="11"/>
        <item x="12"/>
        <item x="13"/>
        <item t="default"/>
      </items>
    </pivotField>
    <pivotField showAll="0"/>
    <pivotField showAll="0"/>
    <pivotField showAll="0"/>
    <pivotField dataField="1" showAll="0"/>
    <pivotField axis="axisPage" showAll="0">
      <items count="16">
        <item x="0"/>
        <item x="10"/>
        <item m="1" x="14"/>
        <item m="1" x="13"/>
        <item x="1"/>
        <item x="2"/>
        <item x="3"/>
        <item m="1" x="12"/>
        <item x="8"/>
        <item m="1" x="11"/>
        <item x="4"/>
        <item x="5"/>
        <item x="6"/>
        <item x="7"/>
        <item x="9"/>
        <item t="default"/>
      </items>
    </pivotField>
    <pivotField showAll="0"/>
    <pivotField dataField="1" showAll="0"/>
    <pivotField showAll="0"/>
  </pivotFields>
  <rowFields count="1">
    <field x="0"/>
  </rowFields>
  <rowItems count="16">
    <i>
      <x v="50"/>
    </i>
    <i>
      <x v="64"/>
    </i>
    <i>
      <x v="65"/>
    </i>
    <i>
      <x v="66"/>
    </i>
    <i>
      <x v="67"/>
    </i>
    <i>
      <x v="68"/>
    </i>
    <i>
      <x v="69"/>
    </i>
    <i>
      <x v="70"/>
    </i>
    <i>
      <x v="71"/>
    </i>
    <i>
      <x v="72"/>
    </i>
    <i>
      <x v="73"/>
    </i>
    <i>
      <x v="74"/>
    </i>
    <i>
      <x v="75"/>
    </i>
    <i>
      <x v="76"/>
    </i>
    <i>
      <x v="77"/>
    </i>
    <i t="grand">
      <x/>
    </i>
  </rowItems>
  <colFields count="1">
    <field x="-2"/>
  </colFields>
  <colItems count="2">
    <i>
      <x/>
    </i>
    <i i="1">
      <x v="1"/>
    </i>
  </colItems>
  <pageFields count="1">
    <pageField fld="5" hier="-1"/>
  </pageFields>
  <dataFields count="2">
    <dataField name="Sum of Price" fld="4"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051E1-B88F-4951-8A35-C5B5AE69E8E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M12" firstHeaderRow="0" firstDataRow="1" firstDataCol="1"/>
  <pivotFields count="8">
    <pivotField numFmtId="14" showAll="0"/>
    <pivotField axis="axisRow" showAll="0">
      <items count="10">
        <item m="1" x="8"/>
        <item x="6"/>
        <item x="1"/>
        <item m="1" x="7"/>
        <item x="0"/>
        <item x="2"/>
        <item x="3"/>
        <item x="4"/>
        <item x="5"/>
        <item t="default"/>
      </items>
    </pivotField>
    <pivotField showAll="0"/>
    <pivotField showAll="0"/>
    <pivotField showAll="0"/>
    <pivotField dataField="1" showAll="0"/>
    <pivotField dataField="1" showAll="0"/>
    <pivotField dataField="1" showAll="0"/>
  </pivotFields>
  <rowFields count="1">
    <field x="1"/>
  </rowFields>
  <rowItems count="8">
    <i>
      <x v="1"/>
    </i>
    <i>
      <x v="2"/>
    </i>
    <i>
      <x v="4"/>
    </i>
    <i>
      <x v="5"/>
    </i>
    <i>
      <x v="6"/>
    </i>
    <i>
      <x v="7"/>
    </i>
    <i>
      <x v="8"/>
    </i>
    <i t="grand">
      <x/>
    </i>
  </rowItems>
  <colFields count="1">
    <field x="-2"/>
  </colFields>
  <colItems count="3">
    <i>
      <x/>
    </i>
    <i i="1">
      <x v="1"/>
    </i>
    <i i="2">
      <x v="2"/>
    </i>
  </colItems>
  <dataFields count="3">
    <dataField name="Sum of Price" fld="5" baseField="0" baseItem="0"/>
    <dataField name="Sum of Paid" fld="6" baseField="0" baseItem="0"/>
    <dataField name="Sum of Balan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1D3480-4DC4-4678-B47A-3C0EAA1BC14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ment number">
  <location ref="A3:C82" firstHeaderRow="0" firstDataRow="1" firstDataCol="1" rowPageCount="1" colPageCount="1"/>
  <pivotFields count="14">
    <pivotField showAll="0"/>
    <pivotField axis="axisPage" multipleItemSelectionAllowed="1" showAll="0">
      <items count="40">
        <item m="1" x="36"/>
        <item x="2"/>
        <item x="0"/>
        <item x="1"/>
        <item m="1" x="38"/>
        <item m="1" x="34"/>
        <item x="6"/>
        <item m="1" x="37"/>
        <item x="3"/>
        <item x="4"/>
        <item m="1" x="35"/>
        <item m="1" x="33"/>
        <item m="1" x="31"/>
        <item x="5"/>
        <item x="10"/>
        <item x="8"/>
        <item x="9"/>
        <item x="7"/>
        <item x="11"/>
        <item m="1" x="32"/>
        <item x="13"/>
        <item x="14"/>
        <item x="15"/>
        <item x="16"/>
        <item x="17"/>
        <item x="18"/>
        <item x="19"/>
        <item x="20"/>
        <item x="21"/>
        <item x="22"/>
        <item x="23"/>
        <item x="24"/>
        <item x="25"/>
        <item x="12"/>
        <item x="26"/>
        <item x="27"/>
        <item x="28"/>
        <item x="29"/>
        <item x="30"/>
        <item t="default"/>
      </items>
    </pivotField>
    <pivotField showAll="0"/>
    <pivotField showAll="0"/>
    <pivotField axis="axisRow" showAll="0">
      <items count="451">
        <item m="1" x="433"/>
        <item m="1" x="434"/>
        <item m="1" x="432"/>
        <item m="1" x="431"/>
        <item m="1" x="435"/>
        <item m="1" x="437"/>
        <item m="1" x="436"/>
        <item m="1" x="438"/>
        <item m="1" x="439"/>
        <item m="1" x="440"/>
        <item m="1" x="441"/>
        <item m="1" x="442"/>
        <item m="1" x="443"/>
        <item m="1" x="444"/>
        <item m="1" x="369"/>
        <item m="1" x="391"/>
        <item m="1" x="445"/>
        <item m="1" x="446"/>
        <item m="1" x="447"/>
        <item m="1" x="399"/>
        <item m="1" x="398"/>
        <item m="1" x="448"/>
        <item m="1" x="449"/>
        <item m="1" x="408"/>
        <item m="1" x="400"/>
        <item m="1" x="401"/>
        <item m="1" x="402"/>
        <item m="1" x="403"/>
        <item m="1" x="404"/>
        <item m="1" x="405"/>
        <item m="1" x="406"/>
        <item m="1" x="407"/>
        <item m="1" x="409"/>
        <item m="1" x="429"/>
        <item m="1" x="410"/>
        <item m="1" x="430"/>
        <item m="1" x="411"/>
        <item m="1" x="412"/>
        <item m="1" x="413"/>
        <item m="1" x="414"/>
        <item m="1" x="415"/>
        <item m="1" x="346"/>
        <item m="1" x="416"/>
        <item m="1" x="417"/>
        <item m="1" x="418"/>
        <item m="1" x="419"/>
        <item m="1" x="420"/>
        <item m="1" x="421"/>
        <item m="1" x="422"/>
        <item m="1" x="423"/>
        <item m="1" x="424"/>
        <item m="1" x="425"/>
        <item m="1" x="426"/>
        <item m="1" x="427"/>
        <item m="1" x="428"/>
        <item x="0"/>
        <item m="1" x="345"/>
        <item m="1" x="347"/>
        <item m="1" x="348"/>
        <item m="1" x="349"/>
        <item m="1" x="350"/>
        <item m="1" x="351"/>
        <item m="1" x="352"/>
        <item m="1" x="353"/>
        <item m="1" x="354"/>
        <item m="1" x="355"/>
        <item m="1" x="356"/>
        <item m="1" x="357"/>
        <item m="1" x="358"/>
        <item m="1" x="359"/>
        <item m="1" x="83"/>
        <item m="1" x="360"/>
        <item m="1" x="361"/>
        <item m="1" x="362"/>
        <item m="1" x="363"/>
        <item m="1" x="364"/>
        <item m="1" x="365"/>
        <item m="1" x="366"/>
        <item m="1" x="367"/>
        <item m="1" x="368"/>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2"/>
        <item m="1" x="393"/>
        <item m="1" x="394"/>
        <item m="1" x="395"/>
        <item m="1" x="396"/>
        <item m="1" x="397"/>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100"/>
        <item m="1" x="314"/>
        <item m="1" x="315"/>
        <item m="1" x="316"/>
        <item m="1" x="317"/>
        <item m="1" x="318"/>
        <item m="1" x="319"/>
        <item m="1" x="320"/>
        <item m="1" x="321"/>
        <item m="1" x="322"/>
        <item m="1" x="323"/>
        <item m="1" x="324"/>
        <item m="1" x="344"/>
        <item m="1" x="325"/>
        <item m="1" x="326"/>
        <item m="1" x="327"/>
        <item m="1" x="328"/>
        <item m="1" x="329"/>
        <item m="1" x="330"/>
        <item m="1" x="331"/>
        <item m="1" x="332"/>
        <item m="1" x="333"/>
        <item m="1" x="334"/>
        <item m="1" x="335"/>
        <item m="1" x="336"/>
        <item m="1" x="337"/>
        <item m="1" x="338"/>
        <item m="1" x="339"/>
        <item m="1" x="340"/>
        <item m="1" x="341"/>
        <item m="1" x="342"/>
        <item m="1" x="343"/>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140"/>
        <item m="1" x="263"/>
        <item m="1" x="131"/>
        <item m="1" x="132"/>
        <item m="1" x="133"/>
        <item m="1" x="134"/>
        <item m="1" x="135"/>
        <item m="1" x="136"/>
        <item m="1" x="137"/>
        <item m="1" x="138"/>
        <item m="1" x="139"/>
        <item m="1" x="141"/>
        <item m="1" x="142"/>
        <item m="1" x="143"/>
        <item m="1" x="144"/>
        <item m="1" x="145"/>
        <item m="1" x="146"/>
        <item m="1" x="147"/>
        <item m="1" x="148"/>
        <item m="1" x="149"/>
        <item m="1" x="150"/>
        <item m="1" x="151"/>
        <item m="1" x="152"/>
        <item m="1" x="153"/>
        <item m="1" x="154"/>
        <item m="1" x="80"/>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84"/>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81"/>
        <item m="1" x="206"/>
        <item m="1" x="207"/>
        <item m="1" x="78"/>
        <item m="1" x="87"/>
        <item m="1" x="79"/>
        <item m="1" x="82"/>
        <item m="1" x="85"/>
        <item m="1" x="86"/>
        <item m="1" x="88"/>
        <item m="1" x="89"/>
        <item m="1" x="90"/>
        <item m="1" x="91"/>
        <item m="1" x="92"/>
        <item m="1" x="93"/>
        <item m="1" x="94"/>
        <item m="1" x="95"/>
        <item m="1" x="96"/>
        <item m="1" x="97"/>
        <item m="1" x="98"/>
        <item m="1" x="99"/>
        <item m="1" x="101"/>
        <item m="1" x="102"/>
        <item m="1" x="103"/>
        <item x="47"/>
        <item x="19"/>
        <item m="1" x="104"/>
        <item m="1" x="105"/>
        <item m="1" x="106"/>
        <item x="8"/>
        <item m="1" x="107"/>
        <item m="1" x="108"/>
        <item m="1" x="109"/>
        <item m="1" x="110"/>
        <item x="68"/>
        <item m="1" x="111"/>
        <item m="1" x="112"/>
        <item m="1" x="113"/>
        <item m="1" x="114"/>
        <item m="1" x="115"/>
        <item m="1" x="116"/>
        <item m="1" x="117"/>
        <item m="1" x="118"/>
        <item m="1" x="119"/>
        <item m="1" x="120"/>
        <item m="1" x="121"/>
        <item m="1" x="122"/>
        <item m="1" x="130"/>
        <item m="1" x="123"/>
        <item m="1" x="124"/>
        <item x="5"/>
        <item x="6"/>
        <item m="1" x="125"/>
        <item x="21"/>
        <item m="1" x="126"/>
        <item m="1" x="127"/>
        <item m="1" x="128"/>
        <item m="1" x="129"/>
        <item x="4"/>
        <item x="2"/>
        <item x="9"/>
        <item x="1"/>
        <item x="3"/>
        <item x="7"/>
        <item x="53"/>
        <item x="11"/>
        <item x="12"/>
        <item x="13"/>
        <item x="14"/>
        <item x="15"/>
        <item x="16"/>
        <item x="17"/>
        <item x="18"/>
        <item x="20"/>
        <item x="22"/>
        <item x="23"/>
        <item x="24"/>
        <item x="25"/>
        <item x="26"/>
        <item x="27"/>
        <item x="28"/>
        <item x="29"/>
        <item x="30"/>
        <item x="31"/>
        <item x="32"/>
        <item x="33"/>
        <item x="34"/>
        <item x="35"/>
        <item x="36"/>
        <item x="37"/>
        <item x="38"/>
        <item x="39"/>
        <item x="40"/>
        <item x="41"/>
        <item x="42"/>
        <item x="43"/>
        <item x="44"/>
        <item x="45"/>
        <item x="46"/>
        <item x="48"/>
        <item x="49"/>
        <item x="50"/>
        <item x="51"/>
        <item x="54"/>
        <item x="10"/>
        <item x="55"/>
        <item x="56"/>
        <item x="52"/>
        <item x="57"/>
        <item x="58"/>
        <item x="59"/>
        <item x="60"/>
        <item x="61"/>
        <item x="62"/>
        <item x="63"/>
        <item x="64"/>
        <item x="65"/>
        <item x="66"/>
        <item x="67"/>
        <item x="69"/>
        <item x="70"/>
        <item x="71"/>
        <item x="72"/>
        <item x="73"/>
        <item x="74"/>
        <item x="75"/>
        <item x="76"/>
        <item x="77"/>
        <item t="default"/>
      </items>
    </pivotField>
    <pivotField dataField="1" showAll="0"/>
    <pivotField dataField="1" showAll="0"/>
    <pivotField numFmtId="2" showAll="0"/>
    <pivotField numFmtId="43"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79">
    <i>
      <x v="55"/>
    </i>
    <i>
      <x v="346"/>
    </i>
    <i>
      <x v="347"/>
    </i>
    <i>
      <x v="351"/>
    </i>
    <i>
      <x v="356"/>
    </i>
    <i>
      <x v="372"/>
    </i>
    <i>
      <x v="373"/>
    </i>
    <i>
      <x v="375"/>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t="grand">
      <x/>
    </i>
  </rowItems>
  <colFields count="1">
    <field x="-2"/>
  </colFields>
  <colItems count="2">
    <i>
      <x/>
    </i>
    <i i="1">
      <x v="1"/>
    </i>
  </colItems>
  <pageFields count="1">
    <pageField fld="1" hier="-1"/>
  </pageFields>
  <dataFields count="2">
    <dataField name="Max of Kora/metre" fld="5" subtotal="max" baseField="4" baseItem="0"/>
    <dataField name="Sum of Tiyaar/gaz" fld="6" baseField="0" baseItem="0"/>
  </dataFields>
  <formats count="9">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grandRow="1" outline="0" collapsedLevelsAreSubtotals="1" fieldPosition="0"/>
    </format>
    <format dxfId="18">
      <pivotArea field="4" type="button" dataOnly="0" labelOnly="1" outline="0" axis="axisRow" fieldPosition="0"/>
    </format>
    <format dxfId="1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Number" xr10:uid="{C8A0327E-E9EF-480B-A686-7D81EA729A7A}" sourceName="Shipment Number">
  <pivotTables>
    <pivotTable tabId="2" name="PivotTable1"/>
  </pivotTables>
  <data>
    <tabular pivotCacheId="1341418871">
      <items count="450">
        <i x="76" s="1"/>
        <i x="68" s="1"/>
        <i x="59" s="1"/>
        <i x="24" s="1"/>
        <i x="67" s="1"/>
        <i x="19" s="1"/>
        <i x="47" s="1"/>
        <i x="8" s="1"/>
        <i x="21" s="1"/>
        <i x="22" s="1"/>
        <i x="12" s="1"/>
        <i x="17" s="1"/>
        <i x="2" s="1"/>
        <i x="1" s="1"/>
        <i x="3" s="1"/>
        <i x="6" s="1"/>
        <i x="16" s="1"/>
        <i x="15" s="1"/>
        <i x="13" s="1"/>
        <i x="53" s="1"/>
        <i x="32" s="1"/>
        <i x="5" s="1"/>
        <i x="4" s="1"/>
        <i x="11" s="1"/>
        <i x="7" s="1"/>
        <i x="31" s="1"/>
        <i x="25" s="1"/>
        <i x="26" s="1"/>
        <i x="63" s="1"/>
        <i x="14" s="1"/>
        <i x="40" s="1"/>
        <i x="70" s="1"/>
        <i x="41" s="1"/>
        <i x="27" s="1"/>
        <i x="29" s="1"/>
        <i x="18" s="1"/>
        <i x="36" s="1"/>
        <i x="42" s="1"/>
        <i x="34" s="1"/>
        <i x="33" s="1"/>
        <i x="74" s="1"/>
        <i x="28" s="1"/>
        <i x="77" s="1"/>
        <i x="23" s="1"/>
        <i x="49" s="1"/>
        <i x="50" s="1"/>
        <i x="48" s="1"/>
        <i x="35" s="1"/>
        <i x="64" s="1"/>
        <i x="39" s="1"/>
        <i x="38" s="1"/>
        <i x="75" s="1"/>
        <i x="46" s="1"/>
        <i x="51" s="1"/>
        <i x="58" s="1"/>
        <i x="72" s="1"/>
        <i x="71" s="1"/>
        <i x="45" s="1"/>
        <i x="44" s="1"/>
        <i x="54" s="1"/>
        <i x="62" s="1"/>
        <i x="37" s="1"/>
        <i x="57" s="1"/>
        <i x="65" s="1"/>
        <i x="43" s="1"/>
        <i x="61" s="1"/>
        <i x="56" s="1"/>
        <i x="55" s="1"/>
        <i x="60" s="1"/>
        <i x="69" s="1"/>
        <i x="66" s="1"/>
        <i x="73" s="1"/>
        <i x="9" s="1"/>
        <i x="10" s="1"/>
        <i x="20" s="1"/>
        <i x="52" s="1"/>
        <i x="30" s="1"/>
        <i x="404" s="1" nd="1"/>
        <i x="433" s="1" nd="1"/>
        <i x="434" s="1" nd="1"/>
        <i x="442" s="1" nd="1"/>
        <i x="432" s="1" nd="1"/>
        <i x="431" s="1" nd="1"/>
        <i x="435" s="1" nd="1"/>
        <i x="446" s="1" nd="1"/>
        <i x="438" s="1" nd="1"/>
        <i x="439" s="1" nd="1"/>
        <i x="436" s="1" nd="1"/>
        <i x="437" s="1" nd="1"/>
        <i x="447" s="1" nd="1"/>
        <i x="440" s="1" nd="1"/>
        <i x="441" s="1" nd="1"/>
        <i x="444" s="1" nd="1"/>
        <i x="445" s="1" nd="1"/>
        <i x="443" s="1" nd="1"/>
        <i x="399" s="1" nd="1"/>
        <i x="449" s="1" nd="1"/>
        <i x="398" s="1" nd="1"/>
        <i x="448" s="1" nd="1"/>
        <i x="401" s="1" nd="1"/>
        <i x="362" s="1" nd="1"/>
        <i x="400" s="1" nd="1"/>
        <i x="402" s="1" nd="1"/>
        <i x="408" s="1" nd="1"/>
        <i x="403" s="1" nd="1"/>
        <i x="405" s="1" nd="1"/>
        <i x="421" s="1" nd="1"/>
        <i x="345" s="1" nd="1"/>
        <i x="409" s="1" nd="1"/>
        <i x="350" s="1" nd="1"/>
        <i x="415" s="1" nd="1"/>
        <i x="410" s="1" nd="1"/>
        <i x="413" s="1" nd="1"/>
        <i x="418" s="1" nd="1"/>
        <i x="429" s="1" nd="1"/>
        <i x="411" s="1" nd="1"/>
        <i x="423" s="1" nd="1"/>
        <i x="426" s="1" nd="1"/>
        <i x="417" s="1" nd="1"/>
        <i x="406" s="1" nd="1"/>
        <i x="414" s="1" nd="1"/>
        <i x="407" s="1" nd="1"/>
        <i x="412" s="1" nd="1"/>
        <i x="346" s="1" nd="1"/>
        <i x="416" s="1" nd="1"/>
        <i x="422" s="1" nd="1"/>
        <i x="83" s="1" nd="1"/>
        <i x="419" s="1" nd="1"/>
        <i x="424" s="1" nd="1"/>
        <i x="420" s="1" nd="1"/>
        <i x="386" s="1" nd="1"/>
        <i x="425" s="1" nd="1"/>
        <i x="427" s="1" nd="1"/>
        <i x="348" s="1" nd="1"/>
        <i x="355" s="1" nd="1"/>
        <i x="428" s="1" nd="1"/>
        <i x="352" s="1" nd="1"/>
        <i x="353" s="1" nd="1"/>
        <i x="347" s="1" nd="1"/>
        <i x="351" s="1" nd="1"/>
        <i x="239" s="1" nd="1"/>
        <i x="349" s="1" nd="1"/>
        <i x="358" s="1" nd="1"/>
        <i x="354" s="1" nd="1"/>
        <i x="356" s="1" nd="1"/>
        <i x="359" s="1" nd="1"/>
        <i x="366" s="1" nd="1"/>
        <i x="357" s="1" nd="1"/>
        <i x="365" s="1" nd="1"/>
        <i x="370" s="1" nd="1"/>
        <i x="364" s="1" nd="1"/>
        <i x="367" s="1" nd="1"/>
        <i x="377" s="1" nd="1"/>
        <i x="363" s="1" nd="1"/>
        <i x="360" s="1" nd="1"/>
        <i x="361" s="1" nd="1"/>
        <i x="376" s="1" nd="1"/>
        <i x="235" s="1" nd="1"/>
        <i x="369" s="1" nd="1"/>
        <i x="380" s="1" nd="1"/>
        <i x="375" s="1" nd="1"/>
        <i x="368" s="1" nd="1"/>
        <i x="392" s="1" nd="1"/>
        <i x="373" s="1" nd="1"/>
        <i x="383" s="1" nd="1"/>
        <i x="381" s="1" nd="1"/>
        <i x="371" s="1" nd="1"/>
        <i x="379" s="1" nd="1"/>
        <i x="378" s="1" nd="1"/>
        <i x="374" s="1" nd="1"/>
        <i x="384" s="1" nd="1"/>
        <i x="382" s="1" nd="1"/>
        <i x="385" s="1" nd="1"/>
        <i x="372" s="1" nd="1"/>
        <i x="314" s="1" nd="1"/>
        <i x="387" s="1" nd="1"/>
        <i x="388" s="1" nd="1"/>
        <i x="273" s="1" nd="1"/>
        <i x="275" s="1" nd="1"/>
        <i x="395" s="1" nd="1"/>
        <i x="269" s="1" nd="1"/>
        <i x="315" s="1" nd="1"/>
        <i x="389" s="1" nd="1"/>
        <i x="390" s="1" nd="1"/>
        <i x="272" s="1" nd="1"/>
        <i x="397" s="1" nd="1"/>
        <i x="271" s="1" nd="1"/>
        <i x="286" s="1" nd="1"/>
        <i x="396" s="1" nd="1"/>
        <i x="391" s="1" nd="1"/>
        <i x="290" s="1" nd="1"/>
        <i x="394" s="1" nd="1"/>
        <i x="393" s="1" nd="1"/>
        <i x="311" s="1" nd="1"/>
        <i x="264" s="1" nd="1"/>
        <i x="276" s="1" nd="1"/>
        <i x="312" s="1" nd="1"/>
        <i x="310" s="1" nd="1"/>
        <i x="268" s="1" nd="1"/>
        <i x="270" s="1" nd="1"/>
        <i x="103" s="1" nd="1"/>
        <i x="274" s="1" nd="1"/>
        <i x="265" s="1" nd="1"/>
        <i x="300" s="1" nd="1"/>
        <i x="305" s="1" nd="1"/>
        <i x="266" s="1" nd="1"/>
        <i x="267" s="1" nd="1"/>
        <i x="277" s="1" nd="1"/>
        <i x="280" s="1" nd="1"/>
        <i x="287" s="1" nd="1"/>
        <i x="279" s="1" nd="1"/>
        <i x="282" s="1" nd="1"/>
        <i x="281" s="1" nd="1"/>
        <i x="323" s="1" nd="1"/>
        <i x="278" s="1" nd="1"/>
        <i x="303" s="1" nd="1"/>
        <i x="318" s="1" nd="1"/>
        <i x="283" s="1" nd="1"/>
        <i x="308" s="1" nd="1"/>
        <i x="320" s="1" nd="1"/>
        <i x="292" s="1" nd="1"/>
        <i x="332" s="1" nd="1"/>
        <i x="291" s="1" nd="1"/>
        <i x="288" s="1" nd="1"/>
        <i x="284" s="1" nd="1"/>
        <i x="285" s="1" nd="1"/>
        <i x="304" s="1" nd="1"/>
        <i x="293" s="1" nd="1"/>
        <i x="216" s="1" nd="1"/>
        <i x="294" s="1" nd="1"/>
        <i x="289" s="1" nd="1"/>
        <i x="296" s="1" nd="1"/>
        <i x="297" s="1" nd="1"/>
        <i x="325" s="1" nd="1"/>
        <i x="295" s="1" nd="1"/>
        <i x="313" s="1" nd="1"/>
        <i x="301" s="1" nd="1"/>
        <i x="298" s="1" nd="1"/>
        <i x="302" s="1" nd="1"/>
        <i x="299" s="1" nd="1"/>
        <i x="306" s="1" nd="1"/>
        <i x="98" s="1" nd="1"/>
        <i x="324" s="1" nd="1"/>
        <i x="319" s="1" nd="1"/>
        <i x="338" s="1" nd="1"/>
        <i x="307" s="1" nd="1"/>
        <i x="209" s="1" nd="1"/>
        <i x="317" s="1" nd="1"/>
        <i x="309" s="1" nd="1"/>
        <i x="333" s="1" nd="1"/>
        <i x="316" s="1" nd="1"/>
        <i x="331" s="1" nd="1"/>
        <i x="217" s="1" nd="1"/>
        <i x="322" s="1" nd="1"/>
        <i x="321" s="1" nd="1"/>
        <i x="337" s="1" nd="1"/>
        <i x="334" s="1" nd="1"/>
        <i x="228" s="1" nd="1"/>
        <i x="342" s="1" nd="1"/>
        <i x="326" s="1" nd="1"/>
        <i x="335" s="1" nd="1"/>
        <i x="340" s="1" nd="1"/>
        <i x="219" s="1" nd="1"/>
        <i x="245" s="1" nd="1"/>
        <i x="344" s="1" nd="1"/>
        <i x="341" s="1" nd="1"/>
        <i x="210" s="1" nd="1"/>
        <i x="230" s="1" nd="1"/>
        <i x="336" s="1" nd="1"/>
        <i x="212" s="1" nd="1"/>
        <i x="327" s="1" nd="1"/>
        <i x="330" s="1" nd="1"/>
        <i x="227" s="1" nd="1"/>
        <i x="339" s="1" nd="1"/>
        <i x="328" s="1" nd="1"/>
        <i x="329" s="1" nd="1"/>
        <i x="214" s="1" nd="1"/>
        <i x="232" s="1" nd="1"/>
        <i x="233" s="1" nd="1"/>
        <i x="246" s="1" nd="1"/>
        <i x="343" s="1" nd="1"/>
        <i x="208" s="1" nd="1"/>
        <i x="231" s="1" nd="1"/>
        <i x="224" s="1" nd="1"/>
        <i x="211" s="1" nd="1"/>
        <i x="215" s="1" nd="1"/>
        <i x="221" s="1" nd="1"/>
        <i x="213" s="1" nd="1"/>
        <i x="237" s="1" nd="1"/>
        <i x="241" s="1" nd="1"/>
        <i x="242" s="1" nd="1"/>
        <i x="234" s="1" nd="1"/>
        <i x="218" s="1" nd="1"/>
        <i x="82" s="1" nd="1"/>
        <i x="220" s="1" nd="1"/>
        <i x="222" s="1" nd="1"/>
        <i x="225" s="1" nd="1"/>
        <i x="238" s="1" nd="1"/>
        <i x="223" s="1" nd="1"/>
        <i x="244" s="1" nd="1"/>
        <i x="176" s="1" nd="1"/>
        <i x="155" s="1" nd="1"/>
        <i x="259" s="1" nd="1"/>
        <i x="226" s="1" nd="1"/>
        <i x="247" s="1" nd="1"/>
        <i x="243" s="1" nd="1"/>
        <i x="229" s="1" nd="1"/>
        <i x="251" s="1" nd="1"/>
        <i x="187" s="1" nd="1"/>
        <i x="150" s="1" nd="1"/>
        <i x="236" s="1" nd="1"/>
        <i x="260" s="1" nd="1"/>
        <i x="240" s="1" nd="1"/>
        <i x="263" s="1" nd="1"/>
        <i x="250" s="1" nd="1"/>
        <i x="255" s="1" nd="1"/>
        <i x="132" s="1" nd="1"/>
        <i x="252" s="1" nd="1"/>
        <i x="254" s="1" nd="1"/>
        <i x="172" s="1" nd="1"/>
        <i x="140" s="1" nd="1"/>
        <i x="249" s="1" nd="1"/>
        <i x="137" s="1" nd="1"/>
        <i x="248" s="1" nd="1"/>
        <i x="149" s="1" nd="1"/>
        <i x="133" s="1" nd="1"/>
        <i x="131" s="1" nd="1"/>
        <i x="253" s="1" nd="1"/>
        <i x="147" s="1" nd="1"/>
        <i x="141" s="1" nd="1"/>
        <i x="152" s="1" nd="1"/>
        <i x="169" s="1" nd="1"/>
        <i x="146" s="1" nd="1"/>
        <i x="157" s="1" nd="1"/>
        <i x="151" s="1" nd="1"/>
        <i x="148" s="1" nd="1"/>
        <i x="261" s="1" nd="1"/>
        <i x="205" s="1" nd="1"/>
        <i x="159" s="1" nd="1"/>
        <i x="160" s="1" nd="1"/>
        <i x="257" s="1" nd="1"/>
        <i x="256" s="1" nd="1"/>
        <i x="134" s="1" nd="1"/>
        <i x="136" s="1" nd="1"/>
        <i x="167" s="1" nd="1"/>
        <i x="143" s="1" nd="1"/>
        <i x="262" s="1" nd="1"/>
        <i x="201" s="1" nd="1"/>
        <i x="192" s="1" nd="1"/>
        <i x="180" s="1" nd="1"/>
        <i x="154" s="1" nd="1"/>
        <i x="139" s="1" nd="1"/>
        <i x="170" s="1" nd="1"/>
        <i x="189" s="1" nd="1"/>
        <i x="181" s="1" nd="1"/>
        <i x="177" s="1" nd="1"/>
        <i x="145" s="1" nd="1"/>
        <i x="165" s="1" nd="1"/>
        <i x="164" s="1" nd="1"/>
        <i x="179" s="1" nd="1"/>
        <i x="166" s="1" nd="1"/>
        <i x="258" s="1" nd="1"/>
        <i x="142" s="1" nd="1"/>
        <i x="138" s="1" nd="1"/>
        <i x="168" s="1" nd="1"/>
        <i x="135" s="1" nd="1"/>
        <i x="173" s="1" nd="1"/>
        <i x="174" s="1" nd="1"/>
        <i x="178" s="1" nd="1"/>
        <i x="81" s="1" nd="1"/>
        <i x="158" s="1" nd="1"/>
        <i x="153" s="1" nd="1"/>
        <i x="186" s="1" nd="1"/>
        <i x="185" s="1" nd="1"/>
        <i x="190" s="1" nd="1"/>
        <i x="144" s="1" nd="1"/>
        <i x="188" s="1" nd="1"/>
        <i x="175" s="1" nd="1"/>
        <i x="80" s="1" nd="1"/>
        <i x="156" s="1" nd="1"/>
        <i x="161" s="1" nd="1"/>
        <i x="162" s="1" nd="1"/>
        <i x="171" s="1" nd="1"/>
        <i x="163" s="1" nd="1"/>
        <i x="182" s="1" nd="1"/>
        <i x="99" s="1" nd="1"/>
        <i x="193" s="1" nd="1"/>
        <i x="183" s="1" nd="1"/>
        <i x="199" s="1" nd="1"/>
        <i x="196" s="1" nd="1"/>
        <i x="194" s="1" nd="1"/>
        <i x="93" s="1" nd="1"/>
        <i x="92" s="1" nd="1"/>
        <i x="206" s="1" nd="1"/>
        <i x="79" s="1" nd="1"/>
        <i x="91" s="1" nd="1"/>
        <i x="200" s="1" nd="1"/>
        <i x="207" s="1" nd="1"/>
        <i x="84" s="1" nd="1"/>
        <i x="202" s="1" nd="1"/>
        <i x="203" s="1" nd="1"/>
        <i x="184" s="1" nd="1"/>
        <i x="197" s="1" nd="1"/>
        <i x="204" s="1" nd="1"/>
        <i x="195" s="1" nd="1"/>
        <i x="115" s="1" nd="1"/>
        <i x="198" s="1" nd="1"/>
        <i x="78" s="1" nd="1"/>
        <i x="87" s="1" nd="1"/>
        <i x="86" s="1" nd="1"/>
        <i x="191" s="1" nd="1"/>
        <i x="90" s="1" nd="1"/>
        <i x="88" s="1" nd="1"/>
        <i x="95" s="1" nd="1"/>
        <i x="96" s="1" nd="1"/>
        <i x="94" s="1" nd="1"/>
        <i x="89" s="1" nd="1"/>
        <i x="85" s="1" nd="1"/>
        <i x="112" s="1" nd="1"/>
        <i x="102" s="1" nd="1"/>
        <i x="97" s="1" nd="1"/>
        <i x="116" s="1" nd="1"/>
        <i x="101" s="1" nd="1"/>
        <i x="111" s="1" nd="1"/>
        <i x="113" s="1" nd="1"/>
        <i x="100" s="1" nd="1"/>
        <i x="104" s="1" nd="1"/>
        <i x="114" s="1" nd="1"/>
        <i x="107" s="1" nd="1"/>
        <i x="105" s="1" nd="1"/>
        <i x="106" s="1" nd="1"/>
        <i x="110" s="1" nd="1"/>
        <i x="108" s="1" nd="1"/>
        <i x="109" s="1" nd="1"/>
        <i x="118" s="1" nd="1"/>
        <i x="117" s="1" nd="1"/>
        <i x="127" s="1" nd="1"/>
        <i x="126" s="1" nd="1"/>
        <i x="125" s="1" nd="1"/>
        <i x="130" s="1" nd="1"/>
        <i x="123" s="1" nd="1"/>
        <i x="129" s="1" nd="1"/>
        <i x="119" s="1" nd="1"/>
        <i x="120" s="1" nd="1"/>
        <i x="121" s="1" nd="1"/>
        <i x="122" s="1" nd="1"/>
        <i x="124" s="1" nd="1"/>
        <i x="128" s="1" nd="1"/>
        <i x="430"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 xr10:uid="{795E221B-CA14-4E3C-BCC3-ADCBC1244CE9}" sourceName="Party Nam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D6DCB082-70B9-49F4-92EE-90FF7705BF83}" sourceName="Party">
  <extLst>
    <x:ext xmlns:x15="http://schemas.microsoft.com/office/spreadsheetml/2010/11/main" uri="{2F2917AC-EB37-4324-AD4E-5DD8C200BD13}">
      <x15:tableSlicerCache tableId="14"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1" xr10:uid="{E12585E0-B136-443F-AD68-C9C80CA7EB19}" sourceName="Party Name">
  <extLst>
    <x:ext xmlns:x15="http://schemas.microsoft.com/office/spreadsheetml/2010/11/main" uri="{2F2917AC-EB37-4324-AD4E-5DD8C200BD13}">
      <x15:tableSlicerCache tableId="3"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84AC669-07E6-46D1-B04B-5B9A432D9A10}" sourceName="Date">
  <extLst>
    <x:ext xmlns:x15="http://schemas.microsoft.com/office/spreadsheetml/2010/11/main" uri="{2F2917AC-EB37-4324-AD4E-5DD8C200BD13}">
      <x15:tableSlicerCache tableId="1"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2" xr10:uid="{B1CE111B-C03D-455C-802F-5A6E1DBFE0F5}" sourceName="Party Name">
  <extLst>
    <x:ext xmlns:x15="http://schemas.microsoft.com/office/spreadsheetml/2010/11/main" uri="{2F2917AC-EB37-4324-AD4E-5DD8C200BD13}">
      <x15:tableSlicerCache tableId="2"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59685556-BE76-4A00-81B3-5814BB498FE4}" sourceName="Date">
  <extLst>
    <x:ext xmlns:x15="http://schemas.microsoft.com/office/spreadsheetml/2010/11/main" uri="{2F2917AC-EB37-4324-AD4E-5DD8C200BD13}">
      <x15:tableSlicerCache tableId="14"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ADFDF2CD-C831-4FB8-BF02-B2DA1D1400C0}" sourceName="Person">
  <extLst>
    <x:ext xmlns:x15="http://schemas.microsoft.com/office/spreadsheetml/2010/11/main" uri="{2F2917AC-EB37-4324-AD4E-5DD8C200BD13}">
      <x15:tableSlicerCache tableId="16"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xr10:uid="{F2AC5779-5A53-4BA7-BEEF-73B7946A3948}" cache="Slicer_Party_Name" caption="Party Name" columnCount="4" rowHeight="247650"/>
  <slicer name="Date" xr10:uid="{A1A3D396-C797-4750-957E-CF701F9D3C93}" cache="Slicer_Date" caption="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1" xr10:uid="{663D6C72-DC00-4848-8A46-2F05DE4A2577}" cache="Slicer_Party_Name1" caption="Party Name" startItem="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8CB7DD44-BF59-47B2-AB64-03EC8FC8FD4A}" cache="Slicer_Party" caption="Party" startItem="18" columnCount="3" rowHeight="180000"/>
  <slicer name="Date 1" xr10:uid="{8E7BDD3C-DB8C-4BD4-9ACC-14DA5E7A745C}" cache="Slicer_Date1" caption="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 2" xr10:uid="{684571A0-AFE3-49B8-B794-50BABDA24345}" cache="Slicer_Party_Name2" caption="Column1" startItem="5"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4756620-6DF0-4AD4-88A3-886E9C792FF1}" cache="Slicer_Person" caption="Person"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 Number" xr10:uid="{07A5CFB3-DECF-470C-B6C0-B5255850F5AA}" cache="Slicer_Shipment_Number" caption="Shipment Number" startItem="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F66F6-6434-425A-A910-C3CBF3339B20}" name="Table4" displayName="Table4" ref="B1:E18" totalsRowShown="0">
  <autoFilter ref="B1:E18" xr:uid="{726F66F6-6434-425A-A910-C3CBF3339B20}"/>
  <tableColumns count="4">
    <tableColumn id="1" xr3:uid="{7A2445A9-BF1B-49FB-84BB-52F6CB270F38}" name="Party Name" dataDxfId="111">
      <calculatedColumnFormula>B49</calculatedColumnFormula>
    </tableColumn>
    <tableColumn id="2" xr3:uid="{7EDCC2ED-0339-42B3-9633-FFEA7A3DD9F3}" name="Tiyaar" dataDxfId="110">
      <calculatedColumnFormula>SUMIFS(ledger!G:G, ledger!B:B, B2, ledger!E:E, "&lt;&gt;*RD*") / 1.0936</calculatedColumnFormula>
    </tableColumn>
    <tableColumn id="3" xr3:uid="{CC1535DD-3FE7-4F55-8040-E7643388A78E}" name="Rate"/>
    <tableColumn id="4" xr3:uid="{059CB70B-ADAD-4985-84AA-0D530BAC5567}" name="Total" dataDxfId="109">
      <calculatedColumnFormula>(SUMIFS(ledger!G:G, ledger!B:B, B2, ledger!E:E, "&lt;&gt;*RD*",ledger!D:D, "Silky") / 1.0936)*12 + (SUMIFS(ledger!G:G, ledger!B:B, B2, ledger!E:E, "&lt;&gt;*RD*",ledger!D:D, "Chamki") / 1.0936)*10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49E5D32-DF9C-4018-96AB-CA98E118D910}" name="Table21" displayName="Table21" ref="B7:E20" totalsRowShown="0" headerRowDxfId="108" dataDxfId="107">
  <autoFilter ref="B7:E20" xr:uid="{449E5D32-DF9C-4018-96AB-CA98E118D910}"/>
  <tableColumns count="4">
    <tableColumn id="1" xr3:uid="{F663704C-91DD-4BB9-B7EB-EEB0C5EDED6C}" name="Description" dataDxfId="106"/>
    <tableColumn id="2" xr3:uid="{6D94D495-CD0B-4FD3-9771-81D731982A97}" name="Rate" dataDxfId="105" dataCellStyle="Comma"/>
    <tableColumn id="3" xr3:uid="{2D14CEAD-3602-40E7-A488-3584EBC9141E}" name="gazana" dataDxfId="104" dataCellStyle="Comma"/>
    <tableColumn id="4" xr3:uid="{06FEE63C-6480-4079-8426-51BC26B38B34}" name="sum" dataDxfId="103" dataCellStyle="Comma">
      <calculatedColumnFormula>Table21[[#This Row],[gazana]]*Table21[[#This Row],[Rate]]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D0749A-70DE-4EC8-A4EE-00E713C72289}" name="Table12" displayName="Table12" ref="B3:E14" totalsRowCount="1">
  <autoFilter ref="B3:E13" xr:uid="{40D0749A-70DE-4EC8-A4EE-00E713C72289}"/>
  <tableColumns count="4">
    <tableColumn id="1" xr3:uid="{1EA52ED7-9CB7-4573-9DD3-268050EECEA4}" name="Type"/>
    <tableColumn id="2" xr3:uid="{8DE1A7AC-456D-429D-A522-6C6D0DAD1C74}" name="Amount" totalsRowFunction="custom" dataDxfId="102" totalsRowDxfId="101" dataCellStyle="Comma">
      <totalsRowFormula>SUM(Table12[Amount])</totalsRowFormula>
    </tableColumn>
    <tableColumn id="3" xr3:uid="{12F975D1-A51D-47BD-82DF-F0C35A709016}" name="Description"/>
    <tableColumn id="4" xr3:uid="{96712812-B120-49C2-B905-59FC86A743E8}" name="cost per meter" totalsRowFunction="custom" dataDxfId="100" totalsRowDxfId="99">
      <calculatedColumnFormula>Table12[[#This Row],[Amount]]/Table1[[#Totals],[tiyar/meters]]</calculatedColumnFormula>
      <totalsRowFormula>SUM(Table12[cost per meter])</totalsRow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E47AE5-DECF-4AE8-B09E-D2B6BE4574A8}" name="Table20" displayName="Table20" ref="B18:D22" totalsRowShown="0">
  <autoFilter ref="B18:D22" xr:uid="{B9E47AE5-DECF-4AE8-B09E-D2B6BE4574A8}"/>
  <tableColumns count="3">
    <tableColumn id="1" xr3:uid="{A1241CCD-0076-43C0-B909-5B2E7BC5D1EE}" name="Stock"/>
    <tableColumn id="2" xr3:uid="{6CC6073F-DD16-46A3-9F83-C1DB83B8F18B}" name="quantity"/>
    <tableColumn id="3" xr3:uid="{C5BC1FD9-364F-45F2-BB32-96F9E454C99A}" name="Column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6E8F7F-D03F-4198-8335-91A003EA9E45}" name="Table6" displayName="Table6" ref="B2:C5" totalsRowShown="0" headerRowDxfId="98" dataDxfId="97" headerRowCellStyle="Comma" dataCellStyle="Comma">
  <autoFilter ref="B2:C5" xr:uid="{136E8F7F-D03F-4198-8335-91A003EA9E45}"/>
  <tableColumns count="2">
    <tableColumn id="1" xr3:uid="{279FA697-9952-479A-AC05-0D4992B41374}" name="Column1" dataDxfId="96" dataCellStyle="Comma"/>
    <tableColumn id="2" xr3:uid="{8A64998B-65EF-41CD-BCB0-3DDB7B359C54}" name="Column2" dataDxfId="95"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B0C9E74-2F66-4C26-94CA-FD4A0A4B2ACA}" name="Table19" displayName="Table19" ref="B10:C21" totalsRowShown="0">
  <autoFilter ref="B10:C21" xr:uid="{2B0C9E74-2F66-4C26-94CA-FD4A0A4B2ACA}"/>
  <tableColumns count="2">
    <tableColumn id="1" xr3:uid="{4311E5F0-1C85-4B10-9FF6-5ACB13038079}" name="Column1" dataDxfId="94"/>
    <tableColumn id="2" xr3:uid="{51D27FA2-8DDF-4369-BAF7-7D1FE90E16A0}" name="Column2" dataDxfId="9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F58B95-D9E6-473F-8BE5-C4A8DDED103B}" name="Table13" displayName="Table13" ref="B2:F44" totalsRowCount="1">
  <autoFilter ref="B2:F43" xr:uid="{A0F58B95-D9E6-473F-8BE5-C4A8DDED103B}"/>
  <tableColumns count="5">
    <tableColumn id="1" xr3:uid="{8D801E24-A4A4-436D-ACAE-08E5208293FB}" name="Date" dataDxfId="92" totalsRowDxfId="91"/>
    <tableColumn id="2" xr3:uid="{8A25A580-75B6-436A-86F0-A6F6FD45C9B8}" name="Type"/>
    <tableColumn id="3" xr3:uid="{D0F39D34-97FE-4856-BF51-811617A1CC29}" name="Debit" totalsRowFunction="sum">
      <calculatedColumnFormula>SUMIFS(Table14[Debit], Table14[Date], Table13[[#This Row],[Date]], Table14[Party], "Transport")</calculatedColumnFormula>
    </tableColumn>
    <tableColumn id="4" xr3:uid="{920800CF-A78E-443D-8B14-2DF96850B1AA}" name="Credit" totalsRowFunction="sum" dataDxfId="90">
      <calculatedColumnFormula>SUMIFS(Table14[Credit], Table14[Date], Table13[[#This Row],[Date]], Table14[Party], "Transport")</calculatedColumnFormula>
    </tableColumn>
    <tableColumn id="5" xr3:uid="{3EAACA7A-7CB5-4CE5-AAFF-541AAE704336}" name="Diff" totalsRowFunction="custom">
      <totalsRowFormula>Table13[[#Totals],[Debit]]-Table13[[#Totals],[Credit]]</totalsRow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ACEC6-751B-4B1D-817F-5C5BCD38EF6D}" name="Table1" displayName="Table1" ref="A1:K199" totalsRowCount="1" headerRowDxfId="89" dataDxfId="88" headerRowCellStyle="Comma" dataCellStyle="Comma">
  <autoFilter ref="A1:K198" xr:uid="{11DACEC6-751B-4B1D-817F-5C5BCD38EF6D}"/>
  <tableColumns count="11">
    <tableColumn id="1" xr3:uid="{2FCE3FA8-A48C-4685-8919-AE44C6C71FD9}" name="Date" dataDxfId="87" dataCellStyle="Comma"/>
    <tableColumn id="2" xr3:uid="{5780FD5F-0890-44E6-B59C-8E37A559FE36}" name="Party Name" dataDxfId="86" dataCellStyle="Comma"/>
    <tableColumn id="3" xr3:uid="{5B3ECD85-9174-40AC-BFBD-49CAC97A83D3}" name="Bill Number" dataDxfId="85" dataCellStyle="Comma"/>
    <tableColumn id="4" xr3:uid="{11B50761-04B6-4262-AD4D-7182450037D1}" name="Quality" dataDxfId="84" dataCellStyle="Comma"/>
    <tableColumn id="5" xr3:uid="{2C556969-B713-4967-BD24-466AACCBE5F5}" name="Shipment Number" dataDxfId="83" totalsRowDxfId="82" dataCellStyle="Comma"/>
    <tableColumn id="6" xr3:uid="{F4E1FD2B-9017-4DEB-B772-BF447ECE56F7}" name="Kora/metre" dataDxfId="81" totalsRowDxfId="80" dataCellStyle="Comma"/>
    <tableColumn id="7" xr3:uid="{52ACC1DA-7A76-4A90-B809-3A1AE728E7EA}" name="Tiyaar/gaz" dataDxfId="79" totalsRowDxfId="78" dataCellStyle="Comma"/>
    <tableColumn id="8" xr3:uid="{31A0FF5E-56F0-44D1-9865-73256B964660}" name="shortage %" dataDxfId="77" totalsRowDxfId="76" dataCellStyle="Comma">
      <calculatedColumnFormula>_xlfn.XLOOKUP(Table1[[#This Row],[Shipment Number]], 'pivot '!A:A,'pivot '!G:G, "NF")</calculatedColumnFormula>
    </tableColumn>
    <tableColumn id="9" xr3:uid="{F99075E0-AC8E-094D-BB85-272AD2C6C568}" name="tiyar/meters" totalsRowFunction="custom" dataDxfId="75" totalsRowDxfId="74" dataCellStyle="Comma">
      <totalsRowFormula array="1">SUMPRODUCT( SUBTOTAL(109, OFFSET(Table1[tiyar/meters], ROW(Table1[tiyar/meters])-MIN(ROW(Table1[tiyar/meters])), 0, 1)), --(Table1[Bill Number]&lt;&gt;"December Closing CF") )</totalsRowFormula>
    </tableColumn>
    <tableColumn id="10" xr3:uid="{4B2AF87E-7D86-A946-B130-EA2852096C91}" name="billing" totalsRowFunction="custom" dataDxfId="73" totalsRowDxfId="72" dataCellStyle="Comma">
      <totalsRowFormula array="1">SUMPRODUCT( SUBTOTAL(109, OFFSET(Table1[billing], ROW(Table1[billing])-MIN(ROW(Table1[billing])), 0, 1)), --(Table1[Bill Number]&lt;&gt;"December Closing CF") )</totalsRowFormula>
    </tableColumn>
    <tableColumn id="11" xr3:uid="{0D198F0C-D2D3-4F75-9F3B-25A393B5D570}" name="Total Billing" totalsRowFunction="custom" dataDxfId="71" totalsRowDxfId="70" dataCellStyle="Comma">
      <totalsRowFormula>SUMIFS(Table1[billing], Table1[Bill Number], "&lt;&gt;December Closing CF")</totalsRow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C897677-1737-4B16-8F5A-5A77AF1D5D3E}" name="Table26" displayName="Table26" ref="A1:E21" totalsRowShown="0">
  <autoFilter ref="A1:E21" xr:uid="{1C897677-1737-4B16-8F5A-5A77AF1D5D3E}"/>
  <tableColumns count="5">
    <tableColumn id="1" xr3:uid="{68127E10-A043-4A75-8844-6D6CD07B40A5}" name="Date"/>
    <tableColumn id="2" xr3:uid="{661EE1B8-E793-4338-9A10-2AB3AA7F6C56}" name="Party Name"/>
    <tableColumn id="3" xr3:uid="{C5977A5B-6EB8-4254-A897-7059B3CAC9DD}" name="Lot Number"/>
    <tableColumn id="4" xr3:uid="{A2066C4C-A5F0-40D7-8142-80C5BA6A2AB1}" name="Gazana"/>
    <tableColumn id="5" xr3:uid="{3C7F4FCE-9CFD-4800-B07E-1D9043F662EA}" name="Qualit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E8C957-ABE7-4E4F-8D4E-7D44E26B334F}" name="Table3" displayName="Table3" ref="A1:I143" totalsRowCount="1" headerRowDxfId="67" headerRowBorderDxfId="66" tableBorderDxfId="65">
  <autoFilter ref="A1:I142" xr:uid="{F8E8C957-ABE7-4E4F-8D4E-7D44E26B334F}"/>
  <tableColumns count="9">
    <tableColumn id="1" xr3:uid="{C2E817D6-AB98-4DDD-8890-736B27F261CD}" name="Date" dataDxfId="64" totalsRowDxfId="63"/>
    <tableColumn id="2" xr3:uid="{CFB51890-CCDC-463C-81C9-3F8BD7469CB9}" name="Party Name"/>
    <tableColumn id="3" xr3:uid="{A113D971-1C9D-4733-99C4-BD0CC4333209}" name="Vehicle Number"/>
    <tableColumn id="4" xr3:uid="{49780304-3DD1-4AE9-98EE-2BC7EB8F3B57}" name="Weight" dataDxfId="62" totalsRowDxfId="61" dataCellStyle="Comma"/>
    <tableColumn id="5" xr3:uid="{FCAF1BC6-1D8C-42AD-8BBC-F924BF2DC7FE}" name="Rate" dataDxfId="60" totalsRowDxfId="59" dataCellStyle="Comma"/>
    <tableColumn id="6" xr3:uid="{8C70A624-4134-410C-9C45-9FDEB51D51BF}" name="Rent" dataDxfId="58" totalsRowDxfId="57" dataCellStyle="Comma"/>
    <tableColumn id="7" xr3:uid="{EBCE10AE-9634-4982-9C95-37ABC8A7078C}" name="Total" totalsRowFunction="sum" dataDxfId="56" totalsRowDxfId="55" dataCellStyle="Comma">
      <calculatedColumnFormula>D2*E2</calculatedColumnFormula>
    </tableColumn>
    <tableColumn id="9" xr3:uid="{D4788559-C94A-44D9-B9AE-E72B214355AC}" name="Paid" totalsRowFunction="sum" dataDxfId="54" totalsRowDxfId="53" dataCellStyle="Comma"/>
    <tableColumn id="8" xr3:uid="{E26F5BF0-1875-4FC6-994D-49F202ED562B}" name="balance" totalsRowFunction="sum" dataDxfId="52" totalsRowDxfId="51" dataCellStyle="Comma">
      <calculatedColumnFormula>(D2*E2)-Table3[[#This Row],[Paid]]</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032221-B416-47A8-9A76-693DE76CFD04}" name="Table14" displayName="Table14" ref="A1:G536" totalsRowCount="1">
  <autoFilter ref="A1:G535" xr:uid="{CB032221-B416-47A8-9A76-693DE76CFD04}"/>
  <tableColumns count="7">
    <tableColumn id="1" xr3:uid="{554B1EED-65B6-4E9A-B646-82727FAC40DE}" name="Date" dataDxfId="133" totalsRowDxfId="3"/>
    <tableColumn id="2" xr3:uid="{32259059-42CF-4947-83DE-115AA430BE2B}" name="Party"/>
    <tableColumn id="3" xr3:uid="{A1320223-D55D-483C-91C3-AB19B95CC9D8}" name="Debit" totalsRowFunction="sum" dataDxfId="132" totalsRowDxfId="2" dataCellStyle="Comma"/>
    <tableColumn id="4" xr3:uid="{E9745767-9FF0-4B1C-9052-FF335D1D7588}" name="Credit" totalsRowFunction="sum" dataDxfId="131" totalsRowDxfId="1" dataCellStyle="Comma"/>
    <tableColumn id="5" xr3:uid="{5C88A48E-2467-4E6D-B626-2442B7FD0BE4}" name="Description"/>
    <tableColumn id="6" xr3:uid="{63CA4666-144E-4BE6-8B7C-7CB992BD3041}" name="Mode" totalsRowFunction="custom" dataDxfId="130" totalsRowDxfId="0">
      <totalsRowFormula>(Table14[[#Totals],[Credit]]-Table14[[#Totals],[Debit]])</totalsRowFormula>
    </tableColumn>
    <tableColumn id="7" xr3:uid="{949C7305-E4C4-48D6-B5DE-F5966AE105DD}" name="Withdrawal"/>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E01694-23ED-48BF-8B92-4186B9ED10A8}" name="Table17" displayName="Table17" ref="J3:K6" totalsRowShown="0" headerRowBorderDxfId="129" tableBorderDxfId="128" totalsRowBorderDxfId="127">
  <autoFilter ref="J3:K6" xr:uid="{DCE01694-23ED-48BF-8B92-4186B9ED10A8}"/>
  <tableColumns count="2">
    <tableColumn id="1" xr3:uid="{C8484DAF-2989-4C2F-9AEC-A6917E1C57F6}" name="Type" dataDxfId="126"/>
    <tableColumn id="2" xr3:uid="{B07B7A2A-4D4E-4654-BED6-FE2F0A7BEC34}" name="Amount" dataDxfId="12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66BDD1-ACD7-45D7-8AE9-7350373F8CEB}" name="Table18" displayName="Table18" ref="M3:O7" totalsRowCount="1" headerRowDxfId="124" headerRowBorderDxfId="123" tableBorderDxfId="122" totalsRowBorderDxfId="121">
  <autoFilter ref="M3:O6" xr:uid="{D166BDD1-ACD7-45D7-8AE9-7350373F8CEB}"/>
  <tableColumns count="3">
    <tableColumn id="1" xr3:uid="{64F0205E-DEA7-4571-BA86-E4374A5FEE28}" name="Type" totalsRowLabel="Total" dataDxfId="120" totalsRowDxfId="119"/>
    <tableColumn id="2" xr3:uid="{15FA05F9-789C-4459-9BE0-5C1EC84D3365}" name="amount" totalsRowFunction="custom" dataDxfId="118" totalsRowDxfId="117">
      <totalsRowFormula>SUM(N5:N6)</totalsRowFormula>
    </tableColumn>
    <tableColumn id="3" xr3:uid="{3681D409-90C6-44D0-BDE2-4B5943A516F0}" name="Actual" totalsRowFunction="custom" totalsRowDxfId="116">
      <totalsRowFormula>SUM(O5,O6)</totalsRow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E0731B-E176-4C4A-A6F7-CD6C16273723}" name="Table7" displayName="Table7" ref="K2:N5" totalsRowCount="1">
  <autoFilter ref="K2:N4" xr:uid="{77E0731B-E176-4C4A-A6F7-CD6C16273723}"/>
  <tableColumns count="4">
    <tableColumn id="1" xr3:uid="{ED2EE743-D65D-40B8-B1D2-9A3999DB9021}" name="Date" dataDxfId="50" totalsRowDxfId="49"/>
    <tableColumn id="2" xr3:uid="{5B9D0FEE-4304-4C5C-A05C-5B27CF7841D3}" name="Type"/>
    <tableColumn id="3" xr3:uid="{6A91CA0D-C802-4C6F-9F39-CA53687E8EDE}" name="Description"/>
    <tableColumn id="4" xr3:uid="{A251D40C-AB87-4BB4-85F8-444B20E32FDF}" name="Total" totalsRowFunction="custom" dataDxfId="48" totalsRowDxfId="47" dataCellStyle="Comma">
      <totalsRowFormula>SUM(Table7[Total])</totalsRow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76AC52-D856-4F5C-BAC5-B41503DDA11B}" name="Table8" displayName="Table8" ref="A1:I26" totalsRowCount="1" headerRowDxfId="46" headerRowBorderDxfId="45">
  <autoFilter ref="A1:I25" xr:uid="{B276AC52-D856-4F5C-BAC5-B41503DDA11B}"/>
  <tableColumns count="9">
    <tableColumn id="1" xr3:uid="{1A00B993-AF25-45A2-BFF9-E0DD747BB444}" name="Date"/>
    <tableColumn id="2" xr3:uid="{0A3FC504-E40A-4FB2-9B51-E79A4BC1EC63}" name="Chemical Name"/>
    <tableColumn id="3" xr3:uid="{216C88B1-47EE-4EC2-975B-32C391B36543}" name="Boxes"/>
    <tableColumn id="5" xr3:uid="{124DE3CE-AA7A-4822-99BD-69CE8547DD00}" name="Rate" dataDxfId="44"/>
    <tableColumn id="4" xr3:uid="{1889A312-9B41-4EC4-BD8F-05252F27084A}" name="Price" totalsRowFunction="sum"/>
    <tableColumn id="6" xr3:uid="{8B974B20-F003-4E67-8660-024FA4F324A9}" name="Party"/>
    <tableColumn id="7" xr3:uid="{0A5A5C21-FD61-47DA-9F54-66A6479FA557}" name="Paid" dataDxfId="43">
      <calculatedColumnFormula>SUMIFS(Table14[Debit], Table14[Date], Table8[[#This Row],[Date]], Table14[Party], Table8[[#This Row],[Party]])</calculatedColumnFormula>
    </tableColumn>
    <tableColumn id="8" xr3:uid="{8DCB3B43-2161-4081-82EC-CDB0F4DE4E6F}" name="Balance" totalsRowFunction="sum" dataDxfId="42">
      <calculatedColumnFormula>Table8[[#This Row],[Price]]-Table8[[#This Row],[Paid]]</calculatedColumnFormula>
    </tableColumn>
    <tableColumn id="9" xr3:uid="{774991E8-E731-4369-B42A-6867C4E08D5A}" name="info"/>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3C87E4-120A-4395-90A1-466202120EC6}" name="Table23" displayName="Table23" ref="L33:P56" totalsRowShown="0">
  <autoFilter ref="L33:P56" xr:uid="{3D3C87E4-120A-4395-90A1-466202120EC6}"/>
  <tableColumns count="5">
    <tableColumn id="1" xr3:uid="{3790A6D0-5CFF-413F-A3F3-4DC22D4BF461}" name="Stock"/>
    <tableColumn id="2" xr3:uid="{D41F9BA4-5950-4E87-AFB4-4300ED9B7EC7}" name="boxes"/>
    <tableColumn id="3" xr3:uid="{8FD2097B-B76F-4506-8A7C-680AAA414EF4}" name="kgs"/>
    <tableColumn id="4" xr3:uid="{2DE2F906-CF4C-457D-A4F8-CE5A4953DA02}" name="Rate"/>
    <tableColumn id="5" xr3:uid="{CCDBF5A6-50E5-44F0-89C8-65E15A59CF7C}" name="tota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8ECE447-7C3E-4E68-93A1-CFBC40F77258}" name="Table2325" displayName="Table2325" ref="A38:E65" totalsRowCount="1">
  <autoFilter ref="A38:E64" xr:uid="{18ECE447-7C3E-4E68-93A1-CFBC40F77258}"/>
  <tableColumns count="5">
    <tableColumn id="1" xr3:uid="{14FC11FB-D9C7-464F-BC0D-00D0DBE7D387}" name="Stock"/>
    <tableColumn id="2" xr3:uid="{08852A10-B253-4125-923F-8339BB6E494E}" name="boxes"/>
    <tableColumn id="3" xr3:uid="{337A4ADE-F0D9-4AED-B032-9EBD8AEF8401}" name="kgs"/>
    <tableColumn id="4" xr3:uid="{9C1C0875-C9E7-4E5B-AB3E-0C5189D43AEC}" name="Rate"/>
    <tableColumn id="5" xr3:uid="{B957BF57-E4E7-4F92-8ABA-5B0CD4B0B740}" name="total" totalsRowFunction="custom">
      <totalsRowFormula>SUM(Table2325[total])</totalsRow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C80688-A8BA-4BA7-90B4-791CD99446B4}" name="Table2" displayName="Table2" ref="A4:H26" totalsRowCount="1" headerRowDxfId="41" headerRowBorderDxfId="40">
  <autoFilter ref="A4:H25" xr:uid="{A4C80688-A8BA-4BA7-90B4-791CD99446B4}"/>
  <sortState xmlns:xlrd2="http://schemas.microsoft.com/office/spreadsheetml/2017/richdata2" ref="A5:H6">
    <sortCondition ref="A4:A6"/>
  </sortState>
  <tableColumns count="8">
    <tableColumn id="1" xr3:uid="{4A818912-918E-4111-ACFC-BC93FEF7C1AD}" name="Date" dataDxfId="39" totalsRowDxfId="38"/>
    <tableColumn id="8" xr3:uid="{477ACFD5-62AF-4F69-974B-E9B974C11D7D}" name="Party Name" dataDxfId="37"/>
    <tableColumn id="2" xr3:uid="{5B0EA59B-2D3B-4B7B-BA56-6C615D2F6506}" name="Item"/>
    <tableColumn id="3" xr3:uid="{6300FCFD-553D-4800-9CD0-2405B6C4D56F}" name="Boxes"/>
    <tableColumn id="4" xr3:uid="{9FBD2AB3-9F7F-4D27-86AD-36F05B132D6A}" name="Quantity"/>
    <tableColumn id="5" xr3:uid="{F5590721-CD26-461E-BC7A-3AC6FD6C8D07}" name="Price" totalsRowFunction="sum" dataDxfId="36">
      <calculatedColumnFormula>Table2[[#This Row],[Quantity]]*200*Table2[[#This Row],[Boxes]]</calculatedColumnFormula>
    </tableColumn>
    <tableColumn id="6" xr3:uid="{30432929-CBD4-4BA8-B63F-CD0F6CF6405F}" name="Paid" totalsRowFunction="sum" dataDxfId="35">
      <calculatedColumnFormula>SUMIFS(Table14[Debit], Table14[Date], Table2[[#This Row],[Date]], Table14[Party], Table2[[#This Row],[Party Name]])</calculatedColumnFormula>
    </tableColumn>
    <tableColumn id="7" xr3:uid="{BB689DF2-5D1E-436D-84C4-9745D88E8F3D}" name="Balance" totalsRowFunction="sum" dataDxfId="34">
      <calculatedColumnFormula>Table2[[#This Row],[Price]]-Table2[[#This Row],[Paid]]</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357E87-68FF-4AC2-8066-39F0E529CFC4}" name="Table10" displayName="Table10" ref="B2:E7" totalsRowShown="0">
  <autoFilter ref="B2:E7" xr:uid="{1B357E87-68FF-4AC2-8066-39F0E529CFC4}"/>
  <tableColumns count="4">
    <tableColumn id="1" xr3:uid="{787B6E2D-E4E4-408D-8699-000441F05577}" name="Date"/>
    <tableColumn id="2" xr3:uid="{8AC4085A-53BD-4DCC-AABB-BDA934F378A3}" name="Bill number"/>
    <tableColumn id="3" xr3:uid="{69AD0C13-F4F5-48D9-A785-CD628CA35526}" name="Units"/>
    <tableColumn id="4" xr3:uid="{9C0851DF-D6F1-4E88-AC04-06EE93955F1C}" name="Total"/>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88DB1B-6B38-4D3F-A584-F50B092833D5}" name="Table210" displayName="Table210" ref="B2:E6" totalsRowCount="1">
  <autoFilter ref="B2:E5" xr:uid="{2288DB1B-6B38-4D3F-A584-F50B092833D5}"/>
  <sortState xmlns:xlrd2="http://schemas.microsoft.com/office/spreadsheetml/2017/richdata2" ref="B3:E3">
    <sortCondition ref="B3"/>
  </sortState>
  <tableColumns count="4">
    <tableColumn id="11" xr3:uid="{98DE5394-4EDB-4DDA-8F3F-AA0DF0DC98BB}" name="Date" totalsRowLabel="Total"/>
    <tableColumn id="1" xr3:uid="{72BAEFE6-C0F7-4E56-9269-EAE763B50636}" name="Type"/>
    <tableColumn id="2" xr3:uid="{5CD13227-2772-4576-B38D-C6906BDDB84D}" name="Amount" totalsRowFunction="sum" dataDxfId="33" totalsRowDxfId="32" dataCellStyle="Comma"/>
    <tableColumn id="6" xr3:uid="{8816813F-07CA-42C2-B1D6-851406F94D6E}" name="Column1" totalsRowFunction="count"/>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2116EC9-BBDE-41BB-A2D7-8BCF3AB6260F}" name="Table11" displayName="Table11" ref="B2:E43" totalsRowCount="1">
  <autoFilter ref="B2:E42" xr:uid="{62116EC9-BBDE-41BB-A2D7-8BCF3AB6260F}"/>
  <tableColumns count="4">
    <tableColumn id="1" xr3:uid="{7DB097C9-B24B-4164-AE75-219BA075790F}" name="Date" dataDxfId="31" totalsRowDxfId="30"/>
    <tableColumn id="2" xr3:uid="{053BFC14-4828-417C-9F9F-95B6E232A945}" name="Amount" totalsRowFunction="custom" dataDxfId="29" totalsRowDxfId="28" dataCellStyle="Comma">
      <calculatedColumnFormula>Cashbook!#REF!</calculatedColumnFormula>
      <totalsRowFormula>SUM(Table11[Amount])</totalsRowFormula>
    </tableColumn>
    <tableColumn id="3" xr3:uid="{2E55C6E1-AD6B-4BC4-97B3-79E57921B815}" name="Column1"/>
    <tableColumn id="4" xr3:uid="{7EA13E0F-23E7-454D-8FB4-1534C59EB376}" name="Column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B203B0-1AB7-490A-A749-F34A78C46DF4}" name="Table16" displayName="Table16" ref="H2:J37" totalsRowCount="1">
  <autoFilter ref="H2:J36" xr:uid="{A7B203B0-1AB7-490A-A749-F34A78C46DF4}"/>
  <tableColumns count="3">
    <tableColumn id="1" xr3:uid="{B4CDCF07-E9DA-48C6-997D-76B3FCF36D4E}" name="Date" dataDxfId="27" totalsRowDxfId="26"/>
    <tableColumn id="2" xr3:uid="{EC66B9BB-B8FA-42B5-8213-88EBD296FC5F}" name="Advance" totalsRowFunction="sum">
      <calculatedColumnFormula>SUMIFS(Table14[Debit], Table14[Date], Table16[[#This Row],[Date]], Table14[Party], "Advance Salary", Table14[Description], Table16[[#This Row],[Person]] )</calculatedColumnFormula>
    </tableColumn>
    <tableColumn id="3" xr3:uid="{BC0CDAC8-9BF5-4D1D-BC37-F21C6DCD121A}" name="Perso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94C645-BA0B-477E-AE5E-02046C12E841}" name="Table5" displayName="Table5" ref="B2:E42" totalsRowCount="1">
  <autoFilter ref="B2:E41" xr:uid="{4694C645-BA0B-477E-AE5E-02046C12E841}"/>
  <tableColumns count="4">
    <tableColumn id="1" xr3:uid="{1D391A77-9D14-4B37-AD91-EEEDC97B6A4E}" name="Date" dataDxfId="16" totalsRowDxfId="15"/>
    <tableColumn id="2" xr3:uid="{B579509C-6B30-4107-AD5D-29484D2620F7}" name="Type"/>
    <tableColumn id="3" xr3:uid="{4563E1C4-DFFB-47FA-BCFB-33EA270AD884}" name="Amount" totalsRowFunction="custom">
      <calculatedColumnFormula>SUMIFS(Table14[Debit], Table14[Date], Table5[[#This Row],[Date]], Table14[Party], "Rashan")</calculatedColumnFormula>
      <totalsRowFormula>SUM(Table5[Amount])</totalsRowFormula>
    </tableColumn>
    <tableColumn id="4" xr3:uid="{7D5F88DD-337D-497A-A5B0-AF06B47BEDD2}" name="Column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7265B0E-A50D-4BC5-9C1C-E62AF5B48CAF}" name="Table15" displayName="Table15" ref="H2:J43" totalsRowCount="1">
  <autoFilter ref="H2:J42" xr:uid="{A7265B0E-A50D-4BC5-9C1C-E62AF5B48CAF}"/>
  <tableColumns count="3">
    <tableColumn id="1" xr3:uid="{AB5830E5-ECCF-4406-AB96-EB98EE86F300}" name="Date" dataDxfId="14" totalsRowDxfId="13"/>
    <tableColumn id="2" xr3:uid="{4EBD2B2B-3B34-41C2-ABCE-6323AB3BD2BC}" name="Type"/>
    <tableColumn id="3" xr3:uid="{D68E9581-5913-4B55-8149-35CB7814F997}" name="Amount" totalsRowFunction="custom">
      <calculatedColumnFormula>SUMIFS(Table14[Debit], Table14[Date], Table15[[#This Row],[Date]], Table14[Party], "Parts")</calculatedColumnFormula>
      <totalsRowFormula>SUM(Table15[Amount])</totalsRow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993807-B770-4023-98E3-8834035352C5}" name="Table22" displayName="Table22" ref="A1:C40" totalsRowShown="0">
  <autoFilter ref="A1:C40" xr:uid="{12993807-B770-4023-98E3-8834035352C5}"/>
  <tableColumns count="3">
    <tableColumn id="1" xr3:uid="{DF7536DF-F3D0-48F5-83DE-312320C1F7F4}" name="Party Name" dataDxfId="12">
      <calculatedColumnFormula>Billing!Q5</calculatedColumnFormula>
    </tableColumn>
    <tableColumn id="2" xr3:uid="{7093A59E-B58F-487D-888A-9AA8156B5F9A}" name="Amount Paid" dataDxfId="11">
      <calculatedColumnFormula>Billing!AD5</calculatedColumnFormula>
    </tableColumn>
    <tableColumn id="3" xr3:uid="{82D37DD3-FDA4-4C89-BBC6-89947894747E}" name="Balanc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FCFD9F-93FF-4AFC-90E2-CE42E8512CA2}" name="Table25" displayName="Table25" ref="A1:B27" totalsRowShown="0">
  <autoFilter ref="A1:B27" xr:uid="{EFFCFD9F-93FF-4AFC-90E2-CE42E8512CA2}"/>
  <tableColumns count="2">
    <tableColumn id="1" xr3:uid="{31AA849F-784A-4EE5-9A44-4DB4BC5751A0}" name="Party Names" dataDxfId="10"/>
    <tableColumn id="2" xr3:uid="{F72CFEEB-BA11-4A49-BD19-88592EB6A27C}" name="Credit" dataDxfId="9" dataCellStyle="Comma">
      <calculatedColumnFormula>_xlfn.XLOOKUP($A2,[1]Billing!$Q$5:$Q$40,[1]Billing!$AD$5:$AD$40)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7" Type="http://schemas.microsoft.com/office/2007/relationships/slicer" Target="../slicers/slicer3.xml"/><Relationship Id="rId2" Type="http://schemas.openxmlformats.org/officeDocument/2006/relationships/printerSettings" Target="../printerSettings/printerSettings7.bin"/><Relationship Id="rId1" Type="http://schemas.openxmlformats.org/officeDocument/2006/relationships/pivotTable" Target="../pivotTables/pivotTable3.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4.xml"/><Relationship Id="rId5" Type="http://schemas.openxmlformats.org/officeDocument/2006/relationships/table" Target="../tables/table17.xml"/><Relationship Id="rId4"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microsoft.com/office/2007/relationships/slicer" Target="../slicers/slicer5.xml"/><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3788-DC3D-4686-B6D6-08186A86599F}">
  <dimension ref="A1:AG115"/>
  <sheetViews>
    <sheetView topLeftCell="S14" zoomScale="109" zoomScaleNormal="80" workbookViewId="0">
      <selection activeCell="AA37" sqref="AA37"/>
    </sheetView>
  </sheetViews>
  <sheetFormatPr defaultRowHeight="14.4" x14ac:dyDescent="0.3"/>
  <cols>
    <col min="2" max="2" width="12.88671875" bestFit="1" customWidth="1"/>
    <col min="3" max="3" width="13.6640625" customWidth="1"/>
    <col min="4" max="4" width="12.5546875" customWidth="1"/>
    <col min="5" max="5" width="11" customWidth="1"/>
    <col min="6" max="6" width="13.33203125" customWidth="1"/>
    <col min="7" max="7" width="15.88671875" bestFit="1" customWidth="1"/>
    <col min="8" max="8" width="12.33203125" bestFit="1" customWidth="1"/>
    <col min="9" max="10" width="12.33203125" customWidth="1"/>
    <col min="11" max="11" width="15.33203125" bestFit="1" customWidth="1"/>
    <col min="12" max="12" width="12" bestFit="1" customWidth="1"/>
    <col min="13" max="13" width="11.109375" bestFit="1" customWidth="1"/>
    <col min="14" max="15" width="16.21875" customWidth="1"/>
    <col min="16" max="16" width="11.44140625" customWidth="1"/>
    <col min="17" max="17" width="16.21875" customWidth="1"/>
    <col min="18" max="18" width="19.109375" customWidth="1"/>
    <col min="19" max="19" width="11.109375" customWidth="1"/>
    <col min="20" max="20" width="13.88671875" customWidth="1"/>
    <col min="21" max="21" width="15.5546875" bestFit="1" customWidth="1"/>
    <col min="22" max="22" width="12.33203125" bestFit="1" customWidth="1"/>
    <col min="23" max="23" width="11.44140625" bestFit="1" customWidth="1"/>
    <col min="24" max="24" width="15.5546875" bestFit="1" customWidth="1"/>
    <col min="25" max="25" width="12.33203125" bestFit="1" customWidth="1"/>
    <col min="26" max="26" width="12.33203125" customWidth="1"/>
    <col min="27" max="27" width="14.21875" customWidth="1"/>
    <col min="28" max="28" width="12.33203125" customWidth="1"/>
    <col min="29" max="29" width="11.33203125" bestFit="1" customWidth="1"/>
    <col min="30" max="30" width="15.5546875" customWidth="1"/>
    <col min="31" max="31" width="13.6640625" customWidth="1"/>
    <col min="33" max="33" width="15.88671875" customWidth="1"/>
    <col min="36" max="36" width="12.109375" customWidth="1"/>
    <col min="37" max="37" width="11.44140625" customWidth="1"/>
  </cols>
  <sheetData>
    <row r="1" spans="2:33" ht="28.8" x14ac:dyDescent="0.55000000000000004">
      <c r="B1" t="s">
        <v>2</v>
      </c>
      <c r="C1" t="s">
        <v>3</v>
      </c>
      <c r="D1" t="s">
        <v>4</v>
      </c>
      <c r="E1" t="s">
        <v>5</v>
      </c>
      <c r="G1" s="9" t="s">
        <v>0</v>
      </c>
    </row>
    <row r="2" spans="2:33" x14ac:dyDescent="0.3">
      <c r="B2" t="str">
        <f t="shared" ref="B2:B18" si="0">B49</f>
        <v>BSC</v>
      </c>
      <c r="C2" s="18">
        <f>SUMIFS(ledger!G:G, ledger!B:B, B2, ledger!E:E, "&lt;&gt;*RD*") / 1.0936</f>
        <v>492130.57790782739</v>
      </c>
      <c r="D2">
        <v>10</v>
      </c>
      <c r="E2" s="14">
        <f>(SUMIFS(ledger!G:G, ledger!B:B, B2, ledger!E:E, "&lt;&gt;*RD*",ledger!D:D, "Silky") / 1.0936)*12 + (SUMIFS(ledger!G:G, ledger!B:B, B2, ledger!E:E, "&lt;&gt;*RD*",ledger!D:D, "Chamki") / 1.0936)*10</f>
        <v>5168350.4023408927</v>
      </c>
      <c r="I2" t="s">
        <v>21</v>
      </c>
      <c r="Q2" t="s">
        <v>1</v>
      </c>
    </row>
    <row r="3" spans="2:33" x14ac:dyDescent="0.3">
      <c r="B3" t="str">
        <f t="shared" si="0"/>
        <v>Ejaz Sahab</v>
      </c>
      <c r="C3" s="18">
        <f>SUMIFS(ledger!G:G, ledger!B:B, B3, ledger!E:E, "&lt;&gt;*RD*") / 1.0936</f>
        <v>92419.531821506956</v>
      </c>
      <c r="D3">
        <v>10</v>
      </c>
      <c r="E3" s="14">
        <f>(SUMIFS(ledger!G:G, ledger!B:B, B3, ledger!E:E, "&lt;&gt;*RD*",ledger!D:D, "Silky") / 1.0936)*12 + (SUMIFS(ledger!G:G, ledger!B:B, B3, ledger!E:E, "&lt;&gt;*RD*",ledger!D:D, "Chamki") / 1.0936)*10</f>
        <v>1109034.3818580834</v>
      </c>
      <c r="I3" t="s">
        <v>22</v>
      </c>
    </row>
    <row r="4" spans="2:33" x14ac:dyDescent="0.3">
      <c r="B4" t="str">
        <f t="shared" si="0"/>
        <v>Arshad</v>
      </c>
      <c r="C4" s="18">
        <f>SUMIFS(ledger!G:G, ledger!B:B, B4, ledger!E:E, "&lt;&gt;*RD*") / 1.0936</f>
        <v>64937.820043891741</v>
      </c>
      <c r="D4">
        <v>10</v>
      </c>
      <c r="E4" s="14">
        <f>(SUMIFS(ledger!G:G, ledger!B:B, B4, ledger!E:E, "&lt;&gt;*RD*",ledger!D:D, "Silky") / 1.0936)*12 + (SUMIFS(ledger!G:G, ledger!B:B, B4, ledger!E:E, "&lt;&gt;*RD*",ledger!D:D, "Chamki") / 1.0936)*10</f>
        <v>688332.11411850771</v>
      </c>
      <c r="I4" t="s">
        <v>9</v>
      </c>
      <c r="Q4" s="21"/>
      <c r="R4" s="23" t="s">
        <v>10</v>
      </c>
      <c r="S4" s="23" t="s">
        <v>11</v>
      </c>
      <c r="T4" s="23" t="s">
        <v>12</v>
      </c>
      <c r="U4" s="23" t="s">
        <v>13</v>
      </c>
      <c r="V4" s="23" t="s">
        <v>14</v>
      </c>
      <c r="W4" s="23" t="s">
        <v>15</v>
      </c>
      <c r="X4" s="23" t="s">
        <v>179</v>
      </c>
      <c r="Y4" s="23" t="s">
        <v>180</v>
      </c>
      <c r="Z4" s="23" t="s">
        <v>198</v>
      </c>
      <c r="AA4" s="23" t="s">
        <v>199</v>
      </c>
      <c r="AB4" s="23" t="s">
        <v>204</v>
      </c>
      <c r="AC4" s="23" t="s">
        <v>16</v>
      </c>
      <c r="AD4" s="23" t="s">
        <v>17</v>
      </c>
      <c r="AE4" s="23" t="s">
        <v>18</v>
      </c>
      <c r="AF4" s="23" t="s">
        <v>19</v>
      </c>
      <c r="AG4" s="23" t="s">
        <v>20</v>
      </c>
    </row>
    <row r="5" spans="2:33" x14ac:dyDescent="0.3">
      <c r="B5" t="str">
        <f t="shared" si="0"/>
        <v>Shehzad Kamoki</v>
      </c>
      <c r="C5" s="18">
        <f>SUMIFS(ledger!G:G, ledger!B:B, B5, ledger!E:E, "&lt;&gt;*RD*") / 1.0936</f>
        <v>0</v>
      </c>
      <c r="D5">
        <v>10.5</v>
      </c>
      <c r="E5" s="14">
        <f>(SUMIFS(ledger!G:G, ledger!B:B, B5, ledger!E:E, "&lt;&gt;*RD*",ledger!D:D, "Silky") / 1.0936)*12 + (SUMIFS(ledger!G:G, ledger!B:B, B5, ledger!E:E, "&lt;&gt;*RD*",ledger!D:D, "Chamki") / 1.0936)*10.5</f>
        <v>0</v>
      </c>
      <c r="I5" t="s">
        <v>23</v>
      </c>
      <c r="Q5" s="24" t="str" cm="1">
        <f t="array" ref="Q5:Q34">_xlfn.UNIQUE(Table1[Party Name])</f>
        <v>BSC</v>
      </c>
      <c r="R5" s="22" cm="1">
        <f t="array" ref="R5">_xlfn.BYROW(B49,_xlfn.LAMBDA(_xlpm.party,SUMIFS(ledger!G:G,ledger!B:B,_xlpm.party,ledger!E:E,"&lt;&gt;*RD*")))+_xlfn.IFNA(C84,0)</f>
        <v>3652766.8824</v>
      </c>
      <c r="S5" s="22" cm="1">
        <f t="array" ref="S5">_xlfn.BYROW(B49, _xlfn.LAMBDA(_xlpm.party, SUMIFS(ledger!G:G, ledger!B:B, _xlpm.party, ledger!E:E, "&lt;&gt;*RD*") / 1.0936 ))+_xlfn.IFNA(D84,0)</f>
        <v>3340130.6532553039</v>
      </c>
      <c r="T5" s="22" cm="1">
        <f t="array" ref="T5">(_xlfn.BYROW(B49,_xlfn.LAMBDA(_xlpm.party,SUMIFS(ledger!G:G,ledger!B:B,_xlpm.party,ledger!E:E,"&lt;&gt;*RD*",ledger!D:D,"Chamki")+SUMIFS(ledger!G:G, ledger!B:B, _xlpm.party, ledger!E:E, "&lt;&gt;*RD*", ledger!D:D, "Crinkle")))/1.0936)+_xlfn.IFNA(E84,0)</f>
        <v>2767584.0182882226</v>
      </c>
      <c r="U5" s="70" cm="1">
        <f t="array" ref="U5">(_xlfn.BYROW(B49,_xlfn.LAMBDA(_xlpm.party,SUMIFS(ledger!G:G,ledger!B:B,_xlpm.party,ledger!E:E,"&lt;&gt;*RD*",ledger!D:D,"Silky")))/1.0936)+_xlfn.IFNA(F84,0)</f>
        <v>561031.45574250189</v>
      </c>
      <c r="V5" s="22" cm="1">
        <f t="array" ref="V5">(_xlfn.BYROW(B49,_xlfn.LAMBDA(_xlpm.party,
(SUMIFS(ledger!J:J,ledger!B:B,_xlpm.party,ledger!E:E,"&lt;&gt;*RD*",ledger!D:D,"Chamki",ledger!C:C,"&lt;&gt;December Closing CF")+
SUMIFS(ledger!J:J,ledger!B:B,_xlpm.party,ledger!E:E,"&lt;&gt;*RD*",ledger!D:D,"Crinkle",ledger!C:C,"&lt;&gt;December Closing CF")
)+_xlfn.IFNA(G84,0))))</f>
        <v>27675840.182882231</v>
      </c>
      <c r="W5" s="70" cm="1">
        <f t="array" ref="W5">_xlfn.BYROW(B49, _xlfn.LAMBDA(_xlpm.party,
   SUMIFS(ledger!J:J, ledger!B:B, _xlpm.party, ledger!E:E, "&lt;&gt;*RD*", ledger!D:D, "Silky", ledger!C:C, "&lt;&gt;December Closing CF")
)) + _xlfn.IFNA(H84, 0)</f>
        <v>7205053.0358449165</v>
      </c>
      <c r="X5" s="70" cm="1">
        <f t="array" ref="X5">_xlfn.BYROW(B49, _xlfn.LAMBDA(_xlpm.party,
   SUMIFS(ledger!J:J, ledger!B:B, _xlpm.party, ledger!E:E, "&lt;&gt;*RD*", ledger!D:D, "Slub", ledger!C:C, "&lt;&gt;December Closing CF")
))+ _xlfn.IFNA(I84, 0)</f>
        <v>0</v>
      </c>
      <c r="Y5" s="70" cm="1">
        <f t="array" ref="Y5">_xlfn.BYROW(B49, _xlfn.LAMBDA(_xlpm.party,
   SUMIFS(ledger!J:J, ledger!B:B, _xlpm.party, ledger!E:E, "&lt;&gt;*RD*", ledger!D:D, "Satin", ledger!C:C, "&lt;&gt;December Closing CF")
))+ _xlfn.IFNA(J84, 0)</f>
        <v>0</v>
      </c>
      <c r="Z5" s="70" cm="1">
        <f t="array" ref="Z5">_xlfn.BYROW(B49, _xlfn.LAMBDA(_xlpm.party,
   SUMIFS(ledger!J:J, ledger!B:B, _xlpm.party, ledger!E:E, "&lt;&gt;*RD*", ledger!D:D, "Black-Chamki", ledger!C:C, "&lt;&gt;December Closing CF")
))+ _xlfn.IFNA(K84, 0)</f>
        <v>0</v>
      </c>
      <c r="AA5" s="70" cm="1">
        <f t="array" ref="AA5">_xlfn.BYROW(B49, _xlfn.LAMBDA(_xlpm.party,
   SUMIFS(ledger!J:J, ledger!B:B, _xlpm.party, ledger!E:E, "&lt;&gt;*RD*", ledger!D:D, "Kataan", ledger!C:C, "&lt;&gt;December Closing CF")
))+ _xlfn.IFNA(L84, 0)</f>
        <v>126666.9714703731</v>
      </c>
      <c r="AB5" s="70" cm="1">
        <f t="array" ref="AB5">_xlfn.BYROW(B49, _xlfn.LAMBDA(_xlpm.party,
   SUMIFS(ledger!J:J, ledger!B:B, _xlpm.party, ledger!E:E, "&lt;&gt;*RD*", ledger!D:D, "Munaar", ledger!C:C, "&lt;&gt;December Closing CF")
))+ _xlfn.IFNA(M84, 0)</f>
        <v>0</v>
      </c>
      <c r="AC5" s="39">
        <f>V5+W5+X5+Y5+Z5+AA5+AB5</f>
        <v>35007560.19019752</v>
      </c>
      <c r="AD5" s="22">
        <f>(SUMIF(Table14[Party],Q5,Table14[Credit]))+_xlfn.IFNA(O84,0)</f>
        <v>19750734</v>
      </c>
      <c r="AE5" s="33">
        <f>AC5-AD5</f>
        <v>15256826.19019752</v>
      </c>
      <c r="AF5" s="21">
        <v>10</v>
      </c>
      <c r="AG5" s="21">
        <v>13</v>
      </c>
    </row>
    <row r="6" spans="2:33" x14ac:dyDescent="0.3">
      <c r="B6" t="str">
        <f t="shared" si="0"/>
        <v>Sufi Nawaz Sahab</v>
      </c>
      <c r="C6" s="18">
        <f>SUMIFS(ledger!G:G, ledger!B:B, B6, ledger!E:E, "&lt;&gt;*RD*") / 1.0936</f>
        <v>0</v>
      </c>
      <c r="D6">
        <v>10</v>
      </c>
      <c r="E6" s="14">
        <f>((SUMIFS(ledger!G:G, ledger!B:B, B6, ledger!E:E, "&lt;&gt;*RD*",ledger!D:D, "Silky") / 1.0936) *12) + ((SUMIFS(ledger!G:G, ledger!B:B, B6, ledger!E:E, "&lt;&gt;*RD*",ledger!D:D, "Chamki") / 1.0936)* 9)</f>
        <v>0</v>
      </c>
      <c r="I6" t="s">
        <v>24</v>
      </c>
      <c r="Q6" s="24" t="str">
        <v>Ejaz Sahab</v>
      </c>
      <c r="R6" s="22" cm="1">
        <f t="array" ref="R6">_xlfn.BYROW(B50,_xlfn.LAMBDA(_xlpm.party,SUMIFS(ledger!G:G,ledger!B:B,_xlpm.party,ledger!E:E,"&lt;&gt;*RD*")))+_xlfn.IFNA(C85,0)</f>
        <v>580479</v>
      </c>
      <c r="S6" s="22" cm="1">
        <f t="array" ref="S6">_xlfn.BYROW(B50, _xlfn.LAMBDA(_xlpm.party, SUMIFS(ledger!G:G, ledger!B:B, _xlpm.party, ledger!E:E, "&lt;&gt;*RD*") / 1.0936 ))+_xlfn.IFNA(D85,0)</f>
        <v>530796.45208485739</v>
      </c>
      <c r="T6" s="22" cm="1">
        <f t="array" ref="T6">(_xlfn.BYROW(B50,_xlfn.LAMBDA(_xlpm.party,SUMIFS(ledger!G:G,ledger!B:B,_xlpm.party,ledger!E:E,"&lt;&gt;*RD*",ledger!D:D,"Chamki")+SUMIFS(ledger!G:G, ledger!B:B, _xlpm.party, ledger!E:E, "&lt;&gt;*RD*", ledger!D:D, "Crinkle")))/1.0936)+_xlfn.IFNA(E85,0)</f>
        <v>148145.57425018289</v>
      </c>
      <c r="U6" s="70" cm="1">
        <f t="array" ref="U6">(_xlfn.BYROW(B50,_xlfn.LAMBDA(_xlpm.party,SUMIFS(ledger!G:G,ledger!B:B,_xlpm.party,ledger!E:E,"&lt;&gt;*RD*",ledger!D:D,"Silky")))/1.0936)+_xlfn.IFNA(F85,0)</f>
        <v>382650.87783467449</v>
      </c>
      <c r="V6" s="22" cm="1">
        <f t="array" ref="V6">(_xlfn.BYROW(B50,_xlfn.LAMBDA(_xlpm.party,
(SUMIFS(ledger!J:J,ledger!B:B,_xlpm.party,ledger!E:E,"&lt;&gt;*RD*",ledger!D:D,"Chamki",ledger!C:C,"&lt;&gt;December Closing CF")+
SUMIFS(ledger!J:J,ledger!B:B,_xlpm.party,ledger!E:E,"&lt;&gt;*RD*",ledger!D:D,"Crinkle",ledger!C:C,"&lt;&gt;December Closing CF")
)+_xlfn.IFNA(G85,0))))</f>
        <v>1481455.7425018288</v>
      </c>
      <c r="W6" s="70" cm="1">
        <f t="array" ref="W6">_xlfn.BYROW(B50, _xlfn.LAMBDA(_xlpm.party,
   SUMIFS(ledger!J:J, ledger!B:B, _xlpm.party, ledger!E:E, "&lt;&gt;*RD*", ledger!D:D, "Silky", ledger!C:C, "&lt;&gt;December Closing CF")
)) + _xlfn.IFNA(H85, 0)</f>
        <v>4915317.3006583769</v>
      </c>
      <c r="X6" s="70" cm="1">
        <f t="array" ref="X6">_xlfn.BYROW(B50, _xlfn.LAMBDA(_xlpm.party,
   SUMIFS(ledger!J:J, ledger!B:B, _xlpm.party, ledger!E:E, "&lt;&gt;*RD*", ledger!D:D, "Slub", ledger!C:C, "&lt;&gt;December Closing CF")
))+ _xlfn.IFNA(I85, 0)</f>
        <v>0</v>
      </c>
      <c r="Y6" s="70" cm="1">
        <f t="array" ref="Y6">_xlfn.BYROW(B50, _xlfn.LAMBDA(_xlpm.party,
   SUMIFS(ledger!J:J, ledger!B:B, _xlpm.party, ledger!E:E, "&lt;&gt;*RD*", ledger!D:D, "Satin", ledger!C:C, "&lt;&gt;December Closing CF")
))+ _xlfn.IFNA(J85, 0)</f>
        <v>0</v>
      </c>
      <c r="Z6" s="70" cm="1">
        <f t="array" ref="Z6">_xlfn.BYROW(B50, _xlfn.LAMBDA(_xlpm.party,
   SUMIFS(ledger!J:J, ledger!B:B, _xlpm.party, ledger!E:E, "&lt;&gt;*RD*", ledger!D:D, "Black-Chamki", ledger!C:C, "&lt;&gt;December Closing CF")
))+ _xlfn.IFNA(K85, 0)</f>
        <v>0</v>
      </c>
      <c r="AA6" s="70" cm="1">
        <f t="array" ref="AA6">_xlfn.BYROW(B50, _xlfn.LAMBDA(_xlpm.party,
   SUMIFS(ledger!J:J, ledger!B:B, _xlpm.party, ledger!E:E, "&lt;&gt;*RD*", ledger!D:D, "Kataan", ledger!C:C, "&lt;&gt;December Closing CF")
))+ _xlfn.IFNA(L85, 0)</f>
        <v>0</v>
      </c>
      <c r="AB6" s="70" cm="1">
        <f t="array" ref="AB6">_xlfn.BYROW(B50, _xlfn.LAMBDA(_xlpm.party,
   SUMIFS(ledger!J:J, ledger!B:B, _xlpm.party, ledger!E:E, "&lt;&gt;*RD*", ledger!D:D, "Munaar", ledger!C:C, "&lt;&gt;December Closing CF")
))+ _xlfn.IFNA(M85, 0)</f>
        <v>0</v>
      </c>
      <c r="AC6" s="39">
        <f t="shared" ref="AC6:AC35" si="1">V6+W6+X6+Y6+Z6+AA6+AB6</f>
        <v>6396773.0431602057</v>
      </c>
      <c r="AD6" s="22">
        <f>(SUMIF(Table14[Party],Q6,Table14[Credit]))+_xlfn.IFNA(O85,0)</f>
        <v>6067319</v>
      </c>
      <c r="AE6" s="33">
        <f t="shared" ref="AE6:AE34" si="2">AC6-AD6</f>
        <v>329454.04316020571</v>
      </c>
      <c r="AF6" s="21">
        <v>10</v>
      </c>
      <c r="AG6" s="21">
        <v>13</v>
      </c>
    </row>
    <row r="7" spans="2:33" x14ac:dyDescent="0.3">
      <c r="B7" t="str">
        <f t="shared" si="0"/>
        <v>Sajad Khan</v>
      </c>
      <c r="C7" s="18">
        <f>SUMIFS(ledger!G:G, ledger!B:B, B7, ledger!E:E, "&lt;&gt;*RD*") / 1.0936</f>
        <v>131296.63496708122</v>
      </c>
      <c r="D7">
        <v>10</v>
      </c>
      <c r="E7" s="14" cm="1">
        <f t="array" ref="E7">(SUMIFS(ledger!G:G, ledger!B:B, B7, ledger!E:E, "&lt;&gt;*RD*",ledger!D:D, "Silky") / 1.0936)*12 + (SUMIFS(ledger!G:G, ledger!B:B, B7, ledger!E:E, "&lt;&gt;*RD*",ledger!D:D, "Chamki") / 1.0936)*10 +(SUMIFS(ledger!G:G, ledger!B:B, party, ledger!E:E, "&lt;&gt;*RD*", ledger!D:D, "Crinkle")/ 1.0936)*10</f>
        <v>1044385.5157278713</v>
      </c>
      <c r="I7" t="s">
        <v>25</v>
      </c>
      <c r="Q7" s="24" t="str">
        <v>Arshad</v>
      </c>
      <c r="R7" s="22" cm="1">
        <f t="array" ref="R7">_xlfn.BYROW(B51,_xlfn.LAMBDA(_xlpm.party,SUMIFS(ledger!G:G,ledger!B:B,_xlpm.party,ledger!E:E,"&lt;&gt;*RD*")))+_xlfn.IFNA(C86,0)</f>
        <v>894593</v>
      </c>
      <c r="S7" s="22" cm="1">
        <f t="array" ref="S7">_xlfn.BYROW(B51, _xlfn.LAMBDA(_xlpm.party, SUMIFS(ledger!G:G, ledger!B:B, _xlpm.party, ledger!E:E, "&lt;&gt;*RD*") / 1.0936 ))+_xlfn.IFNA(D86,0)</f>
        <v>818025.78639356268</v>
      </c>
      <c r="T7" s="22" cm="1">
        <f t="array" ref="T7">(_xlfn.BYROW(B51,_xlfn.LAMBDA(_xlpm.party,SUMIFS(ledger!G:G,ledger!B:B,_xlpm.party,ledger!E:E,"&lt;&gt;*RD*",ledger!D:D,"Chamki")+SUMIFS(ledger!G:G, ledger!B:B, _xlpm.party, ledger!E:E, "&lt;&gt;*RD*", ledger!D:D, "Crinkle")))/1.0936)+_xlfn.IFNA(E86,0)</f>
        <v>671848.9392831017</v>
      </c>
      <c r="U7" s="70" cm="1">
        <f t="array" ref="U7">(_xlfn.BYROW(B51,_xlfn.LAMBDA(_xlpm.party,SUMIFS(ledger!G:G,ledger!B:B,_xlpm.party,ledger!E:E,"&lt;&gt;*RD*",ledger!D:D,"Silky")))/1.0936)+_xlfn.IFNA(F86,0)</f>
        <v>146176.84711046086</v>
      </c>
      <c r="V7" s="22" cm="1">
        <f t="array" ref="V7">(_xlfn.BYROW(B51,_xlfn.LAMBDA(_xlpm.party,
(SUMIFS(ledger!J:J,ledger!B:B,_xlpm.party,ledger!E:E,"&lt;&gt;*RD*",ledger!D:D,"Chamki",ledger!C:C,"&lt;&gt;December Closing CF")+
SUMIFS(ledger!J:J,ledger!B:B,_xlpm.party,ledger!E:E,"&lt;&gt;*RD*",ledger!D:D,"Crinkle",ledger!C:C,"&lt;&gt;December Closing CF")
)+_xlfn.IFNA(G86,0))))</f>
        <v>6718489.3928310173</v>
      </c>
      <c r="W7" s="70" cm="1">
        <f t="array" ref="W7">_xlfn.BYROW(B51, _xlfn.LAMBDA(_xlpm.party,
   SUMIFS(ledger!J:J, ledger!B:B, _xlpm.party, ledger!E:E, "&lt;&gt;*RD*", ledger!D:D, "Silky", ledger!C:C, "&lt;&gt;December Closing CF")
)) + _xlfn.IFNA(H86, 0)</f>
        <v>1885504.7549378201</v>
      </c>
      <c r="X7" s="70" cm="1">
        <f t="array" ref="X7">_xlfn.BYROW(B51, _xlfn.LAMBDA(_xlpm.party,
   SUMIFS(ledger!J:J, ledger!B:B, _xlpm.party, ledger!E:E, "&lt;&gt;*RD*", ledger!D:D, "Slub", ledger!C:C, "&lt;&gt;December Closing CF")
))+ _xlfn.IFNA(I86, 0)</f>
        <v>0</v>
      </c>
      <c r="Y7" s="70" cm="1">
        <f t="array" ref="Y7">_xlfn.BYROW(B51, _xlfn.LAMBDA(_xlpm.party,
   SUMIFS(ledger!J:J, ledger!B:B, _xlpm.party, ledger!E:E, "&lt;&gt;*RD*", ledger!D:D, "Satin", ledger!C:C, "&lt;&gt;December Closing CF")
))+ _xlfn.IFNA(J86, 0)</f>
        <v>0</v>
      </c>
      <c r="Z7" s="70" cm="1">
        <f t="array" ref="Z7">_xlfn.BYROW(B51, _xlfn.LAMBDA(_xlpm.party,
   SUMIFS(ledger!J:J, ledger!B:B, _xlpm.party, ledger!E:E, "&lt;&gt;*RD*", ledger!D:D, "Black-Chamki", ledger!C:C, "&lt;&gt;December Closing CF")
))+ _xlfn.IFNA(K86, 0)</f>
        <v>0</v>
      </c>
      <c r="AA7" s="70" cm="1">
        <f t="array" ref="AA7">_xlfn.BYROW(B51, _xlfn.LAMBDA(_xlpm.party,
   SUMIFS(ledger!J:J, ledger!B:B, _xlpm.party, ledger!E:E, "&lt;&gt;*RD*", ledger!D:D, "Kataan", ledger!C:C, "&lt;&gt;December Closing CF")
))+ _xlfn.IFNA(L86, 0)</f>
        <v>0</v>
      </c>
      <c r="AB7" s="70" cm="1">
        <f t="array" ref="AB7">_xlfn.BYROW(B51, _xlfn.LAMBDA(_xlpm.party,
   SUMIFS(ledger!J:J, ledger!B:B, _xlpm.party, ledger!E:E, "&lt;&gt;*RD*", ledger!D:D, "Munaar", ledger!C:C, "&lt;&gt;December Closing CF")
))+ _xlfn.IFNA(M86, 0)</f>
        <v>0</v>
      </c>
      <c r="AC7" s="39">
        <f t="shared" si="1"/>
        <v>8603994.1477688365</v>
      </c>
      <c r="AD7" s="22">
        <f>(SUMIF(Table14[Party],Q7,Table14[Credit]))+_xlfn.IFNA(O86,0)</f>
        <v>8492501</v>
      </c>
      <c r="AE7" s="33">
        <f t="shared" si="2"/>
        <v>111493.14776883647</v>
      </c>
      <c r="AF7" s="21">
        <v>10</v>
      </c>
      <c r="AG7" s="21">
        <v>13</v>
      </c>
    </row>
    <row r="8" spans="2:33" x14ac:dyDescent="0.3">
      <c r="B8" t="str">
        <f t="shared" si="0"/>
        <v>Raaz Fabrics</v>
      </c>
      <c r="C8" s="18">
        <f>SUMIFS(ledger!G:G, ledger!B:B, B8, ledger!E:E, "&lt;&gt;*RD*") / 1.0936</f>
        <v>0</v>
      </c>
      <c r="D8">
        <v>10</v>
      </c>
      <c r="E8" s="14">
        <f>(SUMIFS(ledger!G:G, ledger!B:B, B8, ledger!E:E, "&lt;&gt;*RD*",ledger!D:D, "Silky") / 1.0936)*12 + (SUMIFS(ledger!G:G, ledger!B:B, B8, ledger!E:E, "&lt;&gt;*RD*",ledger!D:D, "chamki") / 1.0936)*10 +(SUMIFS(ledger!G:G, ledger!B:B, B8, ledger!E:E, "&lt;&gt;*RD*",ledger!D:D, "Crinkle") / 1.0936)*10</f>
        <v>0</v>
      </c>
      <c r="I8" t="s">
        <v>26</v>
      </c>
      <c r="Q8" s="24" t="str">
        <v>Shehzad Kamoki</v>
      </c>
      <c r="R8" s="22" cm="1">
        <f t="array" ref="R8">_xlfn.BYROW(B52,_xlfn.LAMBDA(_xlpm.party,SUMIFS(ledger!G:G,ledger!B:B,_xlpm.party,ledger!E:E,"&lt;&gt;*RD*")))+_xlfn.IFNA(C87,0)</f>
        <v>143457</v>
      </c>
      <c r="S8" s="22" cm="1">
        <f t="array" ref="S8">_xlfn.BYROW(B52, _xlfn.LAMBDA(_xlpm.party, SUMIFS(ledger!G:G, ledger!B:B, _xlpm.party, ledger!E:E, "&lt;&gt;*RD*") / 1.0936 ))+_xlfn.IFNA(D87,0)</f>
        <v>131178.67593269935</v>
      </c>
      <c r="T8" s="22" cm="1">
        <f t="array" ref="T8">(_xlfn.BYROW(B52,_xlfn.LAMBDA(_xlpm.party,SUMIFS(ledger!G:G,ledger!B:B,_xlpm.party,ledger!E:E,"&lt;&gt;*RD*",ledger!D:D,"Chamki")+SUMIFS(ledger!G:G, ledger!B:B, _xlpm.party, ledger!E:E, "&lt;&gt;*RD*", ledger!D:D, "Crinkle")))/1.0936)+_xlfn.IFNA(E87,0)</f>
        <v>131178.67593269935</v>
      </c>
      <c r="U8" s="70" cm="1">
        <f t="array" ref="U8">(_xlfn.BYROW(B52,_xlfn.LAMBDA(_xlpm.party,SUMIFS(ledger!G:G,ledger!B:B,_xlpm.party,ledger!E:E,"&lt;&gt;*RD*",ledger!D:D,"Silky")))/1.0936)+_xlfn.IFNA(F87,0)</f>
        <v>0</v>
      </c>
      <c r="V8" s="22" cm="1">
        <f t="array" ref="V8">(_xlfn.BYROW(B52,_xlfn.LAMBDA(_xlpm.party,
(SUMIFS(ledger!J:J,ledger!B:B,_xlpm.party,ledger!E:E,"&lt;&gt;*RD*",ledger!D:D,"Chamki",ledger!C:C,"&lt;&gt;December Closing CF")+
SUMIFS(ledger!J:J,ledger!B:B,_xlpm.party,ledger!E:E,"&lt;&gt;*RD*",ledger!D:D,"Crinkle",ledger!C:C,"&lt;&gt;December Closing CF")
)+_xlfn.IFNA(G87,0))))</f>
        <v>1354241.9972933433</v>
      </c>
      <c r="W8" s="70" cm="1">
        <f t="array" ref="W8">_xlfn.BYROW(B52, _xlfn.LAMBDA(_xlpm.party,
   SUMIFS(ledger!J:J, ledger!B:B, _xlpm.party, ledger!E:E, "&lt;&gt;*RD*", ledger!D:D, "Silky", ledger!C:C, "&lt;&gt;December Closing CF")
)) + _xlfn.IFNA(H87, 0)</f>
        <v>0</v>
      </c>
      <c r="X8" s="70" cm="1">
        <f t="array" ref="X8">_xlfn.BYROW(B52, _xlfn.LAMBDA(_xlpm.party,
   SUMIFS(ledger!J:J, ledger!B:B, _xlpm.party, ledger!E:E, "&lt;&gt;*RD*", ledger!D:D, "Slub", ledger!C:C, "&lt;&gt;December Closing CF")
))+ _xlfn.IFNA(I87, 0)</f>
        <v>0</v>
      </c>
      <c r="Y8" s="70" cm="1">
        <f t="array" ref="Y8">_xlfn.BYROW(B52, _xlfn.LAMBDA(_xlpm.party,
   SUMIFS(ledger!J:J, ledger!B:B, _xlpm.party, ledger!E:E, "&lt;&gt;*RD*", ledger!D:D, "Satin", ledger!C:C, "&lt;&gt;December Closing CF")
))+ _xlfn.IFNA(J87, 0)</f>
        <v>0</v>
      </c>
      <c r="Z8" s="70" cm="1">
        <f t="array" ref="Z8">_xlfn.BYROW(B52, _xlfn.LAMBDA(_xlpm.party,
   SUMIFS(ledger!J:J, ledger!B:B, _xlpm.party, ledger!E:E, "&lt;&gt;*RD*", ledger!D:D, "Black-Chamki", ledger!C:C, "&lt;&gt;December Closing CF")
))+ _xlfn.IFNA(K87, 0)</f>
        <v>0</v>
      </c>
      <c r="AA8" s="70" cm="1">
        <f t="array" ref="AA8">_xlfn.BYROW(B52, _xlfn.LAMBDA(_xlpm.party,
   SUMIFS(ledger!J:J, ledger!B:B, _xlpm.party, ledger!E:E, "&lt;&gt;*RD*", ledger!D:D, "Kataan", ledger!C:C, "&lt;&gt;December Closing CF")
))+ _xlfn.IFNA(L87, 0)</f>
        <v>0</v>
      </c>
      <c r="AB8" s="70" cm="1">
        <f t="array" ref="AB8">_xlfn.BYROW(B52, _xlfn.LAMBDA(_xlpm.party,
   SUMIFS(ledger!J:J, ledger!B:B, _xlpm.party, ledger!E:E, "&lt;&gt;*RD*", ledger!D:D, "Munaar", ledger!C:C, "&lt;&gt;December Closing CF")
))+ _xlfn.IFNA(M87, 0)</f>
        <v>0</v>
      </c>
      <c r="AC8" s="39">
        <f t="shared" si="1"/>
        <v>1354241.9972933433</v>
      </c>
      <c r="AD8" s="22">
        <f>(SUMIF(Table14[Party],Q8,Table14[Credit]))+_xlfn.IFNA(O87,0)</f>
        <v>1353710</v>
      </c>
      <c r="AE8" s="33">
        <f t="shared" si="2"/>
        <v>531.99729334330186</v>
      </c>
      <c r="AF8" s="21">
        <v>10.5</v>
      </c>
      <c r="AG8" s="21">
        <v>13</v>
      </c>
    </row>
    <row r="9" spans="2:33" x14ac:dyDescent="0.3">
      <c r="B9" t="str">
        <f t="shared" si="0"/>
        <v>Azam</v>
      </c>
      <c r="C9" s="18">
        <f>SUMIFS(ledger!G:G, ledger!B:B, B9, ledger!E:E, "&lt;&gt;*RD*") / 1.0936</f>
        <v>188184.89392831019</v>
      </c>
      <c r="D9">
        <v>10</v>
      </c>
      <c r="E9" s="14">
        <f>(SUMIFS(ledger!G:G, ledger!B:B, B9, ledger!E:E, "&lt;&gt;*RD*",ledger!D:D, "Silky") / 1.0936)*12 + (SUMIFS(ledger!G:G, ledger!B:B, B9, ledger!E:E, "&lt;&gt;*RD*",ledger!D:D, "Chamki") / 1.0936)*10</f>
        <v>2056600.219458669</v>
      </c>
      <c r="I9" t="s">
        <v>152</v>
      </c>
      <c r="Q9" s="24" t="str">
        <v>Sufi Nawaz Sahab</v>
      </c>
      <c r="R9" s="22" cm="1">
        <f t="array" ref="R9">_xlfn.BYROW(B53,_xlfn.LAMBDA(_xlpm.party,SUMIFS(ledger!G:G,ledger!B:B,_xlpm.party,ledger!E:E,"&lt;&gt;*RD*")))+_xlfn.IFNA(C88,0)</f>
        <v>1212967</v>
      </c>
      <c r="S9" s="22" cm="1">
        <f t="array" ref="S9">_xlfn.BYROW(B53, _xlfn.LAMBDA(_xlpm.party, SUMIFS(ledger!G:G, ledger!B:B, _xlpm.party, ledger!E:E, "&lt;&gt;*RD*") / 1.0936 ))+_xlfn.IFNA(D88,0)</f>
        <v>1109150.5120702267</v>
      </c>
      <c r="T9" s="22" cm="1">
        <f t="array" ref="T9">(_xlfn.BYROW(B53,_xlfn.LAMBDA(_xlpm.party,SUMIFS(ledger!G:G,ledger!B:B,_xlpm.party,ledger!E:E,"&lt;&gt;*RD*",ledger!D:D,"Chamki")+SUMIFS(ledger!G:G, ledger!B:B, _xlpm.party, ledger!E:E, "&lt;&gt;*RD*", ledger!D:D, "Crinkle")))/1.0936)+_xlfn.IFNA(E88,0)</f>
        <v>599330.65106071695</v>
      </c>
      <c r="U9" s="70" cm="1">
        <f t="array" ref="U9">(_xlfn.BYROW(B53,_xlfn.LAMBDA(_xlpm.party,SUMIFS(ledger!G:G,ledger!B:B,_xlpm.party,ledger!E:E,"&lt;&gt;*RD*",ledger!D:D,"Silky")))/1.0936)+_xlfn.IFNA(F88,0)</f>
        <v>485823.88441843458</v>
      </c>
      <c r="V9" s="22" cm="1">
        <f t="array" ref="V9">(_xlfn.BYROW(B53,_xlfn.LAMBDA(_xlpm.party,
(SUMIFS(ledger!J:J,ledger!B:B,_xlpm.party,ledger!E:E,"&lt;&gt;*RD*",ledger!D:D,"Chamki",ledger!C:C,"&lt;&gt;December Closing CF")+
SUMIFS(ledger!J:J,ledger!B:B,_xlpm.party,ledger!E:E,"&lt;&gt;*RD*",ledger!D:D,"Crinkle",ledger!C:C,"&lt;&gt;December Closing CF")
)+_xlfn.IFNA(G88,0))))</f>
        <v>5408917.8595464528</v>
      </c>
      <c r="W9" s="70" cm="1">
        <f t="array" ref="W9">_xlfn.BYROW(B53, _xlfn.LAMBDA(_xlpm.party,
   SUMIFS(ledger!J:J, ledger!B:B, _xlpm.party, ledger!E:E, "&lt;&gt;*RD*", ledger!D:D, "Silky", ledger!C:C, "&lt;&gt;December Closing CF")
)) + _xlfn.IFNA(H88, 0)</f>
        <v>5829886.6130212145</v>
      </c>
      <c r="X9" s="70" cm="1">
        <f t="array" ref="X9">_xlfn.BYROW(B53, _xlfn.LAMBDA(_xlpm.party,
   SUMIFS(ledger!J:J, ledger!B:B, _xlpm.party, ledger!E:E, "&lt;&gt;*RD*", ledger!D:D, "Slub", ledger!C:C, "&lt;&gt;December Closing CF")
))+ _xlfn.IFNA(I88, 0)</f>
        <v>0</v>
      </c>
      <c r="Y9" s="70" cm="1">
        <f t="array" ref="Y9">_xlfn.BYROW(B53, _xlfn.LAMBDA(_xlpm.party,
   SUMIFS(ledger!J:J, ledger!B:B, _xlpm.party, ledger!E:E, "&lt;&gt;*RD*", ledger!D:D, "Satin", ledger!C:C, "&lt;&gt;December Closing CF")
))+ _xlfn.IFNA(J88, 0)</f>
        <v>239959.76591075349</v>
      </c>
      <c r="Z9" s="70" cm="1">
        <f t="array" ref="Z9">_xlfn.BYROW(B53, _xlfn.LAMBDA(_xlpm.party,
   SUMIFS(ledger!J:J, ledger!B:B, _xlpm.party, ledger!E:E, "&lt;&gt;*RD*", ledger!D:D, "Black-Chamki", ledger!C:C, "&lt;&gt;December Closing CF")
))+ _xlfn.IFNA(K88, 0)</f>
        <v>0</v>
      </c>
      <c r="AA9" s="70" cm="1">
        <f t="array" ref="AA9">_xlfn.BYROW(B53, _xlfn.LAMBDA(_xlpm.party,
   SUMIFS(ledger!J:J, ledger!B:B, _xlpm.party, ledger!E:E, "&lt;&gt;*RD*", ledger!D:D, "Kataan", ledger!C:C, "&lt;&gt;December Closing CF")
))+ _xlfn.IFNA(L88, 0)</f>
        <v>0</v>
      </c>
      <c r="AB9" s="70" cm="1">
        <f t="array" ref="AB9">_xlfn.BYROW(B53, _xlfn.LAMBDA(_xlpm.party,
   SUMIFS(ledger!J:J, ledger!B:B, _xlpm.party, ledger!E:E, "&lt;&gt;*RD*", ledger!D:D, "Munaar", ledger!C:C, "&lt;&gt;December Closing CF")
))+ _xlfn.IFNA(M88, 0)</f>
        <v>0</v>
      </c>
      <c r="AC9" s="39">
        <f t="shared" si="1"/>
        <v>11478764.23847842</v>
      </c>
      <c r="AD9" s="22">
        <f>(SUMIF(Table14[Party],Q9,Table14[Credit]))+_xlfn.IFNA(O88,0)</f>
        <v>11478764</v>
      </c>
      <c r="AE9" s="33">
        <f t="shared" si="2"/>
        <v>0.23847842030227184</v>
      </c>
      <c r="AF9" s="21">
        <v>10</v>
      </c>
      <c r="AG9" s="21">
        <v>13</v>
      </c>
    </row>
    <row r="10" spans="2:33" x14ac:dyDescent="0.3">
      <c r="B10" t="str">
        <f t="shared" si="0"/>
        <v>Ubaidullah</v>
      </c>
      <c r="C10" s="18">
        <f>SUMIFS(ledger!G:G, ledger!B:B, B10, ledger!E:E, "&lt;&gt;*RD*") / 1.0936</f>
        <v>43055.961960497443</v>
      </c>
      <c r="D10">
        <v>10</v>
      </c>
      <c r="E10" s="14">
        <f>(SUMIFS(ledger!G:G, ledger!B:B, B10, ledger!E:E, "&lt;&gt;*RD*",ledger!D:D, "Silky") / 1.0936)*12 + (SUMIFS(ledger!G:G, ledger!B:B, B10, ledger!E:E, "&lt;&gt;*RD*",ledger!D:D, "Chamki") / 1.0936)*10</f>
        <v>516671.54352596932</v>
      </c>
      <c r="I10" t="s">
        <v>35</v>
      </c>
      <c r="Q10" s="24" t="str">
        <v>Sajad Khan</v>
      </c>
      <c r="R10" s="22" cm="1">
        <f t="array" ref="R10">_xlfn.BYROW(B54,_xlfn.LAMBDA(_xlpm.party,SUMIFS(ledger!G:G,ledger!B:B,_xlpm.party,ledger!E:E,"&lt;&gt;*RD*")))+_xlfn.IFNA(C89,0)</f>
        <v>1065869</v>
      </c>
      <c r="S10" s="22" cm="1">
        <f t="array" ref="S10">_xlfn.BYROW(B54, _xlfn.LAMBDA(_xlpm.party, SUMIFS(ledger!G:G, ledger!B:B, _xlpm.party, ledger!E:E, "&lt;&gt;*RD*") / 1.0936 ))+_xlfn.IFNA(D89,0)</f>
        <v>974642.46525237767</v>
      </c>
      <c r="T10" s="22" cm="1">
        <f t="array" ref="T10">(_xlfn.BYROW(B54,_xlfn.LAMBDA(_xlpm.party,SUMIFS(ledger!G:G,ledger!B:B,_xlpm.party,ledger!E:E,"&lt;&gt;*RD*",ledger!D:D,"Chamki")+SUMIFS(ledger!G:G, ledger!B:B, _xlpm.party, ledger!E:E, "&lt;&gt;*RD*", ledger!D:D, "Crinkle")))/1.0936)+_xlfn.IFNA(E89,0)</f>
        <v>942295.17190929048</v>
      </c>
      <c r="U10" s="70" cm="1">
        <f t="array" ref="U10">(_xlfn.BYROW(B54,_xlfn.LAMBDA(_xlpm.party,SUMIFS(ledger!G:G,ledger!B:B,_xlpm.party,ledger!E:E,"&lt;&gt;*RD*",ledger!D:D,"Silky")))/1.0936)+_xlfn.IFNA(F89,0)</f>
        <v>0</v>
      </c>
      <c r="V10" s="22" cm="1">
        <f t="array" ref="V10">(_xlfn.BYROW(B54,_xlfn.LAMBDA(_xlpm.party,
(SUMIFS(ledger!J:J,ledger!B:B,_xlpm.party,ledger!E:E,"&lt;&gt;*RD*",ledger!D:D,"Chamki",ledger!C:C,"&lt;&gt;December Closing CF")+
SUMIFS(ledger!J:J,ledger!B:B,_xlpm.party,ledger!E:E,"&lt;&gt;*RD*",ledger!D:D,"Crinkle",ledger!C:C,"&lt;&gt;December Closing CF")
)+_xlfn.IFNA(G89,0))))</f>
        <v>9422951.7190929055</v>
      </c>
      <c r="W10" s="70" cm="1">
        <f t="array" ref="W10">_xlfn.BYROW(B54, _xlfn.LAMBDA(_xlpm.party,
   SUMIFS(ledger!J:J, ledger!B:B, _xlpm.party, ledger!E:E, "&lt;&gt;*RD*", ledger!D:D, "Silky", ledger!C:C, "&lt;&gt;December Closing CF")
)) + _xlfn.IFNA(H89, 0)</f>
        <v>0</v>
      </c>
      <c r="X10" s="70" cm="1">
        <f t="array" ref="X10">_xlfn.BYROW(B54, _xlfn.LAMBDA(_xlpm.party,
   SUMIFS(ledger!J:J, ledger!B:B, _xlpm.party, ledger!E:E, "&lt;&gt;*RD*", ledger!D:D, "Slub", ledger!C:C, "&lt;&gt;December Closing CF")
))+ _xlfn.IFNA(I89, 0)</f>
        <v>71359.729334308722</v>
      </c>
      <c r="Y10" s="70" cm="1">
        <f t="array" ref="Y10">_xlfn.BYROW(B54, _xlfn.LAMBDA(_xlpm.party,
   SUMIFS(ledger!J:J, ledger!B:B, _xlpm.party, ledger!E:E, "&lt;&gt;*RD*", ledger!D:D, "Satin", ledger!C:C, "&lt;&gt;December Closing CF")
))+ _xlfn.IFNA(J89, 0)</f>
        <v>0</v>
      </c>
      <c r="Z10" s="70" cm="1">
        <f t="array" ref="Z10">_xlfn.BYROW(B54, _xlfn.LAMBDA(_xlpm.party,
   SUMIFS(ledger!J:J, ledger!B:B, _xlpm.party, ledger!E:E, "&lt;&gt;*RD*", ledger!D:D, "Black-Chamki", ledger!C:C, "&lt;&gt;December Closing CF")
))+ _xlfn.IFNA(K89, 0)</f>
        <v>322297.00073152891</v>
      </c>
      <c r="AA10" s="70" cm="1">
        <f t="array" ref="AA10">_xlfn.BYROW(B54, _xlfn.LAMBDA(_xlpm.party,
   SUMIFS(ledger!J:J, ledger!B:B, _xlpm.party, ledger!E:E, "&lt;&gt;*RD*", ledger!D:D, "Kataan", ledger!C:C, "&lt;&gt;December Closing CF")
))+ _xlfn.IFNA(L89, 0)</f>
        <v>0</v>
      </c>
      <c r="AB10" s="70" cm="1">
        <f t="array" ref="AB10">_xlfn.BYROW(B54, _xlfn.LAMBDA(_xlpm.party,
   SUMIFS(ledger!J:J, ledger!B:B, _xlpm.party, ledger!E:E, "&lt;&gt;*RD*", ledger!D:D, "Munaar", ledger!C:C, "&lt;&gt;December Closing CF")
))+ _xlfn.IFNA(M89, 0)</f>
        <v>0</v>
      </c>
      <c r="AC10" s="39">
        <f t="shared" si="1"/>
        <v>9816608.449158743</v>
      </c>
      <c r="AD10" s="22">
        <f>(SUMIF(Table14[Party],Q10,Table14[Credit]))+_xlfn.IFNA(O89,0)</f>
        <v>9609871</v>
      </c>
      <c r="AE10" s="33">
        <f t="shared" si="2"/>
        <v>206737.44915874302</v>
      </c>
      <c r="AF10" s="21">
        <v>10</v>
      </c>
      <c r="AG10" s="21">
        <v>13</v>
      </c>
    </row>
    <row r="11" spans="2:33" x14ac:dyDescent="0.3">
      <c r="B11" t="str">
        <f t="shared" si="0"/>
        <v>Ashraf Zia</v>
      </c>
      <c r="C11" s="18">
        <f>SUMIFS(ledger!G:G, ledger!B:B, B11, ledger!E:E, "&lt;&gt;*RD*") / 1.0936</f>
        <v>0</v>
      </c>
      <c r="D11">
        <v>12</v>
      </c>
      <c r="E11" s="14">
        <f>(SUMIFS(ledger!G:G, ledger!B:B, B11, ledger!E:E, "&lt;&gt;*RD*",ledger!D:D, "Silky") / 1.0936)*12 + (SUMIFS(ledger!G:G, ledger!B:B, B11, ledger!E:E, "&lt;&gt;*RD*",ledger!D:D, "Chamki") / 1.0936)*10</f>
        <v>0</v>
      </c>
      <c r="I11" t="s">
        <v>148</v>
      </c>
      <c r="Q11" s="24" t="str">
        <v>Raaz Fabrics</v>
      </c>
      <c r="R11" s="22" cm="1">
        <f t="array" ref="R11">_xlfn.BYROW(B55,_xlfn.LAMBDA(_xlpm.party,SUMIFS(ledger!G:G,ledger!B:B,_xlpm.party,ledger!E:E,"&lt;&gt;*RD*")))+_xlfn.IFNA(C90,0)</f>
        <v>177861</v>
      </c>
      <c r="S11" s="22" cm="1">
        <f t="array" ref="S11">_xlfn.BYROW(B55, _xlfn.LAMBDA(_xlpm.party, SUMIFS(ledger!G:G, ledger!B:B, _xlpm.party, ledger!E:E, "&lt;&gt;*RD*") / 1.0936 ))+_xlfn.IFNA(D90,0)</f>
        <v>162638.07607900514</v>
      </c>
      <c r="T11" s="22" cm="1">
        <f t="array" ref="T11">(_xlfn.BYROW(B55,_xlfn.LAMBDA(_xlpm.party,SUMIFS(ledger!G:G,ledger!B:B,_xlpm.party,ledger!E:E,"&lt;&gt;*RD*",ledger!D:D,"Chamki")+SUMIFS(ledger!G:G, ledger!B:B, _xlpm.party, ledger!E:E, "&lt;&gt;*RD*", ledger!D:D, "Crinkle")))/1.0936)+_xlfn.IFNA(E90,0)</f>
        <v>162638.07607900514</v>
      </c>
      <c r="U11" s="70" cm="1">
        <f t="array" ref="U11">(_xlfn.BYROW(B55,_xlfn.LAMBDA(_xlpm.party,SUMIFS(ledger!G:G,ledger!B:B,_xlpm.party,ledger!E:E,"&lt;&gt;*RD*",ledger!D:D,"Silky")))/1.0936)+_xlfn.IFNA(F90,0)</f>
        <v>0</v>
      </c>
      <c r="V11" s="22" cm="1">
        <f t="array" ref="V11">(_xlfn.BYROW(B55,_xlfn.LAMBDA(_xlpm.party,
(SUMIFS(ledger!J:J,ledger!B:B,_xlpm.party,ledger!E:E,"&lt;&gt;*RD*",ledger!D:D,"Chamki",ledger!C:C,"&lt;&gt;December Closing CF")+
SUMIFS(ledger!J:J,ledger!B:B,_xlpm.party,ledger!E:E,"&lt;&gt;*RD*",ledger!D:D,"Crinkle",ledger!C:C,"&lt;&gt;December Closing CF")
)+_xlfn.IFNA(G90,0))))</f>
        <v>1626380.7607900514</v>
      </c>
      <c r="W11" s="70" cm="1">
        <f t="array" ref="W11">_xlfn.BYROW(B55, _xlfn.LAMBDA(_xlpm.party,
   SUMIFS(ledger!J:J, ledger!B:B, _xlpm.party, ledger!E:E, "&lt;&gt;*RD*", ledger!D:D, "Silky", ledger!C:C, "&lt;&gt;December Closing CF")
)) + _xlfn.IFNA(H90, 0)</f>
        <v>0</v>
      </c>
      <c r="X11" s="70" cm="1">
        <f t="array" ref="X11">_xlfn.BYROW(B55, _xlfn.LAMBDA(_xlpm.party,
   SUMIFS(ledger!J:J, ledger!B:B, _xlpm.party, ledger!E:E, "&lt;&gt;*RD*", ledger!D:D, "Slub", ledger!C:C, "&lt;&gt;December Closing CF")
))+ _xlfn.IFNA(I90, 0)</f>
        <v>0</v>
      </c>
      <c r="Y11" s="70" cm="1">
        <f t="array" ref="Y11">_xlfn.BYROW(B55, _xlfn.LAMBDA(_xlpm.party,
   SUMIFS(ledger!J:J, ledger!B:B, _xlpm.party, ledger!E:E, "&lt;&gt;*RD*", ledger!D:D, "Satin", ledger!C:C, "&lt;&gt;December Closing CF")
))+ _xlfn.IFNA(J90, 0)</f>
        <v>0</v>
      </c>
      <c r="Z11" s="70" cm="1">
        <f t="array" ref="Z11">_xlfn.BYROW(B55, _xlfn.LAMBDA(_xlpm.party,
   SUMIFS(ledger!J:J, ledger!B:B, _xlpm.party, ledger!E:E, "&lt;&gt;*RD*", ledger!D:D, "Black-Chamki", ledger!C:C, "&lt;&gt;December Closing CF")
))+ _xlfn.IFNA(K90, 0)</f>
        <v>0</v>
      </c>
      <c r="AA11" s="70" cm="1">
        <f t="array" ref="AA11">_xlfn.BYROW(B55, _xlfn.LAMBDA(_xlpm.party,
   SUMIFS(ledger!J:J, ledger!B:B, _xlpm.party, ledger!E:E, "&lt;&gt;*RD*", ledger!D:D, "Kataan", ledger!C:C, "&lt;&gt;December Closing CF")
))+ _xlfn.IFNA(L90, 0)</f>
        <v>0</v>
      </c>
      <c r="AB11" s="70" cm="1">
        <f t="array" ref="AB11">_xlfn.BYROW(B55, _xlfn.LAMBDA(_xlpm.party,
   SUMIFS(ledger!J:J, ledger!B:B, _xlpm.party, ledger!E:E, "&lt;&gt;*RD*", ledger!D:D, "Munaar", ledger!C:C, "&lt;&gt;December Closing CF")
))+ _xlfn.IFNA(M90, 0)</f>
        <v>0</v>
      </c>
      <c r="AC11" s="39">
        <f t="shared" si="1"/>
        <v>1626380.7607900514</v>
      </c>
      <c r="AD11" s="22">
        <f>(SUMIF(Table14[Party],Q11,Table14[Credit]))+_xlfn.IFNA(O90,0)</f>
        <v>1526321</v>
      </c>
      <c r="AE11" s="33">
        <f t="shared" si="2"/>
        <v>100059.76079005143</v>
      </c>
      <c r="AF11" s="21">
        <v>10</v>
      </c>
      <c r="AG11" s="21">
        <v>13</v>
      </c>
    </row>
    <row r="12" spans="2:33" x14ac:dyDescent="0.3">
      <c r="B12" t="str">
        <f t="shared" si="0"/>
        <v>Hafiz Qureshi</v>
      </c>
      <c r="C12" s="18">
        <f>SUMIFS(ledger!G:G, ledger!B:B, B12, ledger!E:E, "&lt;&gt;*RD*") / 1.0936</f>
        <v>127745.97659107536</v>
      </c>
      <c r="E12" s="14">
        <f>(SUMIFS(ledger!G:G, ledger!B:B, B12, ledger!E:E, "&lt;&gt;*RD*",ledger!D:D, "Silky") / 1.0936)*12 + (SUMIFS(ledger!G:G, ledger!B:B, B12, ledger!E:E, "&lt;&gt;*RD*",ledger!D:D, "Chamki") / 1.0936)*10</f>
        <v>1277459.7659107535</v>
      </c>
      <c r="I12" t="s">
        <v>27</v>
      </c>
      <c r="O12" s="28"/>
      <c r="P12" s="28"/>
      <c r="Q12" s="24" t="str">
        <v>Azam</v>
      </c>
      <c r="R12" s="22" cm="1">
        <f t="array" ref="R12">_xlfn.BYROW(B56,_xlfn.LAMBDA(_xlpm.party,SUMIFS(ledger!G:G,ledger!B:B,_xlpm.party,ledger!E:E,"&lt;&gt;*RD*")))+_xlfn.IFNA(C91,0)</f>
        <v>749236</v>
      </c>
      <c r="S12" s="22" cm="1">
        <f t="array" ref="S12">_xlfn.BYROW(B56, _xlfn.LAMBDA(_xlpm.party, SUMIFS(ledger!G:G, ledger!B:B, _xlpm.party, ledger!E:E, "&lt;&gt;*RD*") / 1.0936 ))+_xlfn.IFNA(D91,0)</f>
        <v>685109.72933430877</v>
      </c>
      <c r="T12" s="22" cm="1">
        <f t="array" ref="T12">(_xlfn.BYROW(B56,_xlfn.LAMBDA(_xlpm.party,SUMIFS(ledger!G:G,ledger!B:B,_xlpm.party,ledger!E:E,"&lt;&gt;*RD*",ledger!D:D,"Chamki")+SUMIFS(ledger!G:G, ledger!B:B, _xlpm.party, ledger!E:E, "&lt;&gt;*RD*", ledger!D:D, "Crinkle")))/1.0936)+_xlfn.IFNA(E91,0)</f>
        <v>501118.32479882962</v>
      </c>
      <c r="U12" s="70" cm="1">
        <f t="array" ref="U12">(_xlfn.BYROW(B56,_xlfn.LAMBDA(_xlpm.party,SUMIFS(ledger!G:G,ledger!B:B,_xlpm.party,ledger!E:E,"&lt;&gt;*RD*",ledger!D:D,"Silky")))/1.0936)+_xlfn.IFNA(F91,0)</f>
        <v>183991.40453547917</v>
      </c>
      <c r="V12" s="22" cm="1">
        <f t="array" ref="V12">(_xlfn.BYROW(B56,_xlfn.LAMBDA(_xlpm.party,
(SUMIFS(ledger!J:J,ledger!B:B,_xlpm.party,ledger!E:E,"&lt;&gt;*RD*",ledger!D:D,"Chamki",ledger!C:C,"&lt;&gt;December Closing CF")+
SUMIFS(ledger!J:J,ledger!B:B,_xlpm.party,ledger!E:E,"&lt;&gt;*RD*",ledger!D:D,"Crinkle",ledger!C:C,"&lt;&gt;December Closing CF")
)+_xlfn.IFNA(G91,0))))</f>
        <v>5011183.2479882967</v>
      </c>
      <c r="W12" s="70" cm="1">
        <f t="array" ref="W12">_xlfn.BYROW(B56, _xlfn.LAMBDA(_xlpm.party,
   SUMIFS(ledger!J:J, ledger!B:B, _xlpm.party, ledger!E:E, "&lt;&gt;*RD*", ledger!D:D, "Silky", ledger!C:C, "&lt;&gt;December Closing CF")
)) + _xlfn.IFNA(H91, 0)</f>
        <v>2391888.2589612291</v>
      </c>
      <c r="X12" s="70" cm="1">
        <f t="array" ref="X12">_xlfn.BYROW(B56, _xlfn.LAMBDA(_xlpm.party,
   SUMIFS(ledger!J:J, ledger!B:B, _xlpm.party, ledger!E:E, "&lt;&gt;*RD*", ledger!D:D, "Slub", ledger!C:C, "&lt;&gt;December Closing CF")
))+ _xlfn.IFNA(I91, 0)</f>
        <v>0</v>
      </c>
      <c r="Y12" s="70" cm="1">
        <f t="array" ref="Y12">_xlfn.BYROW(B56, _xlfn.LAMBDA(_xlpm.party,
   SUMIFS(ledger!J:J, ledger!B:B, _xlpm.party, ledger!E:E, "&lt;&gt;*RD*", ledger!D:D, "Satin", ledger!C:C, "&lt;&gt;December Closing CF")
))+ _xlfn.IFNA(J91, 0)</f>
        <v>0</v>
      </c>
      <c r="Z12" s="70" cm="1">
        <f t="array" ref="Z12">_xlfn.BYROW(B56, _xlfn.LAMBDA(_xlpm.party,
   SUMIFS(ledger!J:J, ledger!B:B, _xlpm.party, ledger!E:E, "&lt;&gt;*RD*", ledger!D:D, "Black-Chamki", ledger!C:C, "&lt;&gt;December Closing CF")
))+ _xlfn.IFNA(K91, 0)</f>
        <v>0</v>
      </c>
      <c r="AA12" s="70" cm="1">
        <f t="array" ref="AA12">_xlfn.BYROW(B56, _xlfn.LAMBDA(_xlpm.party,
   SUMIFS(ledger!J:J, ledger!B:B, _xlpm.party, ledger!E:E, "&lt;&gt;*RD*", ledger!D:D, "Kataan", ledger!C:C, "&lt;&gt;December Closing CF")
))+ _xlfn.IFNA(L91, 0)</f>
        <v>0</v>
      </c>
      <c r="AB12" s="70" cm="1">
        <f t="array" ref="AB12">_xlfn.BYROW(B56, _xlfn.LAMBDA(_xlpm.party,
   SUMIFS(ledger!J:J, ledger!B:B, _xlpm.party, ledger!E:E, "&lt;&gt;*RD*", ledger!D:D, "Munaar", ledger!C:C, "&lt;&gt;December Closing CF")
))+ _xlfn.IFNA(M91, 0)</f>
        <v>0</v>
      </c>
      <c r="AC12" s="39">
        <f t="shared" si="1"/>
        <v>7403071.5069495253</v>
      </c>
      <c r="AD12" s="22">
        <f>(SUMIF(Table14[Party],Q12,Table14[Credit]))+_xlfn.IFNA(O91,0)</f>
        <v>7402540</v>
      </c>
      <c r="AE12" s="33">
        <f t="shared" si="2"/>
        <v>531.50694952532649</v>
      </c>
      <c r="AF12" s="21">
        <v>10</v>
      </c>
      <c r="AG12" s="21">
        <v>13</v>
      </c>
    </row>
    <row r="13" spans="2:33" x14ac:dyDescent="0.3">
      <c r="B13" t="str">
        <f t="shared" si="0"/>
        <v>Badshah Fabrics</v>
      </c>
      <c r="C13" s="18">
        <f>SUMIFS(ledger!G:G, ledger!B:B, B13, ledger!E:E, "&lt;&gt;*RD*") / 1.0936</f>
        <v>0</v>
      </c>
      <c r="E13" s="14">
        <f>(SUMIFS(ledger!G:G, ledger!B:B, B13, ledger!E:E, "&lt;&gt;*RD*",ledger!D:D, "Silky") / 1.0936)*12 + (SUMIFS(ledger!G:G, ledger!B:B, B13, ledger!E:E, "&lt;&gt;*RD*",ledger!D:D, "Chamki") / 1.0936)*10</f>
        <v>0</v>
      </c>
      <c r="I13" t="s">
        <v>166</v>
      </c>
      <c r="Q13" s="24" t="str">
        <v>Ubaidullah</v>
      </c>
      <c r="R13" s="22" cm="1">
        <f t="array" ref="R13">_xlfn.BYROW(B57,_xlfn.LAMBDA(_xlpm.party,SUMIFS(ledger!G:G,ledger!B:B,_xlpm.party,ledger!E:E,"&lt;&gt;*RD*")))+_xlfn.IFNA(C92,0)</f>
        <v>173534</v>
      </c>
      <c r="S13" s="22" cm="1">
        <f t="array" ref="S13">_xlfn.BYROW(B57, _xlfn.LAMBDA(_xlpm.party, SUMIFS(ledger!G:G, ledger!B:B, _xlpm.party, ledger!E:E, "&lt;&gt;*RD*") / 1.0936 ))+_xlfn.IFNA(D92,0)</f>
        <v>158681.41916605708</v>
      </c>
      <c r="T13" s="22" cm="1">
        <f t="array" ref="T13">(_xlfn.BYROW(B57,_xlfn.LAMBDA(_xlpm.party,SUMIFS(ledger!G:G,ledger!B:B,_xlpm.party,ledger!E:E,"&lt;&gt;*RD*",ledger!D:D,"Chamki")+SUMIFS(ledger!G:G, ledger!B:B, _xlpm.party, ledger!E:E, "&lt;&gt;*RD*", ledger!D:D, "Crinkle")))/1.0936)+_xlfn.IFNA(E92,0)</f>
        <v>46132.955376737387</v>
      </c>
      <c r="U13" s="70" cm="1">
        <f t="array" ref="U13">(_xlfn.BYROW(B57,_xlfn.LAMBDA(_xlpm.party,SUMIFS(ledger!G:G,ledger!B:B,_xlpm.party,ledger!E:E,"&lt;&gt;*RD*",ledger!D:D,"Silky")))/1.0936)+_xlfn.IFNA(F92,0)</f>
        <v>112548.46378931969</v>
      </c>
      <c r="V13" s="22" cm="1">
        <f t="array" ref="V13">(_xlfn.BYROW(B57,_xlfn.LAMBDA(_xlpm.party,
(SUMIFS(ledger!J:J,ledger!B:B,_xlpm.party,ledger!E:E,"&lt;&gt;*RD*",ledger!D:D,"Chamki",ledger!C:C,"&lt;&gt;December Closing CF")+
SUMIFS(ledger!J:J,ledger!B:B,_xlpm.party,ledger!E:E,"&lt;&gt;*RD*",ledger!D:D,"Crinkle",ledger!C:C,"&lt;&gt;December Closing CF")
)+_xlfn.IFNA(G92,0))))</f>
        <v>461329.5537673739</v>
      </c>
      <c r="W13" s="70" cm="1">
        <f t="array" ref="W13">_xlfn.BYROW(B57, _xlfn.LAMBDA(_xlpm.party,
   SUMIFS(ledger!J:J, ledger!B:B, _xlpm.party, ledger!E:E, "&lt;&gt;*RD*", ledger!D:D, "Silky", ledger!C:C, "&lt;&gt;December Closing CF")
)) + _xlfn.IFNA(H92, 0)</f>
        <v>1448134.6013167519</v>
      </c>
      <c r="X13" s="70" cm="1">
        <f t="array" ref="X13">_xlfn.BYROW(B57, _xlfn.LAMBDA(_xlpm.party,
   SUMIFS(ledger!J:J, ledger!B:B, _xlpm.party, ledger!E:E, "&lt;&gt;*RD*", ledger!D:D, "Slub", ledger!C:C, "&lt;&gt;December Closing CF")
))+ _xlfn.IFNA(I92, 0)</f>
        <v>0</v>
      </c>
      <c r="Y13" s="70" cm="1">
        <f t="array" ref="Y13">_xlfn.BYROW(B57, _xlfn.LAMBDA(_xlpm.party,
   SUMIFS(ledger!J:J, ledger!B:B, _xlpm.party, ledger!E:E, "&lt;&gt;*RD*", ledger!D:D, "Satin", ledger!C:C, "&lt;&gt;December Closing CF")
))+ _xlfn.IFNA(J92, 0)</f>
        <v>0</v>
      </c>
      <c r="Z13" s="70" cm="1">
        <f t="array" ref="Z13">_xlfn.BYROW(B57, _xlfn.LAMBDA(_xlpm.party,
   SUMIFS(ledger!J:J, ledger!B:B, _xlpm.party, ledger!E:E, "&lt;&gt;*RD*", ledger!D:D, "Black-Chamki", ledger!C:C, "&lt;&gt;December Closing CF")
))+ _xlfn.IFNA(K92, 0)</f>
        <v>0</v>
      </c>
      <c r="AA13" s="70" cm="1">
        <f t="array" ref="AA13">_xlfn.BYROW(B57, _xlfn.LAMBDA(_xlpm.party,
   SUMIFS(ledger!J:J, ledger!B:B, _xlpm.party, ledger!E:E, "&lt;&gt;*RD*", ledger!D:D, "Kataan", ledger!C:C, "&lt;&gt;December Closing CF")
))+ _xlfn.IFNA(L92, 0)</f>
        <v>0</v>
      </c>
      <c r="AB13" s="70" cm="1">
        <f t="array" ref="AB13">_xlfn.BYROW(B57, _xlfn.LAMBDA(_xlpm.party,
   SUMIFS(ledger!J:J, ledger!B:B, _xlpm.party, ledger!E:E, "&lt;&gt;*RD*", ledger!D:D, "Munaar", ledger!C:C, "&lt;&gt;December Closing CF")
))+ _xlfn.IFNA(M92, 0)</f>
        <v>0</v>
      </c>
      <c r="AC13" s="39">
        <f t="shared" si="1"/>
        <v>1909464.1550841257</v>
      </c>
      <c r="AD13" s="22">
        <f>(SUMIF(Table14[Party],Q13,Table14[Credit]))+_xlfn.IFNA(O92,0)</f>
        <v>1908190</v>
      </c>
      <c r="AE13" s="33">
        <f t="shared" si="2"/>
        <v>1274.1550841256976</v>
      </c>
      <c r="AF13" s="21">
        <v>10</v>
      </c>
      <c r="AG13" s="21">
        <v>13</v>
      </c>
    </row>
    <row r="14" spans="2:33" x14ac:dyDescent="0.3">
      <c r="B14" t="str">
        <f t="shared" si="0"/>
        <v>Gauhar Kashif</v>
      </c>
      <c r="C14" s="18">
        <f>SUMIFS(ledger!G:G, ledger!B:B, B14, ledger!E:E, "&lt;&gt;*RD*") / 1.0936</f>
        <v>70997.62253108999</v>
      </c>
      <c r="E14" s="14">
        <f>(SUMIFS(ledger!G:G, ledger!B:B, B14, ledger!E:E, "&lt;&gt;*RD*",ledger!D:D, "Silky") / 1.0936)*12 + (SUMIFS(ledger!G:G, ledger!B:B, B14, ledger!E:E, "&lt;&gt;*RD*",ledger!D:D, "Chamki") / 1.0936)*10</f>
        <v>709976.2253108999</v>
      </c>
      <c r="I14" t="s">
        <v>168</v>
      </c>
      <c r="Q14" s="24" t="str">
        <v>Ashraf Zia</v>
      </c>
      <c r="R14" s="22" cm="1">
        <f t="array" ref="R14">_xlfn.BYROW(B58,_xlfn.LAMBDA(_xlpm.party,SUMIFS(ledger!G:G,ledger!B:B,_xlpm.party,ledger!E:E,"&lt;&gt;*RD*")))+_xlfn.IFNA(C93,0)</f>
        <v>23305</v>
      </c>
      <c r="S14" s="22" cm="1">
        <f t="array" ref="S14">_xlfn.BYROW(B58, _xlfn.LAMBDA(_xlpm.party, SUMIFS(ledger!G:G, ledger!B:B, _xlpm.party, ledger!E:E, "&lt;&gt;*RD*") / 1.0936 ))+_xlfn.IFNA(D93,0)</f>
        <v>21310.35113386979</v>
      </c>
      <c r="T14" s="22" cm="1">
        <f t="array" ref="T14">(_xlfn.BYROW(B58,_xlfn.LAMBDA(_xlpm.party,SUMIFS(ledger!G:G,ledger!B:B,_xlpm.party,ledger!E:E,"&lt;&gt;*RD*",ledger!D:D,"Chamki")+SUMIFS(ledger!G:G, ledger!B:B, _xlpm.party, ledger!E:E, "&lt;&gt;*RD*", ledger!D:D, "Crinkle")))/1.0936)+_xlfn.IFNA(E93,0)</f>
        <v>21310.35113386979</v>
      </c>
      <c r="U14" s="70" cm="1">
        <f t="array" ref="U14">(_xlfn.BYROW(B58,_xlfn.LAMBDA(_xlpm.party,SUMIFS(ledger!G:G,ledger!B:B,_xlpm.party,ledger!E:E,"&lt;&gt;*RD*",ledger!D:D,"Silky")))/1.0936)+_xlfn.IFNA(F93,0)</f>
        <v>0</v>
      </c>
      <c r="V14" s="22" cm="1">
        <f t="array" ref="V14">(_xlfn.BYROW(B58,_xlfn.LAMBDA(_xlpm.party,
(SUMIFS(ledger!J:J,ledger!B:B,_xlpm.party,ledger!E:E,"&lt;&gt;*RD*",ledger!D:D,"Chamki",ledger!C:C,"&lt;&gt;December Closing CF")+
SUMIFS(ledger!J:J,ledger!B:B,_xlpm.party,ledger!E:E,"&lt;&gt;*RD*",ledger!D:D,"Crinkle",ledger!C:C,"&lt;&gt;December Closing CF")
)+_xlfn.IFNA(G93,0))))</f>
        <v>255724.21360643749</v>
      </c>
      <c r="W14" s="70" cm="1">
        <f t="array" ref="W14">_xlfn.BYROW(B58, _xlfn.LAMBDA(_xlpm.party,
   SUMIFS(ledger!J:J, ledger!B:B, _xlpm.party, ledger!E:E, "&lt;&gt;*RD*", ledger!D:D, "Silky", ledger!C:C, "&lt;&gt;December Closing CF")
)) + _xlfn.IFNA(H93, 0)</f>
        <v>0</v>
      </c>
      <c r="X14" s="70" cm="1">
        <f t="array" ref="X14">_xlfn.BYROW(B58, _xlfn.LAMBDA(_xlpm.party,
   SUMIFS(ledger!J:J, ledger!B:B, _xlpm.party, ledger!E:E, "&lt;&gt;*RD*", ledger!D:D, "Slub", ledger!C:C, "&lt;&gt;December Closing CF")
))+ _xlfn.IFNA(I93, 0)</f>
        <v>0</v>
      </c>
      <c r="Y14" s="70" cm="1">
        <f t="array" ref="Y14">_xlfn.BYROW(B58, _xlfn.LAMBDA(_xlpm.party,
   SUMIFS(ledger!J:J, ledger!B:B, _xlpm.party, ledger!E:E, "&lt;&gt;*RD*", ledger!D:D, "Satin", ledger!C:C, "&lt;&gt;December Closing CF")
))+ _xlfn.IFNA(J93, 0)</f>
        <v>0</v>
      </c>
      <c r="Z14" s="70" cm="1">
        <f t="array" ref="Z14">_xlfn.BYROW(B58, _xlfn.LAMBDA(_xlpm.party,
   SUMIFS(ledger!J:J, ledger!B:B, _xlpm.party, ledger!E:E, "&lt;&gt;*RD*", ledger!D:D, "Black-Chamki", ledger!C:C, "&lt;&gt;December Closing CF")
))+ _xlfn.IFNA(K93, 0)</f>
        <v>0</v>
      </c>
      <c r="AA14" s="70" cm="1">
        <f t="array" ref="AA14">_xlfn.BYROW(B58, _xlfn.LAMBDA(_xlpm.party,
   SUMIFS(ledger!J:J, ledger!B:B, _xlpm.party, ledger!E:E, "&lt;&gt;*RD*", ledger!D:D, "Kataan", ledger!C:C, "&lt;&gt;December Closing CF")
))+ _xlfn.IFNA(L93, 0)</f>
        <v>0</v>
      </c>
      <c r="AB14" s="70" cm="1">
        <f t="array" ref="AB14">_xlfn.BYROW(B58, _xlfn.LAMBDA(_xlpm.party,
   SUMIFS(ledger!J:J, ledger!B:B, _xlpm.party, ledger!E:E, "&lt;&gt;*RD*", ledger!D:D, "Munaar", ledger!C:C, "&lt;&gt;December Closing CF")
))+ _xlfn.IFNA(M93, 0)</f>
        <v>0</v>
      </c>
      <c r="AC14" s="39">
        <f t="shared" si="1"/>
        <v>255724.21360643749</v>
      </c>
      <c r="AD14" s="22">
        <f>(SUMIF(Table14[Party],Q14,Table14[Credit]))+_xlfn.IFNA(O93,0)</f>
        <v>130000</v>
      </c>
      <c r="AE14" s="33">
        <f t="shared" si="2"/>
        <v>125724.21360643749</v>
      </c>
      <c r="AF14" s="21">
        <v>12</v>
      </c>
      <c r="AG14" s="21">
        <v>13</v>
      </c>
    </row>
    <row r="15" spans="2:33" x14ac:dyDescent="0.3">
      <c r="B15" t="str">
        <f t="shared" si="0"/>
        <v>Amjad 7up</v>
      </c>
      <c r="C15" s="18">
        <f>SUMIFS(ledger!G:G, ledger!B:B, B15, ledger!E:E, "&lt;&gt;*RD*") / 1.0936</f>
        <v>0</v>
      </c>
      <c r="E15" s="14">
        <f>(SUMIFS(ledger!G:G, ledger!B:B, B15, ledger!E:E, "&lt;&gt;*RD*",ledger!D:D, "Silky") / 1.0936)*12 + (SUMIFS(ledger!G:G, ledger!B:B, B15, ledger!E:E, "&lt;&gt;*RD*",ledger!D:D, "Chamki") / 1.0936)*10</f>
        <v>0</v>
      </c>
      <c r="I15" t="s">
        <v>170</v>
      </c>
      <c r="Q15" s="24" t="str">
        <v>Hafiz Qureshi</v>
      </c>
      <c r="R15" s="22" cm="1">
        <f t="array" ref="R15">_xlfn.BYROW(B59,_xlfn.LAMBDA(_xlpm.party,SUMIFS(ledger!G:G,ledger!B:B,_xlpm.party,ledger!E:E,"&lt;&gt;*RD*")))+_xlfn.IFNA(C94,0)</f>
        <v>454627</v>
      </c>
      <c r="S15" s="22" cm="1">
        <f t="array" ref="S15">_xlfn.BYROW(B59, _xlfn.LAMBDA(_xlpm.party, SUMIFS(ledger!G:G, ledger!B:B, _xlpm.party, ledger!E:E, "&lt;&gt;*RD*") / 1.0936 ))+_xlfn.IFNA(D94,0)</f>
        <v>415715.98390636436</v>
      </c>
      <c r="T15" s="22" cm="1">
        <f t="array" ref="T15">(_xlfn.BYROW(B59,_xlfn.LAMBDA(_xlpm.party,SUMIFS(ledger!G:G,ledger!B:B,_xlpm.party,ledger!E:E,"&lt;&gt;*RD*",ledger!D:D,"Chamki")+SUMIFS(ledger!G:G, ledger!B:B, _xlpm.party, ledger!E:E, "&lt;&gt;*RD*", ledger!D:D, "Crinkle")))/1.0936)+_xlfn.IFNA(E94,0)</f>
        <v>415715.98390636436</v>
      </c>
      <c r="U15" s="70" cm="1">
        <f t="array" ref="U15">(_xlfn.BYROW(B59,_xlfn.LAMBDA(_xlpm.party,SUMIFS(ledger!G:G,ledger!B:B,_xlpm.party,ledger!E:E,"&lt;&gt;*RD*",ledger!D:D,"Silky")))/1.0936)+_xlfn.IFNA(F94,0)</f>
        <v>0</v>
      </c>
      <c r="V15" s="22" cm="1">
        <f t="array" ref="V15">(_xlfn.BYROW(B59,_xlfn.LAMBDA(_xlpm.party,
(SUMIFS(ledger!J:J,ledger!B:B,_xlpm.party,ledger!E:E,"&lt;&gt;*RD*",ledger!D:D,"Chamki",ledger!C:C,"&lt;&gt;December Closing CF")+
SUMIFS(ledger!J:J,ledger!B:B,_xlpm.party,ledger!E:E,"&lt;&gt;*RD*",ledger!D:D,"Crinkle",ledger!C:C,"&lt;&gt;December Closing CF")
)+_xlfn.IFNA(G94,0))))</f>
        <v>4157159.8390636435</v>
      </c>
      <c r="W15" s="70" cm="1">
        <f t="array" ref="W15">_xlfn.BYROW(B59, _xlfn.LAMBDA(_xlpm.party,
   SUMIFS(ledger!J:J, ledger!B:B, _xlpm.party, ledger!E:E, "&lt;&gt;*RD*", ledger!D:D, "Silky", ledger!C:C, "&lt;&gt;December Closing CF")
)) + _xlfn.IFNA(H94, 0)</f>
        <v>0</v>
      </c>
      <c r="X15" s="70" cm="1">
        <f t="array" ref="X15">_xlfn.BYROW(B59, _xlfn.LAMBDA(_xlpm.party,
   SUMIFS(ledger!J:J, ledger!B:B, _xlpm.party, ledger!E:E, "&lt;&gt;*RD*", ledger!D:D, "Slub", ledger!C:C, "&lt;&gt;December Closing CF")
))+ _xlfn.IFNA(I94, 0)</f>
        <v>0</v>
      </c>
      <c r="Y15" s="70" cm="1">
        <f t="array" ref="Y15">_xlfn.BYROW(B59, _xlfn.LAMBDA(_xlpm.party,
   SUMIFS(ledger!J:J, ledger!B:B, _xlpm.party, ledger!E:E, "&lt;&gt;*RD*", ledger!D:D, "Satin", ledger!C:C, "&lt;&gt;December Closing CF")
))+ _xlfn.IFNA(J94, 0)</f>
        <v>0</v>
      </c>
      <c r="Z15" s="70" cm="1">
        <f t="array" ref="Z15">_xlfn.BYROW(B59, _xlfn.LAMBDA(_xlpm.party,
   SUMIFS(ledger!J:J, ledger!B:B, _xlpm.party, ledger!E:E, "&lt;&gt;*RD*", ledger!D:D, "Black-Chamki", ledger!C:C, "&lt;&gt;December Closing CF")
))+ _xlfn.IFNA(K94, 0)</f>
        <v>0</v>
      </c>
      <c r="AA15" s="70" cm="1">
        <f t="array" ref="AA15">_xlfn.BYROW(B59, _xlfn.LAMBDA(_xlpm.party,
   SUMIFS(ledger!J:J, ledger!B:B, _xlpm.party, ledger!E:E, "&lt;&gt;*RD*", ledger!D:D, "Kataan", ledger!C:C, "&lt;&gt;December Closing CF")
))+ _xlfn.IFNA(L94, 0)</f>
        <v>0</v>
      </c>
      <c r="AB15" s="70" cm="1">
        <f t="array" ref="AB15">_xlfn.BYROW(B59, _xlfn.LAMBDA(_xlpm.party,
   SUMIFS(ledger!J:J, ledger!B:B, _xlpm.party, ledger!E:E, "&lt;&gt;*RD*", ledger!D:D, "Munaar", ledger!C:C, "&lt;&gt;December Closing CF")
))+ _xlfn.IFNA(M94, 0)</f>
        <v>0</v>
      </c>
      <c r="AC15" s="39">
        <f t="shared" si="1"/>
        <v>4157159.8390636435</v>
      </c>
      <c r="AD15" s="22">
        <f>(SUMIF(Table14[Party],Q15,Table14[Credit]))+_xlfn.IFNA(O94,0)</f>
        <v>4146179</v>
      </c>
      <c r="AE15" s="33">
        <f t="shared" si="2"/>
        <v>10980.839063643478</v>
      </c>
      <c r="AF15" s="21">
        <v>10</v>
      </c>
      <c r="AG15" s="21">
        <v>13</v>
      </c>
    </row>
    <row r="16" spans="2:33" x14ac:dyDescent="0.3">
      <c r="B16" t="str">
        <f t="shared" si="0"/>
        <v>Hazrat Khan</v>
      </c>
      <c r="C16" s="18">
        <f>SUMIFS(ledger!G:G, ledger!B:B, B16, ledger!E:E, "&lt;&gt;*RD*") / 1.0936</f>
        <v>0</v>
      </c>
      <c r="E16" s="14">
        <f>(SUMIFS(ledger!G:G, ledger!B:B, B16, ledger!E:E, "&lt;&gt;*RD*",ledger!D:D, "Silky") / 1.0936)*12 + (SUMIFS(ledger!G:G, ledger!B:B, B16, ledger!E:E, "&lt;&gt;*RD*",ledger!D:D, "Chamki") / 1.0936)*10</f>
        <v>0</v>
      </c>
      <c r="I16" t="s">
        <v>171</v>
      </c>
      <c r="Q16" s="24" t="str">
        <v>Badshah Fabrics</v>
      </c>
      <c r="R16" s="22" cm="1">
        <f t="array" ref="R16">_xlfn.BYROW(B60,_xlfn.LAMBDA(_xlpm.party,SUMIFS(ledger!G:G,ledger!B:B,_xlpm.party,ledger!E:E,"&lt;&gt;*RD*")))+_xlfn.IFNA(C95,0)</f>
        <v>681314</v>
      </c>
      <c r="S16" s="22" cm="1">
        <f t="array" ref="S16">_xlfn.BYROW(B60, _xlfn.LAMBDA(_xlpm.party, SUMIFS(ledger!G:G, ledger!B:B, _xlpm.party, ledger!E:E, "&lt;&gt;*RD*") / 1.0936 ))+_xlfn.IFNA(D95,0)</f>
        <v>623001.09729334316</v>
      </c>
      <c r="T16" s="22" cm="1">
        <f t="array" ref="T16">(_xlfn.BYROW(B60,_xlfn.LAMBDA(_xlpm.party,SUMIFS(ledger!G:G,ledger!B:B,_xlpm.party,ledger!E:E,"&lt;&gt;*RD*",ledger!D:D,"Chamki")+SUMIFS(ledger!G:G, ledger!B:B, _xlpm.party, ledger!E:E, "&lt;&gt;*RD*", ledger!D:D, "Crinkle")))/1.0936)+_xlfn.IFNA(E95,0)</f>
        <v>481526.15215801029</v>
      </c>
      <c r="U16" s="70" cm="1">
        <f t="array" ref="U16">(_xlfn.BYROW(B60,_xlfn.LAMBDA(_xlpm.party,SUMIFS(ledger!G:G,ledger!B:B,_xlpm.party,ledger!E:E,"&lt;&gt;*RD*",ledger!D:D,"Silky")))/1.0936)+_xlfn.IFNA(F95,0)</f>
        <v>141474.94513533285</v>
      </c>
      <c r="V16" s="22" cm="1">
        <f t="array" ref="V16">(_xlfn.BYROW(B60,_xlfn.LAMBDA(_xlpm.party,
(SUMIFS(ledger!J:J,ledger!B:B,_xlpm.party,ledger!E:E,"&lt;&gt;*RD*",ledger!D:D,"Chamki",ledger!C:C,"&lt;&gt;December Closing CF")+
SUMIFS(ledger!J:J,ledger!B:B,_xlpm.party,ledger!E:E,"&lt;&gt;*RD*",ledger!D:D,"Crinkle",ledger!C:C,"&lt;&gt;December Closing CF")
)+_xlfn.IFNA(G95,0))))</f>
        <v>4861679.7732260432</v>
      </c>
      <c r="W16" s="70" cm="1">
        <f t="array" ref="W16">_xlfn.BYROW(B60, _xlfn.LAMBDA(_xlpm.party,
   SUMIFS(ledger!J:J, ledger!B:B, _xlpm.party, ledger!E:E, "&lt;&gt;*RD*", ledger!D:D, "Silky", ledger!C:C, "&lt;&gt;December Closing CF")
)) + _xlfn.IFNA(H95, 0)</f>
        <v>1776019.5683979518</v>
      </c>
      <c r="X16" s="70" cm="1">
        <f t="array" ref="X16">_xlfn.BYROW(B60, _xlfn.LAMBDA(_xlpm.party,
   SUMIFS(ledger!J:J, ledger!B:B, _xlpm.party, ledger!E:E, "&lt;&gt;*RD*", ledger!D:D, "Slub", ledger!C:C, "&lt;&gt;December Closing CF")
))+ _xlfn.IFNA(I95, 0)</f>
        <v>0</v>
      </c>
      <c r="Y16" s="70" cm="1">
        <f t="array" ref="Y16">_xlfn.BYROW(B60, _xlfn.LAMBDA(_xlpm.party,
   SUMIFS(ledger!J:J, ledger!B:B, _xlpm.party, ledger!E:E, "&lt;&gt;*RD*", ledger!D:D, "Satin", ledger!C:C, "&lt;&gt;December Closing CF")
))+ _xlfn.IFNA(J95, 0)</f>
        <v>0</v>
      </c>
      <c r="Z16" s="70" cm="1">
        <f t="array" ref="Z16">_xlfn.BYROW(B60, _xlfn.LAMBDA(_xlpm.party,
   SUMIFS(ledger!J:J, ledger!B:B, _xlpm.party, ledger!E:E, "&lt;&gt;*RD*", ledger!D:D, "Black-Chamki", ledger!C:C, "&lt;&gt;December Closing CF")
))+ _xlfn.IFNA(K95, 0)</f>
        <v>0</v>
      </c>
      <c r="AA16" s="70" cm="1">
        <f t="array" ref="AA16">_xlfn.BYROW(B60, _xlfn.LAMBDA(_xlpm.party,
   SUMIFS(ledger!J:J, ledger!B:B, _xlpm.party, ledger!E:E, "&lt;&gt;*RD*", ledger!D:D, "Kataan", ledger!C:C, "&lt;&gt;December Closing CF")
))+ _xlfn.IFNA(L95, 0)</f>
        <v>0</v>
      </c>
      <c r="AB16" s="70" cm="1">
        <f t="array" ref="AB16">_xlfn.BYROW(B60, _xlfn.LAMBDA(_xlpm.party,
   SUMIFS(ledger!J:J, ledger!B:B, _xlpm.party, ledger!E:E, "&lt;&gt;*RD*", ledger!D:D, "Munaar", ledger!C:C, "&lt;&gt;December Closing CF")
))+ _xlfn.IFNA(M95, 0)</f>
        <v>0</v>
      </c>
      <c r="AC16" s="39">
        <f t="shared" si="1"/>
        <v>6637699.3416239955</v>
      </c>
      <c r="AD16" s="22">
        <f>(SUMIF(Table14[Party],Q16,Table14[Credit]))+_xlfn.IFNA(O95,0)</f>
        <v>6545761</v>
      </c>
      <c r="AE16" s="33">
        <f t="shared" si="2"/>
        <v>91938.341623995453</v>
      </c>
      <c r="AF16" s="21">
        <v>10</v>
      </c>
      <c r="AG16" s="21">
        <v>13</v>
      </c>
    </row>
    <row r="17" spans="2:33" x14ac:dyDescent="0.3">
      <c r="B17" t="str">
        <f t="shared" si="0"/>
        <v>Haseeb Shamsi</v>
      </c>
      <c r="C17" s="18">
        <f>SUMIFS(ledger!G:G, ledger!B:B, B17, ledger!E:E, "&lt;&gt;*RD*") / 1.0936</f>
        <v>0</v>
      </c>
      <c r="E17" s="14">
        <f>(SUMIFS(ledger!G:G, ledger!B:B, B17, ledger!E:E, "&lt;&gt;*RD*",ledger!D:D, "Silky") / 1.0936)*12 + (SUMIFS(ledger!G:G, ledger!B:B, B17, ledger!E:E, "&lt;&gt;*RD*",ledger!D:D, "Chamki") / 1.0936)*10</f>
        <v>0</v>
      </c>
      <c r="I17" t="s">
        <v>173</v>
      </c>
      <c r="Q17" s="24" t="str">
        <v>Gauhar Kashif</v>
      </c>
      <c r="R17" s="22" cm="1">
        <f t="array" ref="R17">_xlfn.BYROW(B61,_xlfn.LAMBDA(_xlpm.party,SUMIFS(ledger!G:G,ledger!B:B,_xlpm.party,ledger!E:E,"&lt;&gt;*RD*")))+_xlfn.IFNA(C96,0)</f>
        <v>132768</v>
      </c>
      <c r="S17" s="22" cm="1">
        <f t="array" ref="S17">_xlfn.BYROW(B61, _xlfn.LAMBDA(_xlpm.party, SUMIFS(ledger!G:G, ledger!B:B, _xlpm.party, ledger!E:E, "&lt;&gt;*RD*") / 1.0936 ))+_xlfn.IFNA(D96,0)</f>
        <v>121404.53547915144</v>
      </c>
      <c r="T17" s="22" cm="1">
        <f t="array" ref="T17">(_xlfn.BYROW(B61,_xlfn.LAMBDA(_xlpm.party,SUMIFS(ledger!G:G,ledger!B:B,_xlpm.party,ledger!E:E,"&lt;&gt;*RD*",ledger!D:D,"Chamki")+SUMIFS(ledger!G:G, ledger!B:B, _xlpm.party, ledger!E:E, "&lt;&gt;*RD*", ledger!D:D, "Crinkle")))/1.0936)+_xlfn.IFNA(E96,0)</f>
        <v>121404.53547915144</v>
      </c>
      <c r="U17" s="70" cm="1">
        <f t="array" ref="U17">(_xlfn.BYROW(B61,_xlfn.LAMBDA(_xlpm.party,SUMIFS(ledger!G:G,ledger!B:B,_xlpm.party,ledger!E:E,"&lt;&gt;*RD*",ledger!D:D,"Silky")))/1.0936)+_xlfn.IFNA(F96,0)</f>
        <v>0</v>
      </c>
      <c r="V17" s="22" cm="1">
        <f t="array" ref="V17">(_xlfn.BYROW(B61,_xlfn.LAMBDA(_xlpm.party,
(SUMIFS(ledger!J:J,ledger!B:B,_xlpm.party,ledger!E:E,"&lt;&gt;*RD*",ledger!D:D,"Chamki",ledger!C:C,"&lt;&gt;December Closing CF")+
SUMIFS(ledger!J:J,ledger!B:B,_xlpm.party,ledger!E:E,"&lt;&gt;*RD*",ledger!D:D,"Crinkle",ledger!C:C,"&lt;&gt;December Closing CF")
)+_xlfn.IFNA(G96,0))))</f>
        <v>1214045.3547915143</v>
      </c>
      <c r="W17" s="70" cm="1">
        <f t="array" ref="W17">_xlfn.BYROW(B61, _xlfn.LAMBDA(_xlpm.party,
   SUMIFS(ledger!J:J, ledger!B:B, _xlpm.party, ledger!E:E, "&lt;&gt;*RD*", ledger!D:D, "Silky", ledger!C:C, "&lt;&gt;December Closing CF")
)) + _xlfn.IFNA(H96, 0)</f>
        <v>0</v>
      </c>
      <c r="X17" s="70" cm="1">
        <f t="array" ref="X17">_xlfn.BYROW(B61, _xlfn.LAMBDA(_xlpm.party,
   SUMIFS(ledger!J:J, ledger!B:B, _xlpm.party, ledger!E:E, "&lt;&gt;*RD*", ledger!D:D, "Slub", ledger!C:C, "&lt;&gt;December Closing CF")
))+ _xlfn.IFNA(I96, 0)</f>
        <v>0</v>
      </c>
      <c r="Y17" s="70" cm="1">
        <f t="array" ref="Y17">_xlfn.BYROW(B61, _xlfn.LAMBDA(_xlpm.party,
   SUMIFS(ledger!J:J, ledger!B:B, _xlpm.party, ledger!E:E, "&lt;&gt;*RD*", ledger!D:D, "Satin", ledger!C:C, "&lt;&gt;December Closing CF")
))+ _xlfn.IFNA(J96, 0)</f>
        <v>0</v>
      </c>
      <c r="Z17" s="70" cm="1">
        <f t="array" ref="Z17">_xlfn.BYROW(B61, _xlfn.LAMBDA(_xlpm.party,
   SUMIFS(ledger!J:J, ledger!B:B, _xlpm.party, ledger!E:E, "&lt;&gt;*RD*", ledger!D:D, "Black-Chamki", ledger!C:C, "&lt;&gt;December Closing CF")
))+ _xlfn.IFNA(K96, 0)</f>
        <v>0</v>
      </c>
      <c r="AA17" s="70" cm="1">
        <f t="array" ref="AA17">_xlfn.BYROW(B61, _xlfn.LAMBDA(_xlpm.party,
   SUMIFS(ledger!J:J, ledger!B:B, _xlpm.party, ledger!E:E, "&lt;&gt;*RD*", ledger!D:D, "Kataan", ledger!C:C, "&lt;&gt;December Closing CF")
))+ _xlfn.IFNA(L96, 0)</f>
        <v>0</v>
      </c>
      <c r="AB17" s="70" cm="1">
        <f t="array" ref="AB17">_xlfn.BYROW(B61, _xlfn.LAMBDA(_xlpm.party,
   SUMIFS(ledger!J:J, ledger!B:B, _xlpm.party, ledger!E:E, "&lt;&gt;*RD*", ledger!D:D, "Munaar", ledger!C:C, "&lt;&gt;December Closing CF")
))+ _xlfn.IFNA(M96, 0)</f>
        <v>0</v>
      </c>
      <c r="AC17" s="39">
        <f t="shared" si="1"/>
        <v>1214045.3547915143</v>
      </c>
      <c r="AD17" s="22">
        <f>(SUMIF(Table14[Party],Q17,Table14[Credit]))+_xlfn.IFNA(O96,0)</f>
        <v>1214045</v>
      </c>
      <c r="AE17" s="33">
        <f t="shared" si="2"/>
        <v>0.35479151434265077</v>
      </c>
      <c r="AF17" s="21">
        <v>10</v>
      </c>
      <c r="AG17" s="21">
        <v>13</v>
      </c>
    </row>
    <row r="18" spans="2:33" x14ac:dyDescent="0.3">
      <c r="B18" t="str">
        <f t="shared" si="0"/>
        <v>Faizan</v>
      </c>
      <c r="C18" s="18">
        <f>SUMIFS(ledger!G:G, ledger!B:B, B18, ledger!E:E, "&lt;&gt;*RD*") / 1.0936</f>
        <v>64407.461594732995</v>
      </c>
      <c r="E18" s="14">
        <f>(SUMIFS(ledger!G:G, ledger!B:B, B18, ledger!E:E, "&lt;&gt;*RD*",ledger!D:D, "Silky") / 1.0936)*12 + (SUMIFS(ledger!G:G, ledger!B:B, B18, ledger!E:E, "&lt;&gt;*RD*",ledger!D:D, "Chamki") / 1.0936)*10</f>
        <v>772889.53913679591</v>
      </c>
      <c r="I18" t="s">
        <v>175</v>
      </c>
      <c r="Q18" s="97" t="str">
        <v>Amjad 7up</v>
      </c>
      <c r="R18" s="22" cm="1">
        <f t="array" ref="R18">_xlfn.BYROW(B62,_xlfn.LAMBDA(_xlpm.party,SUMIFS(ledger!G:G,ledger!B:B,_xlpm.party,ledger!E:E,"&lt;&gt;*RD*")))+_xlfn.IFNA(C97,0)</f>
        <v>52914</v>
      </c>
      <c r="S18" s="22" cm="1">
        <f t="array" ref="S18">_xlfn.BYROW(B62, _xlfn.LAMBDA(_xlpm.party, SUMIFS(ledger!G:G, ledger!B:B, _xlpm.party, ledger!E:E, "&lt;&gt;*RD*") / 1.0936 ))+_xlfn.IFNA(D97,0)</f>
        <v>48385.149963423559</v>
      </c>
      <c r="T18" s="22" cm="1">
        <f t="array" ref="T18">(_xlfn.BYROW(B62,_xlfn.LAMBDA(_xlpm.party,SUMIFS(ledger!G:G,ledger!B:B,_xlpm.party,ledger!E:E,"&lt;&gt;*RD*",ledger!D:D,"Chamki")+SUMIFS(ledger!G:G, ledger!B:B, _xlpm.party, ledger!E:E, "&lt;&gt;*RD*", ledger!D:D, "Crinkle")))/1.0936)+_xlfn.IFNA(E97,0)</f>
        <v>48385.149963423559</v>
      </c>
      <c r="U18" s="70" cm="1">
        <f t="array" ref="U18">(_xlfn.BYROW(B62,_xlfn.LAMBDA(_xlpm.party,SUMIFS(ledger!G:G,ledger!B:B,_xlpm.party,ledger!E:E,"&lt;&gt;*RD*",ledger!D:D,"Silky")))/1.0936)+_xlfn.IFNA(F97,0)</f>
        <v>0</v>
      </c>
      <c r="V18" s="22" cm="1">
        <f t="array" ref="V18">(_xlfn.BYROW(B62,_xlfn.LAMBDA(_xlpm.party,
(SUMIFS(ledger!J:J,ledger!B:B,_xlpm.party,ledger!E:E,"&lt;&gt;*RD*",ledger!D:D,"Chamki",ledger!C:C,"&lt;&gt;December Closing CF")+
SUMIFS(ledger!J:J,ledger!B:B,_xlpm.party,ledger!E:E,"&lt;&gt;*RD*",ledger!D:D,"Crinkle",ledger!C:C,"&lt;&gt;December Closing CF")
)+_xlfn.IFNA(G97,0))))</f>
        <v>483851.49963423557</v>
      </c>
      <c r="W18" s="70" cm="1">
        <f t="array" ref="W18">_xlfn.BYROW(B62, _xlfn.LAMBDA(_xlpm.party,
   SUMIFS(ledger!J:J, ledger!B:B, _xlpm.party, ledger!E:E, "&lt;&gt;*RD*", ledger!D:D, "Silky", ledger!C:C, "&lt;&gt;December Closing CF")
)) + _xlfn.IFNA(H97, 0)</f>
        <v>0</v>
      </c>
      <c r="X18" s="70" cm="1">
        <f t="array" ref="X18">_xlfn.BYROW(B62, _xlfn.LAMBDA(_xlpm.party,
   SUMIFS(ledger!J:J, ledger!B:B, _xlpm.party, ledger!E:E, "&lt;&gt;*RD*", ledger!D:D, "Slub", ledger!C:C, "&lt;&gt;December Closing CF")
))+ _xlfn.IFNA(I97, 0)</f>
        <v>0</v>
      </c>
      <c r="Y18" s="70" cm="1">
        <f t="array" ref="Y18">_xlfn.BYROW(B62, _xlfn.LAMBDA(_xlpm.party,
   SUMIFS(ledger!J:J, ledger!B:B, _xlpm.party, ledger!E:E, "&lt;&gt;*RD*", ledger!D:D, "Satin", ledger!C:C, "&lt;&gt;December Closing CF")
))+ _xlfn.IFNA(J97, 0)</f>
        <v>0</v>
      </c>
      <c r="Z18" s="70" cm="1">
        <f t="array" ref="Z18">_xlfn.BYROW(B62, _xlfn.LAMBDA(_xlpm.party,
   SUMIFS(ledger!J:J, ledger!B:B, _xlpm.party, ledger!E:E, "&lt;&gt;*RD*", ledger!D:D, "Black-Chamki", ledger!C:C, "&lt;&gt;December Closing CF")
))+ _xlfn.IFNA(K97, 0)</f>
        <v>0</v>
      </c>
      <c r="AA18" s="70" cm="1">
        <f t="array" ref="AA18">_xlfn.BYROW(B62, _xlfn.LAMBDA(_xlpm.party,
   SUMIFS(ledger!J:J, ledger!B:B, _xlpm.party, ledger!E:E, "&lt;&gt;*RD*", ledger!D:D, "Kataan", ledger!C:C, "&lt;&gt;December Closing CF")
))+ _xlfn.IFNA(L97, 0)</f>
        <v>0</v>
      </c>
      <c r="AB18" s="70" cm="1">
        <f t="array" ref="AB18">_xlfn.BYROW(B62, _xlfn.LAMBDA(_xlpm.party,
   SUMIFS(ledger!J:J, ledger!B:B, _xlpm.party, ledger!E:E, "&lt;&gt;*RD*", ledger!D:D, "Munaar", ledger!C:C, "&lt;&gt;December Closing CF")
))+ _xlfn.IFNA(M97, 0)</f>
        <v>0</v>
      </c>
      <c r="AC18" s="39">
        <f t="shared" si="1"/>
        <v>483851.49963423557</v>
      </c>
      <c r="AD18" s="22">
        <f>(SUMIF(Table14[Party],Q18,Table14[Credit]))+_xlfn.IFNA(O97,0)</f>
        <v>480000</v>
      </c>
      <c r="AE18" s="33">
        <f t="shared" si="2"/>
        <v>3851.4996342355735</v>
      </c>
      <c r="AF18" s="21">
        <v>10</v>
      </c>
      <c r="AG18" s="21">
        <v>13</v>
      </c>
    </row>
    <row r="19" spans="2:33" x14ac:dyDescent="0.3">
      <c r="I19" t="s">
        <v>177</v>
      </c>
      <c r="Q19" s="97" t="str">
        <v>Hazrat Khan</v>
      </c>
      <c r="R19" s="22" cm="1">
        <f t="array" ref="R19">_xlfn.BYROW(B63,_xlfn.LAMBDA(_xlpm.party,SUMIFS(ledger!G:G,ledger!B:B,_xlpm.party,ledger!E:E,"&lt;&gt;*RD*")))+_xlfn.IFNA(C98,0)</f>
        <v>9750</v>
      </c>
      <c r="S19" s="22" cm="1">
        <f t="array" ref="S19">_xlfn.BYROW(B63, _xlfn.LAMBDA(_xlpm.party, SUMIFS(ledger!G:G, ledger!B:B, _xlpm.party, ledger!E:E, "&lt;&gt;*RD*") / 1.0936 ))+_xlfn.IFNA(D98,0)</f>
        <v>8915.5084125822978</v>
      </c>
      <c r="T19" s="22" cm="1">
        <f t="array" ref="T19">(_xlfn.BYROW(B63,_xlfn.LAMBDA(_xlpm.party,SUMIFS(ledger!G:G,ledger!B:B,_xlpm.party,ledger!E:E,"&lt;&gt;*RD*",ledger!D:D,"Chamki")+SUMIFS(ledger!G:G, ledger!B:B, _xlpm.party, ledger!E:E, "&lt;&gt;*RD*", ledger!D:D, "Crinkle")))/1.0936)+_xlfn.IFNA(E98,0)</f>
        <v>8915.5084125822978</v>
      </c>
      <c r="U19" s="70" cm="1">
        <f t="array" ref="U19">(_xlfn.BYROW(B63,_xlfn.LAMBDA(_xlpm.party,SUMIFS(ledger!G:G,ledger!B:B,_xlpm.party,ledger!E:E,"&lt;&gt;*RD*",ledger!D:D,"Silky")))/1.0936)+_xlfn.IFNA(F98,0)</f>
        <v>0</v>
      </c>
      <c r="V19" s="22" cm="1">
        <f t="array" ref="V19">(_xlfn.BYROW(B63,_xlfn.LAMBDA(_xlpm.party,
(SUMIFS(ledger!J:J,ledger!B:B,_xlpm.party,ledger!E:E,"&lt;&gt;*RD*",ledger!D:D,"Chamki",ledger!C:C,"&lt;&gt;December Closing CF")+
SUMIFS(ledger!J:J,ledger!B:B,_xlpm.party,ledger!E:E,"&lt;&gt;*RD*",ledger!D:D,"Crinkle",ledger!C:C,"&lt;&gt;December Closing CF")
)+_xlfn.IFNA(G98,0))))</f>
        <v>89155.084125822978</v>
      </c>
      <c r="W19" s="70" cm="1">
        <f t="array" ref="W19">_xlfn.BYROW(B63, _xlfn.LAMBDA(_xlpm.party,
   SUMIFS(ledger!J:J, ledger!B:B, _xlpm.party, ledger!E:E, "&lt;&gt;*RD*", ledger!D:D, "Silky", ledger!C:C, "&lt;&gt;December Closing CF")
)) + _xlfn.IFNA(H98, 0)</f>
        <v>0</v>
      </c>
      <c r="X19" s="70" cm="1">
        <f t="array" ref="X19">_xlfn.BYROW(B63, _xlfn.LAMBDA(_xlpm.party,
   SUMIFS(ledger!J:J, ledger!B:B, _xlpm.party, ledger!E:E, "&lt;&gt;*RD*", ledger!D:D, "Slub", ledger!C:C, "&lt;&gt;December Closing CF")
))+ _xlfn.IFNA(I98, 0)</f>
        <v>0</v>
      </c>
      <c r="Y19" s="70" cm="1">
        <f t="array" ref="Y19">_xlfn.BYROW(B63, _xlfn.LAMBDA(_xlpm.party,
   SUMIFS(ledger!J:J, ledger!B:B, _xlpm.party, ledger!E:E, "&lt;&gt;*RD*", ledger!D:D, "Satin", ledger!C:C, "&lt;&gt;December Closing CF")
))+ _xlfn.IFNA(J98, 0)</f>
        <v>0</v>
      </c>
      <c r="Z19" s="70" cm="1">
        <f t="array" ref="Z19">_xlfn.BYROW(B63, _xlfn.LAMBDA(_xlpm.party,
   SUMIFS(ledger!J:J, ledger!B:B, _xlpm.party, ledger!E:E, "&lt;&gt;*RD*", ledger!D:D, "Black-Chamki", ledger!C:C, "&lt;&gt;December Closing CF")
))+ _xlfn.IFNA(K98, 0)</f>
        <v>0</v>
      </c>
      <c r="AA19" s="70" cm="1">
        <f t="array" ref="AA19">_xlfn.BYROW(B63, _xlfn.LAMBDA(_xlpm.party,
   SUMIFS(ledger!J:J, ledger!B:B, _xlpm.party, ledger!E:E, "&lt;&gt;*RD*", ledger!D:D, "Kataan", ledger!C:C, "&lt;&gt;December Closing CF")
))+ _xlfn.IFNA(L98, 0)</f>
        <v>0</v>
      </c>
      <c r="AB19" s="70" cm="1">
        <f t="array" ref="AB19">_xlfn.BYROW(B63, _xlfn.LAMBDA(_xlpm.party,
   SUMIFS(ledger!J:J, ledger!B:B, _xlpm.party, ledger!E:E, "&lt;&gt;*RD*", ledger!D:D, "Munaar", ledger!C:C, "&lt;&gt;December Closing CF")
))+ _xlfn.IFNA(M98, 0)</f>
        <v>0</v>
      </c>
      <c r="AC19" s="39">
        <f t="shared" si="1"/>
        <v>89155.084125822978</v>
      </c>
      <c r="AD19" s="22">
        <f>(SUMIF(Table14[Party],Q19,Table14[Credit]))+_xlfn.IFNA(O98,0)</f>
        <v>95000</v>
      </c>
      <c r="AE19" s="33">
        <f t="shared" si="2"/>
        <v>-5844.9158741770225</v>
      </c>
      <c r="AF19" s="21">
        <v>10</v>
      </c>
      <c r="AG19" s="21">
        <v>13</v>
      </c>
    </row>
    <row r="20" spans="2:33" x14ac:dyDescent="0.3">
      <c r="I20" t="s">
        <v>178</v>
      </c>
      <c r="Q20" s="97" t="str">
        <v>Haseeb Shamsi</v>
      </c>
      <c r="R20" s="22" cm="1">
        <f t="array" ref="R20">_xlfn.BYROW(B64,_xlfn.LAMBDA(_xlpm.party,SUMIFS(ledger!G:G,ledger!B:B,_xlpm.party,ledger!E:E,"&lt;&gt;*RD*")))+_xlfn.IFNA(C99,0)</f>
        <v>61975</v>
      </c>
      <c r="S20" s="22" cm="1">
        <f t="array" ref="S20">_xlfn.BYROW(B64, _xlfn.LAMBDA(_xlpm.party, SUMIFS(ledger!G:G, ledger!B:B, _xlpm.party, ledger!E:E, "&lt;&gt;*RD*") / 1.0936 ))+_xlfn.IFNA(D99,0)</f>
        <v>56670.629114850046</v>
      </c>
      <c r="T20" s="22" cm="1">
        <f t="array" ref="T20">(_xlfn.BYROW(B64,_xlfn.LAMBDA(_xlpm.party,SUMIFS(ledger!G:G,ledger!B:B,_xlpm.party,ledger!E:E,"&lt;&gt;*RD*",ledger!D:D,"Chamki")+SUMIFS(ledger!G:G, ledger!B:B, _xlpm.party, ledger!E:E, "&lt;&gt;*RD*", ledger!D:D, "Crinkle")))/1.0936)+_xlfn.IFNA(E99,0)</f>
        <v>47437.820043891741</v>
      </c>
      <c r="U20" s="70" cm="1">
        <f t="array" ref="U20">(_xlfn.BYROW(B64,_xlfn.LAMBDA(_xlpm.party,SUMIFS(ledger!G:G,ledger!B:B,_xlpm.party,ledger!E:E,"&lt;&gt;*RD*",ledger!D:D,"Silky")))/1.0936)+_xlfn.IFNA(F99,0)</f>
        <v>9232.809070958303</v>
      </c>
      <c r="V20" s="22" cm="1">
        <f t="array" ref="V20">(_xlfn.BYROW(B64,_xlfn.LAMBDA(_xlpm.party,
(SUMIFS(ledger!J:J,ledger!B:B,_xlpm.party,ledger!E:E,"&lt;&gt;*RD*",ledger!D:D,"Chamki",ledger!C:C,"&lt;&gt;December Closing CF")+
SUMIFS(ledger!J:J,ledger!B:B,_xlpm.party,ledger!E:E,"&lt;&gt;*RD*",ledger!D:D,"Crinkle",ledger!C:C,"&lt;&gt;December Closing CF")
)+_xlfn.IFNA(G99,0))))</f>
        <v>474378.20043891744</v>
      </c>
      <c r="W20" s="70" cm="1">
        <f t="array" ref="W20">_xlfn.BYROW(B64, _xlfn.LAMBDA(_xlpm.party,
   SUMIFS(ledger!J:J, ledger!B:B, _xlpm.party, ledger!E:E, "&lt;&gt;*RD*", ledger!D:D, "Silky", ledger!C:C, "&lt;&gt;December Closing CF")
)) + _xlfn.IFNA(H99, 0)</f>
        <v>120026.51792245793</v>
      </c>
      <c r="X20" s="70" cm="1">
        <f t="array" ref="X20">_xlfn.BYROW(B64, _xlfn.LAMBDA(_xlpm.party,
   SUMIFS(ledger!J:J, ledger!B:B, _xlpm.party, ledger!E:E, "&lt;&gt;*RD*", ledger!D:D, "Slub", ledger!C:C, "&lt;&gt;December Closing CF")
))+ _xlfn.IFNA(I99, 0)</f>
        <v>0</v>
      </c>
      <c r="Y20" s="70" cm="1">
        <f t="array" ref="Y20">_xlfn.BYROW(B64, _xlfn.LAMBDA(_xlpm.party,
   SUMIFS(ledger!J:J, ledger!B:B, _xlpm.party, ledger!E:E, "&lt;&gt;*RD*", ledger!D:D, "Satin", ledger!C:C, "&lt;&gt;December Closing CF")
))+ _xlfn.IFNA(J99, 0)</f>
        <v>0</v>
      </c>
      <c r="Z20" s="70" cm="1">
        <f t="array" ref="Z20">_xlfn.BYROW(B64, _xlfn.LAMBDA(_xlpm.party,
   SUMIFS(ledger!J:J, ledger!B:B, _xlpm.party, ledger!E:E, "&lt;&gt;*RD*", ledger!D:D, "Black-Chamki", ledger!C:C, "&lt;&gt;December Closing CF")
))+ _xlfn.IFNA(K99, 0)</f>
        <v>0</v>
      </c>
      <c r="AA20" s="70" cm="1">
        <f t="array" ref="AA20">_xlfn.BYROW(B64, _xlfn.LAMBDA(_xlpm.party,
   SUMIFS(ledger!J:J, ledger!B:B, _xlpm.party, ledger!E:E, "&lt;&gt;*RD*", ledger!D:D, "Kataan", ledger!C:C, "&lt;&gt;December Closing CF")
))+ _xlfn.IFNA(L99, 0)</f>
        <v>0</v>
      </c>
      <c r="AB20" s="70" cm="1">
        <f t="array" ref="AB20">_xlfn.BYROW(B64, _xlfn.LAMBDA(_xlpm.party,
   SUMIFS(ledger!J:J, ledger!B:B, _xlpm.party, ledger!E:E, "&lt;&gt;*RD*", ledger!D:D, "Munaar", ledger!C:C, "&lt;&gt;December Closing CF")
))+ _xlfn.IFNA(M99, 0)</f>
        <v>0</v>
      </c>
      <c r="AC20" s="39">
        <f t="shared" si="1"/>
        <v>594404.71836137539</v>
      </c>
      <c r="AD20" s="22">
        <f>(SUMIF(Table14[Party],Q20,Table14[Credit]))+_xlfn.IFNA(O99,0)</f>
        <v>594405</v>
      </c>
      <c r="AE20" s="33">
        <f t="shared" si="2"/>
        <v>-0.28163862461224198</v>
      </c>
      <c r="AF20" s="21">
        <v>10</v>
      </c>
      <c r="AG20" s="21">
        <v>13</v>
      </c>
    </row>
    <row r="21" spans="2:33" x14ac:dyDescent="0.3">
      <c r="B21" s="40" t="s">
        <v>29</v>
      </c>
      <c r="C21" s="41">
        <f>SUM(N49:N78)</f>
        <v>20808859.729334313</v>
      </c>
      <c r="D21" t="s">
        <v>30</v>
      </c>
      <c r="I21" t="s">
        <v>183</v>
      </c>
      <c r="Q21" s="98" t="str">
        <v>Faizan</v>
      </c>
      <c r="R21" s="22" cm="1">
        <f t="array" ref="R21">_xlfn.BYROW(B65,_xlfn.LAMBDA(_xlpm.party,SUMIFS(ledger!G:G,ledger!B:B,_xlpm.party,ledger!E:E,"&lt;&gt;*RD*")))+_xlfn.IFNA(C100,0)</f>
        <v>509411</v>
      </c>
      <c r="S21" s="22" cm="1">
        <f t="array" ref="S21">_xlfn.BYROW(B65, _xlfn.LAMBDA(_xlpm.party, SUMIFS(ledger!G:G, ledger!B:B, _xlpm.party, ledger!E:E, "&lt;&gt;*RD*") / 1.0936 ))+_xlfn.IFNA(D100,0)</f>
        <v>465811.08266276523</v>
      </c>
      <c r="T21" s="22" cm="1">
        <f t="array" ref="T21">(_xlfn.BYROW(B65,_xlfn.LAMBDA(_xlpm.party,SUMIFS(ledger!G:G,ledger!B:B,_xlpm.party,ledger!E:E,"&lt;&gt;*RD*",ledger!D:D,"Chamki")+SUMIFS(ledger!G:G, ledger!B:B, _xlpm.party, ledger!E:E, "&lt;&gt;*RD*", ledger!D:D, "Crinkle")))/1.0936)+_xlfn.IFNA(E100,0)</f>
        <v>0</v>
      </c>
      <c r="U21" s="70" cm="1">
        <f t="array" ref="U21">(_xlfn.BYROW(B65,_xlfn.LAMBDA(_xlpm.party,SUMIFS(ledger!G:G,ledger!B:B,_xlpm.party,ledger!E:E,"&lt;&gt;*RD*",ledger!D:D,"Silky")))/1.0936)+_xlfn.IFNA(F100,0)</f>
        <v>462841.07534747623</v>
      </c>
      <c r="V21" s="22" cm="1">
        <f t="array" ref="V21">(_xlfn.BYROW(B65,_xlfn.LAMBDA(_xlpm.party,
(SUMIFS(ledger!J:J,ledger!B:B,_xlpm.party,ledger!E:E,"&lt;&gt;*RD*",ledger!D:D,"Chamki",ledger!C:C,"&lt;&gt;December Closing CF")+
SUMIFS(ledger!J:J,ledger!B:B,_xlpm.party,ledger!E:E,"&lt;&gt;*RD*",ledger!D:D,"Crinkle",ledger!C:C,"&lt;&gt;December Closing CF")
)+_xlfn.IFNA(G100,0))))</f>
        <v>30000</v>
      </c>
      <c r="W21" s="70" cm="1">
        <f t="array" ref="W21">_xlfn.BYROW(B65, _xlfn.LAMBDA(_xlpm.party,
   SUMIFS(ledger!J:J, ledger!B:B, _xlpm.party, ledger!E:E, "&lt;&gt;*RD*", ledger!D:D, "Silky", ledger!C:C, "&lt;&gt;December Closing CF")
)) + _xlfn.IFNA(H100, 0)</f>
        <v>6016933.9795171916</v>
      </c>
      <c r="X21" s="70" cm="1">
        <f t="array" ref="X21">_xlfn.BYROW(B65, _xlfn.LAMBDA(_xlpm.party,
   SUMIFS(ledger!J:J, ledger!B:B, _xlpm.party, ledger!E:E, "&lt;&gt;*RD*", ledger!D:D, "Slub", ledger!C:C, "&lt;&gt;December Closing CF")
))+ _xlfn.IFNA(I100, 0)</f>
        <v>44550.109729334312</v>
      </c>
      <c r="Y21" s="70" cm="1">
        <f t="array" ref="Y21">_xlfn.BYROW(B65, _xlfn.LAMBDA(_xlpm.party,
   SUMIFS(ledger!J:J, ledger!B:B, _xlpm.party, ledger!E:E, "&lt;&gt;*RD*", ledger!D:D, "Satin", ledger!C:C, "&lt;&gt;December Closing CF")
))+ _xlfn.IFNA(J100, 0)</f>
        <v>0</v>
      </c>
      <c r="Z21" s="70" cm="1">
        <f t="array" ref="Z21">_xlfn.BYROW(B65, _xlfn.LAMBDA(_xlpm.party,
   SUMIFS(ledger!J:J, ledger!B:B, _xlpm.party, ledger!E:E, "&lt;&gt;*RD*", ledger!D:D, "Black-Chamki", ledger!C:C, "&lt;&gt;December Closing CF")
))+ _xlfn.IFNA(K100, 0)</f>
        <v>0</v>
      </c>
      <c r="AA21" s="70" cm="1">
        <f t="array" ref="AA21">_xlfn.BYROW(B65, _xlfn.LAMBDA(_xlpm.party,
   SUMIFS(ledger!J:J, ledger!B:B, _xlpm.party, ledger!E:E, "&lt;&gt;*RD*", ledger!D:D, "Kataan", ledger!C:C, "&lt;&gt;December Closing CF")
))+ _xlfn.IFNA(L100, 0)</f>
        <v>0</v>
      </c>
      <c r="AB21" s="70" cm="1">
        <f t="array" ref="AB21">_xlfn.BYROW(B65, _xlfn.LAMBDA(_xlpm.party,
   SUMIFS(ledger!J:J, ledger!B:B, _xlpm.party, ledger!E:E, "&lt;&gt;*RD*", ledger!D:D, "Munaar", ledger!C:C, "&lt;&gt;December Closing CF")
))+ _xlfn.IFNA(M100, 0)</f>
        <v>0</v>
      </c>
      <c r="AC21" s="39">
        <f t="shared" si="1"/>
        <v>6091484.0892465264</v>
      </c>
      <c r="AD21" s="22">
        <f>(SUMIF(Table14[Party],Q21,Table14[Credit]))+_xlfn.IFNA(O100,0)</f>
        <v>6024187</v>
      </c>
      <c r="AE21" s="33">
        <f t="shared" si="2"/>
        <v>67297.089246526361</v>
      </c>
      <c r="AF21" s="21">
        <v>10</v>
      </c>
      <c r="AG21" s="21">
        <v>13</v>
      </c>
    </row>
    <row r="22" spans="2:33" x14ac:dyDescent="0.3">
      <c r="C22" s="18"/>
      <c r="I22" t="s">
        <v>188</v>
      </c>
      <c r="Q22" s="21" t="str">
        <v>Shafique Ansari</v>
      </c>
      <c r="R22" s="22" cm="1">
        <f t="array" ref="R22">_xlfn.BYROW(B66,_xlfn.LAMBDA(_xlpm.party,SUMIFS(ledger!G:G,ledger!B:B,_xlpm.party,ledger!E:E,"&lt;&gt;*RD*")))+_xlfn.IFNA(C101,0)</f>
        <v>82290</v>
      </c>
      <c r="S22" s="22" cm="1">
        <f t="array" ref="S22">_xlfn.BYROW(B66, _xlfn.LAMBDA(_xlpm.party, SUMIFS(ledger!G:G, ledger!B:B, _xlpm.party, ledger!E:E, "&lt;&gt;*RD*") / 1.0936 ))+_xlfn.IFNA(D101,0)</f>
        <v>75246.891002194592</v>
      </c>
      <c r="T22" s="22" cm="1">
        <f t="array" ref="T22">(_xlfn.BYROW(B66,_xlfn.LAMBDA(_xlpm.party,SUMIFS(ledger!G:G,ledger!B:B,_xlpm.party,ledger!E:E,"&lt;&gt;*RD*",ledger!D:D,"Chamki")+SUMIFS(ledger!G:G, ledger!B:B, _xlpm.party, ledger!E:E, "&lt;&gt;*RD*", ledger!D:D, "Crinkle")))/1.0936)+_xlfn.IFNA(E101,0)</f>
        <v>64300.475493782011</v>
      </c>
      <c r="U22" s="70" cm="1">
        <f t="array" ref="U22">(_xlfn.BYROW(B66,_xlfn.LAMBDA(_xlpm.party,SUMIFS(ledger!G:G,ledger!B:B,_xlpm.party,ledger!E:E,"&lt;&gt;*RD*",ledger!D:D,"Silky")))/1.0936)+_xlfn.IFNA(F101,0)</f>
        <v>7565.8376005852242</v>
      </c>
      <c r="V22" s="22" cm="1">
        <f t="array" ref="V22">(_xlfn.BYROW(B66,_xlfn.LAMBDA(_xlpm.party,
(SUMIFS(ledger!J:J,ledger!B:B,_xlpm.party,ledger!E:E,"&lt;&gt;*RD*",ledger!D:D,"Chamki",ledger!C:C,"&lt;&gt;December Closing CF")+
SUMIFS(ledger!J:J,ledger!B:B,_xlpm.party,ledger!E:E,"&lt;&gt;*RD*",ledger!D:D,"Crinkle",ledger!C:C,"&lt;&gt;December Closing CF")
)+_xlfn.IFNA(G101,0))))</f>
        <v>643004.75493782014</v>
      </c>
      <c r="W22" s="70" cm="1">
        <f t="array" ref="W22">_xlfn.BYROW(B66, _xlfn.LAMBDA(_xlpm.party,
   SUMIFS(ledger!J:J, ledger!B:B, _xlpm.party, ledger!E:E, "&lt;&gt;*RD*", ledger!D:D, "Silky", ledger!C:C, "&lt;&gt;December Closing CF")
)) + _xlfn.IFNA(H101, 0)</f>
        <v>98355.888807607917</v>
      </c>
      <c r="X22" s="70" cm="1">
        <f t="array" ref="X22">_xlfn.BYROW(B66, _xlfn.LAMBDA(_xlpm.party,
   SUMIFS(ledger!J:J, ledger!B:B, _xlpm.party, ledger!E:E, "&lt;&gt;*RD*", ledger!D:D, "Slub", ledger!C:C, "&lt;&gt;December Closing CF")
))+ _xlfn.IFNA(I101, 0)</f>
        <v>0</v>
      </c>
      <c r="Y22" s="70" cm="1">
        <f t="array" ref="Y22">_xlfn.BYROW(B66, _xlfn.LAMBDA(_xlpm.party,
   SUMIFS(ledger!J:J, ledger!B:B, _xlpm.party, ledger!E:E, "&lt;&gt;*RD*", ledger!D:D, "Satin", ledger!C:C, "&lt;&gt;December Closing CF")
))+ _xlfn.IFNA(J101, 0)</f>
        <v>94656.181419166067</v>
      </c>
      <c r="Z22" s="70" cm="1">
        <f t="array" ref="Z22">_xlfn.BYROW(B66, _xlfn.LAMBDA(_xlpm.party,
   SUMIFS(ledger!J:J, ledger!B:B, _xlpm.party, ledger!E:E, "&lt;&gt;*RD*", ledger!D:D, "Black-Chamki", ledger!C:C, "&lt;&gt;December Closing CF")
))+ _xlfn.IFNA(K101, 0)</f>
        <v>0</v>
      </c>
      <c r="AA22" s="70" cm="1">
        <f t="array" ref="AA22">_xlfn.BYROW(B66, _xlfn.LAMBDA(_xlpm.party,
   SUMIFS(ledger!J:J, ledger!B:B, _xlpm.party, ledger!E:E, "&lt;&gt;*RD*", ledger!D:D, "Kataan", ledger!C:C, "&lt;&gt;December Closing CF")
))+ _xlfn.IFNA(L101, 0)</f>
        <v>0</v>
      </c>
      <c r="AB22" s="70" cm="1">
        <f t="array" ref="AB22">_xlfn.BYROW(B66, _xlfn.LAMBDA(_xlpm.party,
   SUMIFS(ledger!J:J, ledger!B:B, _xlpm.party, ledger!E:E, "&lt;&gt;*RD*", ledger!D:D, "Munaar", ledger!C:C, "&lt;&gt;December Closing CF")
))+ _xlfn.IFNA(M101, 0)</f>
        <v>0</v>
      </c>
      <c r="AC22" s="39">
        <f t="shared" si="1"/>
        <v>836016.82516459411</v>
      </c>
      <c r="AD22" s="22">
        <f>(SUMIF(Table14[Party],Q22,Table14[Credit]))+_xlfn.IFNA(O101,0)</f>
        <v>835660</v>
      </c>
      <c r="AE22" s="33">
        <f t="shared" si="2"/>
        <v>356.82516459410544</v>
      </c>
      <c r="AF22" s="21">
        <v>10</v>
      </c>
      <c r="AG22" s="21">
        <v>13</v>
      </c>
    </row>
    <row r="23" spans="2:33" x14ac:dyDescent="0.3">
      <c r="B23" s="24" t="s">
        <v>31</v>
      </c>
      <c r="C23" s="37">
        <f>SUM(N49:N81)</f>
        <v>20808859.729334313</v>
      </c>
      <c r="D23" t="s">
        <v>32</v>
      </c>
      <c r="I23" t="s">
        <v>191</v>
      </c>
      <c r="Q23" s="21" t="str">
        <v>Amjad sohail</v>
      </c>
      <c r="R23" s="22" cm="1">
        <f t="array" ref="R23">_xlfn.BYROW(B67,_xlfn.LAMBDA(_xlpm.party,SUMIFS(ledger!G:G,ledger!B:B,_xlpm.party,ledger!E:E,"&lt;&gt;*RD*")))+_xlfn.IFNA(C102,0)</f>
        <v>445530</v>
      </c>
      <c r="S23" s="22" cm="1">
        <f t="array" ref="S23">_xlfn.BYROW(B67, _xlfn.LAMBDA(_xlpm.party, SUMIFS(ledger!G:G, ledger!B:B, _xlpm.party, ledger!E:E, "&lt;&gt;*RD*") / 1.0936 ))+_xlfn.IFNA(D102,0)</f>
        <v>407397.58595464518</v>
      </c>
      <c r="T23" s="22" cm="1">
        <f t="array" ref="T23">(_xlfn.BYROW(B67,_xlfn.LAMBDA(_xlpm.party,SUMIFS(ledger!G:G,ledger!B:B,_xlpm.party,ledger!E:E,"&lt;&gt;*RD*",ledger!D:D,"Chamki")+SUMIFS(ledger!G:G, ledger!B:B, _xlpm.party, ledger!E:E, "&lt;&gt;*RD*", ledger!D:D, "Crinkle")))/1.0936)+_xlfn.IFNA(E102,0)</f>
        <v>360797.36649597657</v>
      </c>
      <c r="U23" s="70" cm="1">
        <f t="array" ref="U23">(_xlfn.BYROW(B67,_xlfn.LAMBDA(_xlpm.party,SUMIFS(ledger!G:G,ledger!B:B,_xlpm.party,ledger!E:E,"&lt;&gt;*RD*",ledger!D:D,"Silky")))/1.0936)+_xlfn.IFNA(F102,0)</f>
        <v>46600.219458668624</v>
      </c>
      <c r="V23" s="22" cm="1">
        <f t="array" ref="V23">(_xlfn.BYROW(B67,_xlfn.LAMBDA(_xlpm.party,
(SUMIFS(ledger!J:J,ledger!B:B,_xlpm.party,ledger!E:E,"&lt;&gt;*RD*",ledger!D:D,"Chamki",ledger!C:C,"&lt;&gt;December Closing CF")+
SUMIFS(ledger!J:J,ledger!B:B,_xlpm.party,ledger!E:E,"&lt;&gt;*RD*",ledger!D:D,"Crinkle",ledger!C:C,"&lt;&gt;December Closing CF")
)+_xlfn.IFNA(G102,0))))</f>
        <v>3607973.6649597664</v>
      </c>
      <c r="W23" s="70" cm="1">
        <f t="array" ref="W23">_xlfn.BYROW(B67, _xlfn.LAMBDA(_xlpm.party,
   SUMIFS(ledger!J:J, ledger!B:B, _xlpm.party, ledger!E:E, "&lt;&gt;*RD*", ledger!D:D, "Silky", ledger!C:C, "&lt;&gt;December Closing CF")
)) + _xlfn.IFNA(H102, 0)</f>
        <v>605802.85296269215</v>
      </c>
      <c r="X23" s="70" cm="1">
        <f t="array" ref="X23">_xlfn.BYROW(B67, _xlfn.LAMBDA(_xlpm.party,
   SUMIFS(ledger!J:J, ledger!B:B, _xlpm.party, ledger!E:E, "&lt;&gt;*RD*", ledger!D:D, "Slub", ledger!C:C, "&lt;&gt;December Closing CF")
))+ _xlfn.IFNA(I102, 0)</f>
        <v>0</v>
      </c>
      <c r="Y23" s="70" cm="1">
        <f t="array" ref="Y23">_xlfn.BYROW(B67, _xlfn.LAMBDA(_xlpm.party,
   SUMIFS(ledger!J:J, ledger!B:B, _xlpm.party, ledger!E:E, "&lt;&gt;*RD*", ledger!D:D, "Satin", ledger!C:C, "&lt;&gt;December Closing CF")
))+ _xlfn.IFNA(J102, 0)</f>
        <v>0</v>
      </c>
      <c r="Z23" s="70" cm="1">
        <f t="array" ref="Z23">_xlfn.BYROW(B67, _xlfn.LAMBDA(_xlpm.party,
   SUMIFS(ledger!J:J, ledger!B:B, _xlpm.party, ledger!E:E, "&lt;&gt;*RD*", ledger!D:D, "Black-Chamki", ledger!C:C, "&lt;&gt;December Closing CF")
))+ _xlfn.IFNA(K102, 0)</f>
        <v>0</v>
      </c>
      <c r="AA23" s="70" cm="1">
        <f t="array" ref="AA23">_xlfn.BYROW(B67, _xlfn.LAMBDA(_xlpm.party,
   SUMIFS(ledger!J:J, ledger!B:B, _xlpm.party, ledger!E:E, "&lt;&gt;*RD*", ledger!D:D, "Kataan", ledger!C:C, "&lt;&gt;December Closing CF")
))+ _xlfn.IFNA(L102, 0)</f>
        <v>0</v>
      </c>
      <c r="AB23" s="70" cm="1">
        <f t="array" ref="AB23">_xlfn.BYROW(B67, _xlfn.LAMBDA(_xlpm.party,
   SUMIFS(ledger!J:J, ledger!B:B, _xlpm.party, ledger!E:E, "&lt;&gt;*RD*", ledger!D:D, "Munaar", ledger!C:C, "&lt;&gt;December Closing CF")
))+ _xlfn.IFNA(M102, 0)</f>
        <v>0</v>
      </c>
      <c r="AC23" s="39">
        <f t="shared" si="1"/>
        <v>4213776.5179224582</v>
      </c>
      <c r="AD23" s="22">
        <f>(SUMIF(Table14[Party],Q23,Table14[Credit]))+_xlfn.IFNA(O102,0)</f>
        <v>4417830</v>
      </c>
      <c r="AE23" s="33">
        <f t="shared" si="2"/>
        <v>-204053.48207754176</v>
      </c>
      <c r="AF23" s="21">
        <v>10</v>
      </c>
      <c r="AG23" s="21">
        <v>13</v>
      </c>
    </row>
    <row r="24" spans="2:33" x14ac:dyDescent="0.3">
      <c r="I24" t="s">
        <v>190</v>
      </c>
      <c r="Q24" t="str">
        <v>Salman Zaffar</v>
      </c>
      <c r="R24" s="22" cm="1">
        <f t="array" ref="R24">_xlfn.BYROW(B68,_xlfn.LAMBDA(_xlpm.party,SUMIFS(ledger!G:G,ledger!B:B,_xlpm.party,ledger!E:E,"&lt;&gt;*RD*")))+_xlfn.IFNA(C103,0)</f>
        <v>344332</v>
      </c>
      <c r="S24" s="22" cm="1">
        <f t="array" ref="S24">_xlfn.BYROW(B68, _xlfn.LAMBDA(_xlpm.party, SUMIFS(ledger!G:G, ledger!B:B, _xlpm.party, ledger!E:E, "&lt;&gt;*RD*") / 1.0936 ))+_xlfn.IFNA(D103,0)</f>
        <v>314861.00950987567</v>
      </c>
      <c r="T24" s="22" cm="1">
        <f t="array" ref="T24">(_xlfn.BYROW(B68,_xlfn.LAMBDA(_xlpm.party,SUMIFS(ledger!G:G,ledger!B:B,_xlpm.party,ledger!E:E,"&lt;&gt;*RD*",ledger!D:D,"Chamki")+SUMIFS(ledger!G:G, ledger!B:B, _xlpm.party, ledger!E:E, "&lt;&gt;*RD*", ledger!D:D, "Crinkle")))/1.0936)+_xlfn.IFNA(E103,0)</f>
        <v>72939.831748354074</v>
      </c>
      <c r="U24" s="70" cm="1">
        <f t="array" ref="U24">(_xlfn.BYROW(B68,_xlfn.LAMBDA(_xlpm.party,SUMIFS(ledger!G:G,ledger!B:B,_xlpm.party,ledger!E:E,"&lt;&gt;*RD*",ledger!D:D,"Silky")))/1.0936)+_xlfn.IFNA(F103,0)</f>
        <v>31409.107534747625</v>
      </c>
      <c r="V24" s="22" cm="1">
        <f t="array" ref="V24">(_xlfn.BYROW(B68,_xlfn.LAMBDA(_xlpm.party,
(SUMIFS(ledger!J:J,ledger!B:B,_xlpm.party,ledger!E:E,"&lt;&gt;*RD*",ledger!D:D,"Chamki",ledger!C:C,"&lt;&gt;December Closing CF")+
SUMIFS(ledger!J:J,ledger!B:B,_xlpm.party,ledger!E:E,"&lt;&gt;*RD*",ledger!D:D,"Crinkle",ledger!C:C,"&lt;&gt;December Closing CF")
)+_xlfn.IFNA(G103,0))))</f>
        <v>729398.31748354062</v>
      </c>
      <c r="W24" s="70" cm="1">
        <f t="array" ref="W24">_xlfn.BYROW(B68, _xlfn.LAMBDA(_xlpm.party,
   SUMIFS(ledger!J:J, ledger!B:B, _xlpm.party, ledger!E:E, "&lt;&gt;*RD*", ledger!D:D, "Silky", ledger!C:C, "&lt;&gt;December Closing CF")
)) + _xlfn.IFNA(H103, 0)</f>
        <v>408318.39795171918</v>
      </c>
      <c r="X24" s="70" cm="1">
        <f t="array" ref="X24">_xlfn.BYROW(B68, _xlfn.LAMBDA(_xlpm.party,
   SUMIFS(ledger!J:J, ledger!B:B, _xlpm.party, ledger!E:E, "&lt;&gt;*RD*", ledger!D:D, "Slub", ledger!C:C, "&lt;&gt;December Closing CF")
))+ _xlfn.IFNA(I103, 0)</f>
        <v>0</v>
      </c>
      <c r="Y24" s="70" cm="1">
        <f t="array" ref="Y24">_xlfn.BYROW(B68, _xlfn.LAMBDA(_xlpm.party,
   SUMIFS(ledger!J:J, ledger!B:B, _xlpm.party, ledger!E:E, "&lt;&gt;*RD*", ledger!D:D, "Satin", ledger!C:C, "&lt;&gt;December Closing CF")
))+ _xlfn.IFNA(J103, 0)</f>
        <v>0</v>
      </c>
      <c r="Z24" s="70" cm="1">
        <f t="array" ref="Z24">_xlfn.BYROW(B68, _xlfn.LAMBDA(_xlpm.party,
   SUMIFS(ledger!J:J, ledger!B:B, _xlpm.party, ledger!E:E, "&lt;&gt;*RD*", ledger!D:D, "Black-Chamki", ledger!C:C, "&lt;&gt;December Closing CF")
))+ _xlfn.IFNA(K103, 0)</f>
        <v>161653.2553035845</v>
      </c>
      <c r="AA24" s="70" cm="1">
        <f t="array" ref="AA24">_xlfn.BYROW(B68, _xlfn.LAMBDA(_xlpm.party,
   SUMIFS(ledger!J:J, ledger!B:B, _xlpm.party, ledger!E:E, "&lt;&gt;*RD*", ledger!D:D, "Kataan", ledger!C:C, "&lt;&gt;December Closing CF")
))+ _xlfn.IFNA(L103, 0)</f>
        <v>1970409.6561814193</v>
      </c>
      <c r="AB24" s="70" cm="1">
        <f t="array" ref="AB24">_xlfn.BYROW(B68, _xlfn.LAMBDA(_xlpm.party,
   SUMIFS(ledger!J:J, ledger!B:B, _xlpm.party, ledger!E:E, "&lt;&gt;*RD*", ledger!D:D, "Munaar", ledger!C:C, "&lt;&gt;December Closing CF")
))+ _xlfn.IFNA(M103, 0)</f>
        <v>0</v>
      </c>
      <c r="AC24" s="39">
        <f t="shared" si="1"/>
        <v>3269779.6269202633</v>
      </c>
      <c r="AD24" s="22">
        <f>(SUMIF(Table14[Party],Q24,Table14[Credit]))+_xlfn.IFNA(O103,0)</f>
        <v>3296025</v>
      </c>
      <c r="AE24" s="33">
        <f t="shared" si="2"/>
        <v>-26245.373079736717</v>
      </c>
      <c r="AF24" s="21">
        <v>10</v>
      </c>
      <c r="AG24" s="21">
        <v>13</v>
      </c>
    </row>
    <row r="25" spans="2:33" x14ac:dyDescent="0.3">
      <c r="I25" t="s">
        <v>195</v>
      </c>
      <c r="Q25" t="str">
        <v>Shahid Qasayi</v>
      </c>
      <c r="R25" s="22" cm="1">
        <f t="array" ref="R25">_xlfn.BYROW(B69,_xlfn.LAMBDA(_xlpm.party,SUMIFS(ledger!G:G,ledger!B:B,_xlpm.party,ledger!E:E,"&lt;&gt;*RD*")))+_xlfn.IFNA(C104,0)</f>
        <v>394284</v>
      </c>
      <c r="S25" s="22" cm="1">
        <f t="array" ref="S25">_xlfn.BYROW(B69, _xlfn.LAMBDA(_xlpm.party, SUMIFS(ledger!G:G, ledger!B:B, _xlpm.party, ledger!E:E, "&lt;&gt;*RD*") / 1.0936 ))+_xlfn.IFNA(D104,0)</f>
        <v>360537.67373811267</v>
      </c>
      <c r="T25" s="22" cm="1">
        <f t="array" ref="T25">(_xlfn.BYROW(B69,_xlfn.LAMBDA(_xlpm.party,SUMIFS(ledger!G:G,ledger!B:B,_xlpm.party,ledger!E:E,"&lt;&gt;*RD*",ledger!D:D,"Chamki")+SUMIFS(ledger!G:G, ledger!B:B, _xlpm.party, ledger!E:E, "&lt;&gt;*RD*", ledger!D:D, "Crinkle")))/1.0936)+_xlfn.IFNA(E104,0)</f>
        <v>310998.53694220923</v>
      </c>
      <c r="U25" s="70" cm="1">
        <f t="array" ref="U25">(_xlfn.BYROW(B69,_xlfn.LAMBDA(_xlpm.party,SUMIFS(ledger!G:G,ledger!B:B,_xlpm.party,ledger!E:E,"&lt;&gt;*RD*",ledger!D:D,"Silky")))/1.0936)+_xlfn.IFNA(F104,0)</f>
        <v>0</v>
      </c>
      <c r="V25" s="22" cm="1">
        <f t="array" ref="V25">(_xlfn.BYROW(B69,_xlfn.LAMBDA(_xlpm.party,
(SUMIFS(ledger!J:J,ledger!B:B,_xlpm.party,ledger!E:E,"&lt;&gt;*RD*",ledger!D:D,"Chamki",ledger!C:C,"&lt;&gt;December Closing CF")+
SUMIFS(ledger!J:J,ledger!B:B,_xlpm.party,ledger!E:E,"&lt;&gt;*RD*",ledger!D:D,"Crinkle",ledger!C:C,"&lt;&gt;December Closing CF")
)+_xlfn.IFNA(G104,0))))</f>
        <v>3109985.3694220926</v>
      </c>
      <c r="W25" s="70" cm="1">
        <f t="array" ref="W25">_xlfn.BYROW(B69, _xlfn.LAMBDA(_xlpm.party,
   SUMIFS(ledger!J:J, ledger!B:B, _xlpm.party, ledger!E:E, "&lt;&gt;*RD*", ledger!D:D, "Silky", ledger!C:C, "&lt;&gt;December Closing CF")
)) + _xlfn.IFNA(H104, 0)</f>
        <v>0</v>
      </c>
      <c r="X25" s="70" cm="1">
        <f t="array" ref="X25">_xlfn.BYROW(B69, _xlfn.LAMBDA(_xlpm.party,
   SUMIFS(ledger!J:J, ledger!B:B, _xlpm.party, ledger!E:E, "&lt;&gt;*RD*", ledger!D:D, "Slub", ledger!C:C, "&lt;&gt;December Closing CF")
))+ _xlfn.IFNA(I104, 0)</f>
        <v>0</v>
      </c>
      <c r="Y25" s="70" cm="1">
        <f t="array" ref="Y25">_xlfn.BYROW(B69, _xlfn.LAMBDA(_xlpm.party,
   SUMIFS(ledger!J:J, ledger!B:B, _xlpm.party, ledger!E:E, "&lt;&gt;*RD*", ledger!D:D, "Satin", ledger!C:C, "&lt;&gt;December Closing CF")
))+ _xlfn.IFNA(J104, 0)</f>
        <v>0</v>
      </c>
      <c r="Z25" s="70" cm="1">
        <f t="array" ref="Z25">_xlfn.BYROW(B69, _xlfn.LAMBDA(_xlpm.party,
   SUMIFS(ledger!J:J, ledger!B:B, _xlpm.party, ledger!E:E, "&lt;&gt;*RD*", ledger!D:D, "Black-Chamki", ledger!C:C, "&lt;&gt;December Closing CF")
))+ _xlfn.IFNA(K104, 0)</f>
        <v>23767.373811265548</v>
      </c>
      <c r="AA25" s="70" cm="1">
        <f t="array" ref="AA25">_xlfn.BYROW(B69, _xlfn.LAMBDA(_xlpm.party,
   SUMIFS(ledger!J:J, ledger!B:B, _xlpm.party, ledger!E:E, "&lt;&gt;*RD*", ledger!D:D, "Kataan", ledger!C:C, "&lt;&gt;December Closing CF")
))+ _xlfn.IFNA(L104, 0)</f>
        <v>523143.74542794435</v>
      </c>
      <c r="AB25" s="70" cm="1">
        <f t="array" ref="AB25">_xlfn.BYROW(B69, _xlfn.LAMBDA(_xlpm.party,
   SUMIFS(ledger!J:J, ledger!B:B, _xlpm.party, ledger!E:E, "&lt;&gt;*RD*", ledger!D:D, "Munaar", ledger!C:C, "&lt;&gt;December Closing CF")
))+ _xlfn.IFNA(M104, 0)</f>
        <v>0</v>
      </c>
      <c r="AC25" s="39">
        <f t="shared" si="1"/>
        <v>3656896.4886613023</v>
      </c>
      <c r="AD25" s="22">
        <f>(SUMIF(Table14[Party],Q25,Table14[Credit]))+_xlfn.IFNA(O104,0)</f>
        <v>3625137</v>
      </c>
      <c r="AE25" s="33">
        <f t="shared" si="2"/>
        <v>31759.488661302254</v>
      </c>
      <c r="AF25" s="21">
        <v>10</v>
      </c>
      <c r="AG25" s="21">
        <v>13</v>
      </c>
    </row>
    <row r="26" spans="2:33" x14ac:dyDescent="0.3">
      <c r="I26" t="s">
        <v>200</v>
      </c>
      <c r="Q26" t="str">
        <v>Hameed corporation</v>
      </c>
      <c r="R26" s="22" cm="1">
        <f t="array" ref="R26">_xlfn.BYROW(B70,_xlfn.LAMBDA(_xlpm.party,SUMIFS(ledger!G:G,ledger!B:B,_xlpm.party,ledger!E:E,"&lt;&gt;*RD*")))+_xlfn.IFNA(C105,0)</f>
        <v>46404</v>
      </c>
      <c r="S26" s="22" cm="1">
        <f t="array" ref="S26">_xlfn.BYROW(B70, _xlfn.LAMBDA(_xlpm.party, SUMIFS(ledger!G:G, ledger!B:B, _xlpm.party, ledger!E:E, "&lt;&gt;*RD*") / 1.0936 ))+_xlfn.IFNA(D105,0)</f>
        <v>42432.333577176301</v>
      </c>
      <c r="T26" s="22" cm="1">
        <f t="array" ref="T26">(_xlfn.BYROW(B70,_xlfn.LAMBDA(_xlpm.party,SUMIFS(ledger!G:G,ledger!B:B,_xlpm.party,ledger!E:E,"&lt;&gt;*RD*",ledger!D:D,"Chamki")+SUMIFS(ledger!G:G, ledger!B:B, _xlpm.party, ledger!E:E, "&lt;&gt;*RD*", ledger!D:D, "Crinkle")))/1.0936)+_xlfn.IFNA(E105,0)</f>
        <v>42432.333577176301</v>
      </c>
      <c r="U26" s="70" cm="1">
        <f t="array" ref="U26">(_xlfn.BYROW(B70,_xlfn.LAMBDA(_xlpm.party,SUMIFS(ledger!G:G,ledger!B:B,_xlpm.party,ledger!E:E,"&lt;&gt;*RD*",ledger!D:D,"Silky")))/1.0936)+_xlfn.IFNA(F105,0)</f>
        <v>0</v>
      </c>
      <c r="V26" s="22" cm="1">
        <f t="array" ref="V26">(_xlfn.BYROW(B70,_xlfn.LAMBDA(_xlpm.party,
(SUMIFS(ledger!J:J,ledger!B:B,_xlpm.party,ledger!E:E,"&lt;&gt;*RD*",ledger!D:D,"Chamki",ledger!C:C,"&lt;&gt;December Closing CF")+
SUMIFS(ledger!J:J,ledger!B:B,_xlpm.party,ledger!E:E,"&lt;&gt;*RD*",ledger!D:D,"Crinkle",ledger!C:C,"&lt;&gt;December Closing CF")
)+_xlfn.IFNA(G105,0))))</f>
        <v>424323.335771763</v>
      </c>
      <c r="W26" s="70" cm="1">
        <f t="array" ref="W26">_xlfn.BYROW(B70, _xlfn.LAMBDA(_xlpm.party,
   SUMIFS(ledger!J:J, ledger!B:B, _xlpm.party, ledger!E:E, "&lt;&gt;*RD*", ledger!D:D, "Silky", ledger!C:C, "&lt;&gt;December Closing CF")
)) + _xlfn.IFNA(H105, 0)</f>
        <v>0</v>
      </c>
      <c r="X26" s="70" cm="1">
        <f t="array" ref="X26">_xlfn.BYROW(B70, _xlfn.LAMBDA(_xlpm.party,
   SUMIFS(ledger!J:J, ledger!B:B, _xlpm.party, ledger!E:E, "&lt;&gt;*RD*", ledger!D:D, "Slub", ledger!C:C, "&lt;&gt;December Closing CF")
))+ _xlfn.IFNA(I105, 0)</f>
        <v>0</v>
      </c>
      <c r="Y26" s="70" cm="1">
        <f t="array" ref="Y26">_xlfn.BYROW(B70, _xlfn.LAMBDA(_xlpm.party,
   SUMIFS(ledger!J:J, ledger!B:B, _xlpm.party, ledger!E:E, "&lt;&gt;*RD*", ledger!D:D, "Satin", ledger!C:C, "&lt;&gt;December Closing CF")
))+ _xlfn.IFNA(J105, 0)</f>
        <v>0</v>
      </c>
      <c r="Z26" s="70" cm="1">
        <f t="array" ref="Z26">_xlfn.BYROW(B70, _xlfn.LAMBDA(_xlpm.party,
   SUMIFS(ledger!J:J, ledger!B:B, _xlpm.party, ledger!E:E, "&lt;&gt;*RD*", ledger!D:D, "Black-Chamki", ledger!C:C, "&lt;&gt;December Closing CF")
))+ _xlfn.IFNA(K105, 0)</f>
        <v>0</v>
      </c>
      <c r="AA26" s="70" cm="1">
        <f t="array" ref="AA26">_xlfn.BYROW(B70, _xlfn.LAMBDA(_xlpm.party,
   SUMIFS(ledger!J:J, ledger!B:B, _xlpm.party, ledger!E:E, "&lt;&gt;*RD*", ledger!D:D, "Kataan", ledger!C:C, "&lt;&gt;December Closing CF")
))+ _xlfn.IFNA(L105, 0)</f>
        <v>0</v>
      </c>
      <c r="AB26" s="70" cm="1">
        <f t="array" ref="AB26">_xlfn.BYROW(B70, _xlfn.LAMBDA(_xlpm.party,
   SUMIFS(ledger!J:J, ledger!B:B, _xlpm.party, ledger!E:E, "&lt;&gt;*RD*", ledger!D:D, "Munaar", ledger!C:C, "&lt;&gt;December Closing CF")
))+ _xlfn.IFNA(M105, 0)</f>
        <v>0</v>
      </c>
      <c r="AC26" s="39">
        <f t="shared" si="1"/>
        <v>424323.335771763</v>
      </c>
      <c r="AD26" s="22">
        <f>(SUMIF(Table14[Party],Q26,Table14[Credit]))+_xlfn.IFNA(O105,0)</f>
        <v>424323</v>
      </c>
      <c r="AE26" s="33">
        <f t="shared" si="2"/>
        <v>0.33577176299877465</v>
      </c>
      <c r="AF26" s="21">
        <v>10</v>
      </c>
      <c r="AG26" s="21">
        <v>13</v>
      </c>
    </row>
    <row r="27" spans="2:33" x14ac:dyDescent="0.3">
      <c r="I27" t="s">
        <v>202</v>
      </c>
      <c r="Q27" t="str">
        <v>ibraheem behraam</v>
      </c>
      <c r="R27" s="22" cm="1">
        <f t="array" ref="R27">_xlfn.BYROW(B71,_xlfn.LAMBDA(_xlpm.party,SUMIFS(ledger!G:G,ledger!B:B,_xlpm.party,ledger!E:E,"&lt;&gt;*RD*")))+_xlfn.IFNA(C106,0)</f>
        <v>122386</v>
      </c>
      <c r="S27" s="22" cm="1">
        <f t="array" ref="S27">_xlfn.BYROW(B71, _xlfn.LAMBDA(_xlpm.party, SUMIFS(ledger!G:G, ledger!B:B, _xlpm.party, ledger!E:E, "&lt;&gt;*RD*") / 1.0936 ))+_xlfn.IFNA(D106,0)</f>
        <v>111911.11923920995</v>
      </c>
      <c r="T27" s="22" cm="1">
        <f t="array" ref="T27">(_xlfn.BYROW(B71,_xlfn.LAMBDA(_xlpm.party,SUMIFS(ledger!G:G,ledger!B:B,_xlpm.party,ledger!E:E,"&lt;&gt;*RD*",ledger!D:D,"Chamki")+SUMIFS(ledger!G:G, ledger!B:B, _xlpm.party, ledger!E:E, "&lt;&gt;*RD*", ledger!D:D, "Crinkle")))/1.0936)+_xlfn.IFNA(E106,0)</f>
        <v>0</v>
      </c>
      <c r="U27" s="70" cm="1">
        <f t="array" ref="U27">(_xlfn.BYROW(B71,_xlfn.LAMBDA(_xlpm.party,SUMIFS(ledger!G:G,ledger!B:B,_xlpm.party,ledger!E:E,"&lt;&gt;*RD*",ledger!D:D,"Silky")))/1.0936)+_xlfn.IFNA(F106,0)</f>
        <v>111911.11923920995</v>
      </c>
      <c r="V27" s="22" cm="1">
        <f t="array" ref="V27">(_xlfn.BYROW(B71,_xlfn.LAMBDA(_xlpm.party,
(SUMIFS(ledger!J:J,ledger!B:B,_xlpm.party,ledger!E:E,"&lt;&gt;*RD*",ledger!D:D,"Chamki",ledger!C:C,"&lt;&gt;December Closing CF")+
SUMIFS(ledger!J:J,ledger!B:B,_xlpm.party,ledger!E:E,"&lt;&gt;*RD*",ledger!D:D,"Crinkle",ledger!C:C,"&lt;&gt;December Closing CF")
)+_xlfn.IFNA(G106,0))))</f>
        <v>0</v>
      </c>
      <c r="W27" s="70" cm="1">
        <f t="array" ref="W27">_xlfn.BYROW(B71, _xlfn.LAMBDA(_xlpm.party,
   SUMIFS(ledger!J:J, ledger!B:B, _xlpm.party, ledger!E:E, "&lt;&gt;*RD*", ledger!D:D, "Silky", ledger!C:C, "&lt;&gt;December Closing CF")
)) + _xlfn.IFNA(H106, 0)</f>
        <v>1454844.5501097296</v>
      </c>
      <c r="X27" s="70" cm="1">
        <f t="array" ref="X27">_xlfn.BYROW(B71, _xlfn.LAMBDA(_xlpm.party,
   SUMIFS(ledger!J:J, ledger!B:B, _xlpm.party, ledger!E:E, "&lt;&gt;*RD*", ledger!D:D, "Slub", ledger!C:C, "&lt;&gt;December Closing CF")
))+ _xlfn.IFNA(I106, 0)</f>
        <v>0</v>
      </c>
      <c r="Y27" s="70" cm="1">
        <f t="array" ref="Y27">_xlfn.BYROW(B71, _xlfn.LAMBDA(_xlpm.party,
   SUMIFS(ledger!J:J, ledger!B:B, _xlpm.party, ledger!E:E, "&lt;&gt;*RD*", ledger!D:D, "Satin", ledger!C:C, "&lt;&gt;December Closing CF")
))+ _xlfn.IFNA(J106, 0)</f>
        <v>0</v>
      </c>
      <c r="Z27" s="70" cm="1">
        <f t="array" ref="Z27">_xlfn.BYROW(B71, _xlfn.LAMBDA(_xlpm.party,
   SUMIFS(ledger!J:J, ledger!B:B, _xlpm.party, ledger!E:E, "&lt;&gt;*RD*", ledger!D:D, "Black-Chamki", ledger!C:C, "&lt;&gt;December Closing CF")
))+ _xlfn.IFNA(K106, 0)</f>
        <v>0</v>
      </c>
      <c r="AA27" s="70" cm="1">
        <f t="array" ref="AA27">_xlfn.BYROW(B71, _xlfn.LAMBDA(_xlpm.party,
   SUMIFS(ledger!J:J, ledger!B:B, _xlpm.party, ledger!E:E, "&lt;&gt;*RD*", ledger!D:D, "Kataan", ledger!C:C, "&lt;&gt;December Closing CF")
))+ _xlfn.IFNA(L106, 0)</f>
        <v>0</v>
      </c>
      <c r="AB27" s="70" cm="1">
        <f t="array" ref="AB27">_xlfn.BYROW(B71, _xlfn.LAMBDA(_xlpm.party,
   SUMIFS(ledger!J:J, ledger!B:B, _xlpm.party, ledger!E:E, "&lt;&gt;*RD*", ledger!D:D, "Munaar", ledger!C:C, "&lt;&gt;December Closing CF")
))+ _xlfn.IFNA(M106, 0)</f>
        <v>0</v>
      </c>
      <c r="AC27" s="39">
        <f t="shared" si="1"/>
        <v>1454844.5501097296</v>
      </c>
      <c r="AD27" s="22">
        <f>(SUMIF(Table14[Party],Q27,Table14[Credit]))+_xlfn.IFNA(O106,0)</f>
        <v>1415500</v>
      </c>
      <c r="AE27" s="33">
        <f t="shared" si="2"/>
        <v>39344.550109729636</v>
      </c>
      <c r="AF27" s="21">
        <v>10</v>
      </c>
      <c r="AG27" s="21">
        <v>13</v>
      </c>
    </row>
    <row r="28" spans="2:33" x14ac:dyDescent="0.3">
      <c r="Q28" t="str">
        <v>Zia-ullah karachi</v>
      </c>
      <c r="R28" s="22" cm="1">
        <f t="array" ref="R28">_xlfn.BYROW(B72,_xlfn.LAMBDA(_xlpm.party,SUMIFS(ledger!G:G,ledger!B:B,_xlpm.party,ledger!E:E,"&lt;&gt;*RD*")))+_xlfn.IFNA(C107,0)</f>
        <v>13622</v>
      </c>
      <c r="S28" s="22" cm="1">
        <f t="array" ref="S28">_xlfn.BYROW(B72, _xlfn.LAMBDA(_xlpm.party, SUMIFS(ledger!G:G, ledger!B:B, _xlpm.party, ledger!E:E, "&lt;&gt;*RD*") / 1.0936 ))+_xlfn.IFNA(D107,0)</f>
        <v>12456.108266276518</v>
      </c>
      <c r="T28" s="22" cm="1">
        <f t="array" ref="T28">(_xlfn.BYROW(B72,_xlfn.LAMBDA(_xlpm.party,SUMIFS(ledger!G:G,ledger!B:B,_xlpm.party,ledger!E:E,"&lt;&gt;*RD*",ledger!D:D,"Chamki")+SUMIFS(ledger!G:G, ledger!B:B, _xlpm.party, ledger!E:E, "&lt;&gt;*RD*", ledger!D:D, "Crinkle")))/1.0936)+_xlfn.IFNA(E107,0)</f>
        <v>12456.108266276518</v>
      </c>
      <c r="U28" s="70" cm="1">
        <f t="array" ref="U28">(_xlfn.BYROW(B72,_xlfn.LAMBDA(_xlpm.party,SUMIFS(ledger!G:G,ledger!B:B,_xlpm.party,ledger!E:E,"&lt;&gt;*RD*",ledger!D:D,"Silky")))/1.0936)+_xlfn.IFNA(F107,0)</f>
        <v>0</v>
      </c>
      <c r="V28" s="22" cm="1">
        <f t="array" ref="V28">(_xlfn.BYROW(B72,_xlfn.LAMBDA(_xlpm.party,
(SUMIFS(ledger!J:J,ledger!B:B,_xlpm.party,ledger!E:E,"&lt;&gt;*RD*",ledger!D:D,"Chamki",ledger!C:C,"&lt;&gt;December Closing CF")+
SUMIFS(ledger!J:J,ledger!B:B,_xlpm.party,ledger!E:E,"&lt;&gt;*RD*",ledger!D:D,"Crinkle",ledger!C:C,"&lt;&gt;December Closing CF")
)+_xlfn.IFNA(G107,0))))</f>
        <v>124561.08266276518</v>
      </c>
      <c r="W28" s="70" cm="1">
        <f t="array" ref="W28">_xlfn.BYROW(B72, _xlfn.LAMBDA(_xlpm.party,
   SUMIFS(ledger!J:J, ledger!B:B, _xlpm.party, ledger!E:E, "&lt;&gt;*RD*", ledger!D:D, "Silky", ledger!C:C, "&lt;&gt;December Closing CF")
)) + _xlfn.IFNA(H107, 0)</f>
        <v>0</v>
      </c>
      <c r="X28" s="70" cm="1">
        <f t="array" ref="X28">_xlfn.BYROW(B72, _xlfn.LAMBDA(_xlpm.party,
   SUMIFS(ledger!J:J, ledger!B:B, _xlpm.party, ledger!E:E, "&lt;&gt;*RD*", ledger!D:D, "Slub", ledger!C:C, "&lt;&gt;December Closing CF")
))+ _xlfn.IFNA(I107, 0)</f>
        <v>0</v>
      </c>
      <c r="Y28" s="70" cm="1">
        <f t="array" ref="Y28">_xlfn.BYROW(B72, _xlfn.LAMBDA(_xlpm.party,
   SUMIFS(ledger!J:J, ledger!B:B, _xlpm.party, ledger!E:E, "&lt;&gt;*RD*", ledger!D:D, "Satin", ledger!C:C, "&lt;&gt;December Closing CF")
))+ _xlfn.IFNA(J107, 0)</f>
        <v>0</v>
      </c>
      <c r="Z28" s="70" cm="1">
        <f t="array" ref="Z28">_xlfn.BYROW(B72, _xlfn.LAMBDA(_xlpm.party,
   SUMIFS(ledger!J:J, ledger!B:B, _xlpm.party, ledger!E:E, "&lt;&gt;*RD*", ledger!D:D, "Black-Chamki", ledger!C:C, "&lt;&gt;December Closing CF")
))+ _xlfn.IFNA(K107, 0)</f>
        <v>0</v>
      </c>
      <c r="AA28" s="70" cm="1">
        <f t="array" ref="AA28">_xlfn.BYROW(B72, _xlfn.LAMBDA(_xlpm.party,
   SUMIFS(ledger!J:J, ledger!B:B, _xlpm.party, ledger!E:E, "&lt;&gt;*RD*", ledger!D:D, "Kataan", ledger!C:C, "&lt;&gt;December Closing CF")
))+ _xlfn.IFNA(L107, 0)</f>
        <v>0</v>
      </c>
      <c r="AB28" s="70" cm="1">
        <f t="array" ref="AB28">_xlfn.BYROW(B72, _xlfn.LAMBDA(_xlpm.party,
   SUMIFS(ledger!J:J, ledger!B:B, _xlpm.party, ledger!E:E, "&lt;&gt;*RD*", ledger!D:D, "Munaar", ledger!C:C, "&lt;&gt;December Closing CF")
))+ _xlfn.IFNA(M107, 0)</f>
        <v>0</v>
      </c>
      <c r="AC28" s="39">
        <f t="shared" si="1"/>
        <v>124561.08266276518</v>
      </c>
      <c r="AD28" s="22">
        <f>(SUMIF(Table14[Party],Q28,Table14[Credit]))+_xlfn.IFNA(O107,0)</f>
        <v>124560</v>
      </c>
      <c r="AE28" s="33">
        <f t="shared" si="2"/>
        <v>1.0826627651840681</v>
      </c>
      <c r="AF28" s="21">
        <v>10</v>
      </c>
      <c r="AG28" s="21">
        <v>13</v>
      </c>
    </row>
    <row r="29" spans="2:33" x14ac:dyDescent="0.3">
      <c r="Q29" t="str">
        <v>ZA</v>
      </c>
      <c r="R29" s="22" cm="1">
        <f t="array" ref="R29">_xlfn.BYROW(B73,_xlfn.LAMBDA(_xlpm.party,SUMIFS(ledger!G:G,ledger!B:B,_xlpm.party,ledger!E:E,"&lt;&gt;*RD*")))+_xlfn.IFNA(C108,0)</f>
        <v>32399</v>
      </c>
      <c r="S29" s="22" cm="1">
        <f t="array" ref="S29">_xlfn.BYROW(B73, _xlfn.LAMBDA(_xlpm.party, SUMIFS(ledger!G:G, ledger!B:B, _xlpm.party, ledger!E:E, "&lt;&gt;*RD*") / 1.0936 ))+_xlfn.IFNA(D108,0)</f>
        <v>29626.005852231167</v>
      </c>
      <c r="T29" s="22" cm="1">
        <f t="array" ref="T29">(_xlfn.BYROW(B73,_xlfn.LAMBDA(_xlpm.party,SUMIFS(ledger!G:G,ledger!B:B,_xlpm.party,ledger!E:E,"&lt;&gt;*RD*",ledger!D:D,"Chamki")+SUMIFS(ledger!G:G, ledger!B:B, _xlpm.party, ledger!E:E, "&lt;&gt;*RD*", ledger!D:D, "Crinkle")))/1.0936)+_xlfn.IFNA(E108,0)</f>
        <v>0</v>
      </c>
      <c r="U29" s="70" cm="1">
        <f t="array" ref="U29">(_xlfn.BYROW(B73,_xlfn.LAMBDA(_xlpm.party,SUMIFS(ledger!G:G,ledger!B:B,_xlpm.party,ledger!E:E,"&lt;&gt;*RD*",ledger!D:D,"Silky")))/1.0936)+_xlfn.IFNA(F108,0)</f>
        <v>29626.005852231167</v>
      </c>
      <c r="V29" s="22" cm="1">
        <f t="array" ref="V29">(_xlfn.BYROW(B73,_xlfn.LAMBDA(_xlpm.party,
(SUMIFS(ledger!J:J,ledger!B:B,_xlpm.party,ledger!E:E,"&lt;&gt;*RD*",ledger!D:D,"Chamki",ledger!C:C,"&lt;&gt;December Closing CF")+
SUMIFS(ledger!J:J,ledger!B:B,_xlpm.party,ledger!E:E,"&lt;&gt;*RD*",ledger!D:D,"Crinkle",ledger!C:C,"&lt;&gt;December Closing CF")
)+_xlfn.IFNA(G108,0))))</f>
        <v>0</v>
      </c>
      <c r="W29" s="70" cm="1">
        <f t="array" ref="W29">_xlfn.BYROW(B73, _xlfn.LAMBDA(_xlpm.party,
   SUMIFS(ledger!J:J, ledger!B:B, _xlpm.party, ledger!E:E, "&lt;&gt;*RD*", ledger!D:D, "Silky", ledger!C:C, "&lt;&gt;December Closing CF")
)) + _xlfn.IFNA(H108, 0)</f>
        <v>385138.07607900514</v>
      </c>
      <c r="X29" s="70" cm="1">
        <f t="array" ref="X29">_xlfn.BYROW(B73, _xlfn.LAMBDA(_xlpm.party,
   SUMIFS(ledger!J:J, ledger!B:B, _xlpm.party, ledger!E:E, "&lt;&gt;*RD*", ledger!D:D, "Slub", ledger!C:C, "&lt;&gt;December Closing CF")
))+ _xlfn.IFNA(I108, 0)</f>
        <v>0</v>
      </c>
      <c r="Y29" s="70" cm="1">
        <f t="array" ref="Y29">_xlfn.BYROW(B73, _xlfn.LAMBDA(_xlpm.party,
   SUMIFS(ledger!J:J, ledger!B:B, _xlpm.party, ledger!E:E, "&lt;&gt;*RD*", ledger!D:D, "Satin", ledger!C:C, "&lt;&gt;December Closing CF")
))+ _xlfn.IFNA(J108, 0)</f>
        <v>0</v>
      </c>
      <c r="Z29" s="70" cm="1">
        <f t="array" ref="Z29">_xlfn.BYROW(B73, _xlfn.LAMBDA(_xlpm.party,
   SUMIFS(ledger!J:J, ledger!B:B, _xlpm.party, ledger!E:E, "&lt;&gt;*RD*", ledger!D:D, "Black-Chamki", ledger!C:C, "&lt;&gt;December Closing CF")
))+ _xlfn.IFNA(K108, 0)</f>
        <v>0</v>
      </c>
      <c r="AA29" s="70" cm="1">
        <f t="array" ref="AA29">_xlfn.BYROW(B73, _xlfn.LAMBDA(_xlpm.party,
   SUMIFS(ledger!J:J, ledger!B:B, _xlpm.party, ledger!E:E, "&lt;&gt;*RD*", ledger!D:D, "Kataan", ledger!C:C, "&lt;&gt;December Closing CF")
))+ _xlfn.IFNA(L108, 0)</f>
        <v>0</v>
      </c>
      <c r="AB29" s="70" cm="1">
        <f t="array" ref="AB29">_xlfn.BYROW(B73, _xlfn.LAMBDA(_xlpm.party,
   SUMIFS(ledger!J:J, ledger!B:B, _xlpm.party, ledger!E:E, "&lt;&gt;*RD*", ledger!D:D, "Munaar", ledger!C:C, "&lt;&gt;December Closing CF")
))+ _xlfn.IFNA(M108, 0)</f>
        <v>0</v>
      </c>
      <c r="AC29" s="39">
        <f t="shared" si="1"/>
        <v>385138.07607900514</v>
      </c>
      <c r="AD29" s="22">
        <f>(SUMIF(Table14[Party],Q29,Table14[Credit]))+_xlfn.IFNA(O108,0)</f>
        <v>250000</v>
      </c>
      <c r="AE29" s="33">
        <f t="shared" si="2"/>
        <v>135138.07607900514</v>
      </c>
      <c r="AF29" s="21">
        <v>10</v>
      </c>
      <c r="AG29" s="21">
        <v>13</v>
      </c>
    </row>
    <row r="30" spans="2:33" x14ac:dyDescent="0.3">
      <c r="Q30" t="str">
        <v>Ahmad Javaid</v>
      </c>
      <c r="R30" s="22" cm="1">
        <f t="array" ref="R30">_xlfn.BYROW(B74,_xlfn.LAMBDA(_xlpm.party,SUMIFS(ledger!G:G,ledger!B:B,_xlpm.party,ledger!E:E,"&lt;&gt;*RD*")))+_xlfn.IFNA(C109,0)</f>
        <v>12745</v>
      </c>
      <c r="S30" s="22" cm="1">
        <f t="array" ref="S30">_xlfn.BYROW(B74, _xlfn.LAMBDA(_xlpm.party, SUMIFS(ledger!G:G, ledger!B:B, _xlpm.party, ledger!E:E, "&lt;&gt;*RD*") / 1.0936 ))+_xlfn.IFNA(D109,0)</f>
        <v>11654.16971470373</v>
      </c>
      <c r="T30" s="22" cm="1">
        <f t="array" ref="T30">(_xlfn.BYROW(B74,_xlfn.LAMBDA(_xlpm.party,SUMIFS(ledger!G:G,ledger!B:B,_xlpm.party,ledger!E:E,"&lt;&gt;*RD*",ledger!D:D,"Chamki")+SUMIFS(ledger!G:G, ledger!B:B, _xlpm.party, ledger!E:E, "&lt;&gt;*RD*", ledger!D:D, "Crinkle")))/1.0936)+_xlfn.IFNA(E109,0)</f>
        <v>0</v>
      </c>
      <c r="U30" s="70" cm="1">
        <f t="array" ref="U30">(_xlfn.BYROW(B74,_xlfn.LAMBDA(_xlpm.party,SUMIFS(ledger!G:G,ledger!B:B,_xlpm.party,ledger!E:E,"&lt;&gt;*RD*",ledger!D:D,"Silky")))/1.0936)+_xlfn.IFNA(F109,0)</f>
        <v>0</v>
      </c>
      <c r="V30" s="22" cm="1">
        <f t="array" ref="V30">(_xlfn.BYROW(B74,_xlfn.LAMBDA(_xlpm.party,
(SUMIFS(ledger!J:J,ledger!B:B,_xlpm.party,ledger!E:E,"&lt;&gt;*RD*",ledger!D:D,"Chamki",ledger!C:C,"&lt;&gt;December Closing CF")+
SUMIFS(ledger!J:J,ledger!B:B,_xlpm.party,ledger!E:E,"&lt;&gt;*RD*",ledger!D:D,"Crinkle",ledger!C:C,"&lt;&gt;December Closing CF")
)+_xlfn.IFNA(G109,0))))</f>
        <v>0</v>
      </c>
      <c r="W30" s="70" cm="1">
        <f t="array" ref="W30">_xlfn.BYROW(B74, _xlfn.LAMBDA(_xlpm.party,
   SUMIFS(ledger!J:J, ledger!B:B, _xlpm.party, ledger!E:E, "&lt;&gt;*RD*", ledger!D:D, "Silky", ledger!C:C, "&lt;&gt;December Closing CF")
)) + _xlfn.IFNA(H109, 0)</f>
        <v>0</v>
      </c>
      <c r="X30" s="70" cm="1">
        <f t="array" ref="X30">_xlfn.BYROW(B74, _xlfn.LAMBDA(_xlpm.party,
   SUMIFS(ledger!J:J, ledger!B:B, _xlpm.party, ledger!E:E, "&lt;&gt;*RD*", ledger!D:D, "Slub", ledger!C:C, "&lt;&gt;December Closing CF")
))+ _xlfn.IFNA(I109, 0)</f>
        <v>0</v>
      </c>
      <c r="Y30" s="70" cm="1">
        <f t="array" ref="Y30">_xlfn.BYROW(B74, _xlfn.LAMBDA(_xlpm.party,
   SUMIFS(ledger!J:J, ledger!B:B, _xlpm.party, ledger!E:E, "&lt;&gt;*RD*", ledger!D:D, "Satin", ledger!C:C, "&lt;&gt;December Closing CF")
))+ _xlfn.IFNA(J109, 0)</f>
        <v>0</v>
      </c>
      <c r="Z30" s="70" cm="1">
        <f t="array" ref="Z30">_xlfn.BYROW(B74, _xlfn.LAMBDA(_xlpm.party,
   SUMIFS(ledger!J:J, ledger!B:B, _xlpm.party, ledger!E:E, "&lt;&gt;*RD*", ledger!D:D, "Black-Chamki", ledger!C:C, "&lt;&gt;December Closing CF")
))+ _xlfn.IFNA(K109, 0)</f>
        <v>0</v>
      </c>
      <c r="AA30" s="70" cm="1">
        <f t="array" ref="AA30">_xlfn.BYROW(B74, _xlfn.LAMBDA(_xlpm.party,
   SUMIFS(ledger!J:J, ledger!B:B, _xlpm.party, ledger!E:E, "&lt;&gt;*RD*", ledger!D:D, "Kataan", ledger!C:C, "&lt;&gt;December Closing CF")
))+ _xlfn.IFNA(L109, 0)</f>
        <v>0</v>
      </c>
      <c r="AB30" s="70" cm="1">
        <f t="array" ref="AB30">_xlfn.BYROW(B74, _xlfn.LAMBDA(_xlpm.party,
   SUMIFS(ledger!J:J, ledger!B:B, _xlpm.party, ledger!E:E, "&lt;&gt;*RD*", ledger!D:D, "Munaar", ledger!C:C, "&lt;&gt;December Closing CF")
))+ _xlfn.IFNA(M109, 0)</f>
        <v>151504.2062911485</v>
      </c>
      <c r="AC30" s="39">
        <f t="shared" si="1"/>
        <v>151504.2062911485</v>
      </c>
      <c r="AD30" s="22">
        <f>(SUMIF(Table14[Party],Q30,Table14[Credit]))+_xlfn.IFNA(O109,0)</f>
        <v>0</v>
      </c>
      <c r="AE30" s="33">
        <f t="shared" si="2"/>
        <v>151504.2062911485</v>
      </c>
      <c r="AF30" s="21">
        <v>10</v>
      </c>
      <c r="AG30" s="21">
        <v>13</v>
      </c>
    </row>
    <row r="31" spans="2:33" x14ac:dyDescent="0.3">
      <c r="Q31" t="str">
        <v>Rehman Ali</v>
      </c>
      <c r="R31" s="22" cm="1">
        <f t="array" ref="R31">_xlfn.BYROW(B75,_xlfn.LAMBDA(_xlpm.party,SUMIFS(ledger!G:G,ledger!B:B,_xlpm.party,ledger!E:E,"&lt;&gt;*RD*")))+_xlfn.IFNA(C110,0)</f>
        <v>50131</v>
      </c>
      <c r="S31" s="22" cm="1">
        <f t="array" ref="S31">_xlfn.BYROW(B75, _xlfn.LAMBDA(_xlpm.party, SUMIFS(ledger!G:G, ledger!B:B, _xlpm.party, ledger!E:E, "&lt;&gt;*RD*") / 1.0936 ))+_xlfn.IFNA(D110,0)</f>
        <v>45840.343818580841</v>
      </c>
      <c r="T31" s="22" cm="1">
        <f t="array" ref="T31">(_xlfn.BYROW(B75,_xlfn.LAMBDA(_xlpm.party,SUMIFS(ledger!G:G,ledger!B:B,_xlpm.party,ledger!E:E,"&lt;&gt;*RD*",ledger!D:D,"Chamki")+SUMIFS(ledger!G:G, ledger!B:B, _xlpm.party, ledger!E:E, "&lt;&gt;*RD*", ledger!D:D, "Crinkle")))/1.0936)+_xlfn.IFNA(E110,0)</f>
        <v>0</v>
      </c>
      <c r="U31" s="70" cm="1">
        <f t="array" ref="U31">(_xlfn.BYROW(B75,_xlfn.LAMBDA(_xlpm.party,SUMIFS(ledger!G:G,ledger!B:B,_xlpm.party,ledger!E:E,"&lt;&gt;*RD*",ledger!D:D,"Silky")))/1.0936)+_xlfn.IFNA(F110,0)</f>
        <v>45840.343818580841</v>
      </c>
      <c r="V31" s="22" cm="1">
        <f t="array" ref="V31">(_xlfn.BYROW(B75,_xlfn.LAMBDA(_xlpm.party,
(SUMIFS(ledger!J:J,ledger!B:B,_xlpm.party,ledger!E:E,"&lt;&gt;*RD*",ledger!D:D,"Chamki",ledger!C:C,"&lt;&gt;December Closing CF")+
SUMIFS(ledger!J:J,ledger!B:B,_xlpm.party,ledger!E:E,"&lt;&gt;*RD*",ledger!D:D,"Crinkle",ledger!C:C,"&lt;&gt;December Closing CF")
)+_xlfn.IFNA(G110,0))))</f>
        <v>0</v>
      </c>
      <c r="W31" s="70" cm="1">
        <f t="array" ref="W31">_xlfn.BYROW(B75, _xlfn.LAMBDA(_xlpm.party,
   SUMIFS(ledger!J:J, ledger!B:B, _xlpm.party, ledger!E:E, "&lt;&gt;*RD*", ledger!D:D, "Silky", ledger!C:C, "&lt;&gt;December Closing CF")
)) + _xlfn.IFNA(H110, 0)</f>
        <v>595924.46964155091</v>
      </c>
      <c r="X31" s="70" cm="1">
        <f t="array" ref="X31">_xlfn.BYROW(B75, _xlfn.LAMBDA(_xlpm.party,
   SUMIFS(ledger!J:J, ledger!B:B, _xlpm.party, ledger!E:E, "&lt;&gt;*RD*", ledger!D:D, "Slub", ledger!C:C, "&lt;&gt;December Closing CF")
))+ _xlfn.IFNA(I110, 0)</f>
        <v>0</v>
      </c>
      <c r="Y31" s="70" cm="1">
        <f t="array" ref="Y31">_xlfn.BYROW(B75, _xlfn.LAMBDA(_xlpm.party,
   SUMIFS(ledger!J:J, ledger!B:B, _xlpm.party, ledger!E:E, "&lt;&gt;*RD*", ledger!D:D, "Satin", ledger!C:C, "&lt;&gt;December Closing CF")
))+ _xlfn.IFNA(J110, 0)</f>
        <v>0</v>
      </c>
      <c r="Z31" s="70" cm="1">
        <f t="array" ref="Z31">_xlfn.BYROW(B75, _xlfn.LAMBDA(_xlpm.party,
   SUMIFS(ledger!J:J, ledger!B:B, _xlpm.party, ledger!E:E, "&lt;&gt;*RD*", ledger!D:D, "Black-Chamki", ledger!C:C, "&lt;&gt;December Closing CF")
))+ _xlfn.IFNA(K110, 0)</f>
        <v>0</v>
      </c>
      <c r="AA31" s="70" cm="1">
        <f t="array" ref="AA31">_xlfn.BYROW(B75, _xlfn.LAMBDA(_xlpm.party,
   SUMIFS(ledger!J:J, ledger!B:B, _xlpm.party, ledger!E:E, "&lt;&gt;*RD*", ledger!D:D, "Kataan", ledger!C:C, "&lt;&gt;December Closing CF")
))+ _xlfn.IFNA(L110, 0)</f>
        <v>0</v>
      </c>
      <c r="AB31" s="70" cm="1">
        <f t="array" ref="AB31">_xlfn.BYROW(B75, _xlfn.LAMBDA(_xlpm.party,
   SUMIFS(ledger!J:J, ledger!B:B, _xlpm.party, ledger!E:E, "&lt;&gt;*RD*", ledger!D:D, "Munaar", ledger!C:C, "&lt;&gt;December Closing CF")
))+ _xlfn.IFNA(M110, 0)</f>
        <v>0</v>
      </c>
      <c r="AC31" s="39">
        <f t="shared" si="1"/>
        <v>595924.46964155091</v>
      </c>
      <c r="AD31" s="22">
        <f>(SUMIF(Table14[Party],Q31,Table14[Credit]))+_xlfn.IFNA(O110,0)</f>
        <v>550000</v>
      </c>
      <c r="AE31" s="33">
        <f t="shared" si="2"/>
        <v>45924.46964155091</v>
      </c>
      <c r="AF31" s="21">
        <v>10</v>
      </c>
      <c r="AG31" s="21">
        <v>13</v>
      </c>
    </row>
    <row r="32" spans="2:33" x14ac:dyDescent="0.3">
      <c r="Q32" t="str">
        <v>Shani Badshah</v>
      </c>
      <c r="R32" s="22" cm="1">
        <f t="array" ref="R32">_xlfn.BYROW(B76,_xlfn.LAMBDA(_xlpm.party,SUMIFS(ledger!G:G,ledger!B:B,_xlpm.party,ledger!E:E,"&lt;&gt;*RD*")))+_xlfn.IFNA(C111,0)</f>
        <v>200033</v>
      </c>
      <c r="S32" s="22" cm="1">
        <f t="array" ref="S32">_xlfn.BYROW(B76, _xlfn.LAMBDA(_xlpm.party, SUMIFS(ledger!G:G, ledger!B:B, _xlpm.party, ledger!E:E, "&lt;&gt;*RD*") / 1.0936 ))+_xlfn.IFNA(D111,0)</f>
        <v>182912.39941477691</v>
      </c>
      <c r="T32" s="22" cm="1">
        <f t="array" ref="T32">(_xlfn.BYROW(B76,_xlfn.LAMBDA(_xlpm.party,SUMIFS(ledger!G:G,ledger!B:B,_xlpm.party,ledger!E:E,"&lt;&gt;*RD*",ledger!D:D,"Chamki")+SUMIFS(ledger!G:G, ledger!B:B, _xlpm.party, ledger!E:E, "&lt;&gt;*RD*", ledger!D:D, "Crinkle")))/1.0936)+_xlfn.IFNA(E111,0)</f>
        <v>96185.076810534025</v>
      </c>
      <c r="U32" s="70" cm="1">
        <f t="array" ref="U32">(_xlfn.BYROW(B76,_xlfn.LAMBDA(_xlpm.party,SUMIFS(ledger!G:G,ledger!B:B,_xlpm.party,ledger!E:E,"&lt;&gt;*RD*",ledger!D:D,"Silky")))/1.0936)+_xlfn.IFNA(F111,0)</f>
        <v>86727.322604242872</v>
      </c>
      <c r="V32" s="22" cm="1">
        <f t="array" ref="V32">(_xlfn.BYROW(B76,_xlfn.LAMBDA(_xlpm.party,
(SUMIFS(ledger!J:J,ledger!B:B,_xlpm.party,ledger!E:E,"&lt;&gt;*RD*",ledger!D:D,"Chamki",ledger!C:C,"&lt;&gt;December Closing CF")+
SUMIFS(ledger!J:J,ledger!B:B,_xlpm.party,ledger!E:E,"&lt;&gt;*RD*",ledger!D:D,"Crinkle",ledger!C:C,"&lt;&gt;December Closing CF")
)+_xlfn.IFNA(G111,0))))</f>
        <v>961850.76810534031</v>
      </c>
      <c r="W32" s="70" cm="1">
        <f t="array" ref="W32">_xlfn.BYROW(B76, _xlfn.LAMBDA(_xlpm.party,
   SUMIFS(ledger!J:J, ledger!B:B, _xlpm.party, ledger!E:E, "&lt;&gt;*RD*", ledger!D:D, "Silky", ledger!C:C, "&lt;&gt;December Closing CF")
)) + _xlfn.IFNA(H111, 0)</f>
        <v>1127455.1938551574</v>
      </c>
      <c r="X32" s="70" cm="1">
        <f t="array" ref="X32">_xlfn.BYROW(B76, _xlfn.LAMBDA(_xlpm.party,
   SUMIFS(ledger!J:J, ledger!B:B, _xlpm.party, ledger!E:E, "&lt;&gt;*RD*", ledger!D:D, "Slub", ledger!C:C, "&lt;&gt;December Closing CF")
))+ _xlfn.IFNA(I111, 0)</f>
        <v>0</v>
      </c>
      <c r="Y32" s="70" cm="1">
        <f t="array" ref="Y32">_xlfn.BYROW(B76, _xlfn.LAMBDA(_xlpm.party,
   SUMIFS(ledger!J:J, ledger!B:B, _xlpm.party, ledger!E:E, "&lt;&gt;*RD*", ledger!D:D, "Satin", ledger!C:C, "&lt;&gt;December Closing CF")
))+ _xlfn.IFNA(J111, 0)</f>
        <v>0</v>
      </c>
      <c r="Z32" s="70" cm="1">
        <f t="array" ref="Z32">_xlfn.BYROW(B76, _xlfn.LAMBDA(_xlpm.party,
   SUMIFS(ledger!J:J, ledger!B:B, _xlpm.party, ledger!E:E, "&lt;&gt;*RD*", ledger!D:D, "Black-Chamki", ledger!C:C, "&lt;&gt;December Closing CF")
))+ _xlfn.IFNA(K111, 0)</f>
        <v>0</v>
      </c>
      <c r="AA32" s="70" cm="1">
        <f t="array" ref="AA32">_xlfn.BYROW(B76, _xlfn.LAMBDA(_xlpm.party,
   SUMIFS(ledger!J:J, ledger!B:B, _xlpm.party, ledger!E:E, "&lt;&gt;*RD*", ledger!D:D, "Kataan", ledger!C:C, "&lt;&gt;December Closing CF")
))+ _xlfn.IFNA(L111, 0)</f>
        <v>0</v>
      </c>
      <c r="AB32" s="70" cm="1">
        <f t="array" ref="AB32">_xlfn.BYROW(B76, _xlfn.LAMBDA(_xlpm.party,
   SUMIFS(ledger!J:J, ledger!B:B, _xlpm.party, ledger!E:E, "&lt;&gt;*RD*", ledger!D:D, "Munaar", ledger!C:C, "&lt;&gt;December Closing CF")
))+ _xlfn.IFNA(M111, 0)</f>
        <v>0</v>
      </c>
      <c r="AC32" s="39">
        <f t="shared" si="1"/>
        <v>2089305.9619604978</v>
      </c>
      <c r="AD32" s="22">
        <f>(SUMIF(Table14[Party],Q32,Table14[Credit]))+_xlfn.IFNA(O111,0)</f>
        <v>1300000</v>
      </c>
      <c r="AE32" s="33">
        <f t="shared" si="2"/>
        <v>789305.96196049778</v>
      </c>
      <c r="AF32" s="21">
        <v>10</v>
      </c>
      <c r="AG32" s="21">
        <v>13</v>
      </c>
    </row>
    <row r="33" spans="2:33" x14ac:dyDescent="0.3">
      <c r="Q33" t="str">
        <v>Ahmad Shafique</v>
      </c>
      <c r="R33" s="22" cm="1">
        <f t="array" ref="R33">_xlfn.BYROW(B77,_xlfn.LAMBDA(_xlpm.party,SUMIFS(ledger!G:G,ledger!B:B,_xlpm.party,ledger!E:E,"&lt;&gt;*RD*")))+_xlfn.IFNA(C112,0)</f>
        <v>53541</v>
      </c>
      <c r="S33" s="22" cm="1">
        <f t="array" ref="S33">_xlfn.BYROW(B77, _xlfn.LAMBDA(_xlpm.party, SUMIFS(ledger!G:G, ledger!B:B, _xlpm.party, ledger!E:E, "&lt;&gt;*RD*") / 1.0936 ))+_xlfn.IFNA(D112,0)</f>
        <v>48958.485735186543</v>
      </c>
      <c r="T33" s="22" cm="1">
        <f t="array" ref="T33">(_xlfn.BYROW(B77,_xlfn.LAMBDA(_xlpm.party,SUMIFS(ledger!G:G,ledger!B:B,_xlpm.party,ledger!E:E,"&lt;&gt;*RD*",ledger!D:D,"Chamki")+SUMIFS(ledger!G:G, ledger!B:B, _xlpm.party, ledger!E:E, "&lt;&gt;*RD*", ledger!D:D, "Crinkle")))/1.0936)+_xlfn.IFNA(E112,0)</f>
        <v>0</v>
      </c>
      <c r="U33" s="70" cm="1">
        <f t="array" ref="U33">(_xlfn.BYROW(B77,_xlfn.LAMBDA(_xlpm.party,SUMIFS(ledger!G:G,ledger!B:B,_xlpm.party,ledger!E:E,"&lt;&gt;*RD*",ledger!D:D,"Silky")))/1.0936)+_xlfn.IFNA(F112,0)</f>
        <v>48958.485735186543</v>
      </c>
      <c r="V33" s="22" cm="1">
        <f t="array" ref="V33">(_xlfn.BYROW(B77,_xlfn.LAMBDA(_xlpm.party,
(SUMIFS(ledger!J:J,ledger!B:B,_xlpm.party,ledger!E:E,"&lt;&gt;*RD*",ledger!D:D,"Chamki",ledger!C:C,"&lt;&gt;December Closing CF")+
SUMIFS(ledger!J:J,ledger!B:B,_xlpm.party,ledger!E:E,"&lt;&gt;*RD*",ledger!D:D,"Crinkle",ledger!C:C,"&lt;&gt;December Closing CF")
)+_xlfn.IFNA(G112,0))))</f>
        <v>0</v>
      </c>
      <c r="W33" s="70" cm="1">
        <f t="array" ref="W33">_xlfn.BYROW(B77, _xlfn.LAMBDA(_xlpm.party,
   SUMIFS(ledger!J:J, ledger!B:B, _xlpm.party, ledger!E:E, "&lt;&gt;*RD*", ledger!D:D, "Silky", ledger!C:C, "&lt;&gt;December Closing CF")
)) + _xlfn.IFNA(H112, 0)</f>
        <v>636460.3145574251</v>
      </c>
      <c r="X33" s="70" cm="1">
        <f t="array" ref="X33">_xlfn.BYROW(B77, _xlfn.LAMBDA(_xlpm.party,
   SUMIFS(ledger!J:J, ledger!B:B, _xlpm.party, ledger!E:E, "&lt;&gt;*RD*", ledger!D:D, "Slub", ledger!C:C, "&lt;&gt;December Closing CF")
))+ _xlfn.IFNA(I112, 0)</f>
        <v>0</v>
      </c>
      <c r="Y33" s="70" cm="1">
        <f t="array" ref="Y33">_xlfn.BYROW(B77, _xlfn.LAMBDA(_xlpm.party,
   SUMIFS(ledger!J:J, ledger!B:B, _xlpm.party, ledger!E:E, "&lt;&gt;*RD*", ledger!D:D, "Satin", ledger!C:C, "&lt;&gt;December Closing CF")
))+ _xlfn.IFNA(J112, 0)</f>
        <v>0</v>
      </c>
      <c r="Z33" s="70" cm="1">
        <f t="array" ref="Z33">_xlfn.BYROW(B77, _xlfn.LAMBDA(_xlpm.party,
   SUMIFS(ledger!J:J, ledger!B:B, _xlpm.party, ledger!E:E, "&lt;&gt;*RD*", ledger!D:D, "Black-Chamki", ledger!C:C, "&lt;&gt;December Closing CF")
))+ _xlfn.IFNA(K112, 0)</f>
        <v>0</v>
      </c>
      <c r="AA33" s="70" cm="1">
        <f t="array" ref="AA33">_xlfn.BYROW(B77, _xlfn.LAMBDA(_xlpm.party,
   SUMIFS(ledger!J:J, ledger!B:B, _xlpm.party, ledger!E:E, "&lt;&gt;*RD*", ledger!D:D, "Kataan", ledger!C:C, "&lt;&gt;December Closing CF")
))+ _xlfn.IFNA(L112, 0)</f>
        <v>0</v>
      </c>
      <c r="AB33" s="70" cm="1">
        <f t="array" ref="AB33">_xlfn.BYROW(B77, _xlfn.LAMBDA(_xlpm.party,
   SUMIFS(ledger!J:J, ledger!B:B, _xlpm.party, ledger!E:E, "&lt;&gt;*RD*", ledger!D:D, "Munaar", ledger!C:C, "&lt;&gt;December Closing CF")
))+ _xlfn.IFNA(M112, 0)</f>
        <v>0</v>
      </c>
      <c r="AC33" s="39">
        <f t="shared" si="1"/>
        <v>636460.3145574251</v>
      </c>
      <c r="AD33" s="22">
        <f>(SUMIF(Table14[Party],Q33,Table14[Credit]))+_xlfn.IFNA(O112,0)</f>
        <v>636000</v>
      </c>
      <c r="AE33" s="33">
        <f t="shared" si="2"/>
        <v>460.3145574250957</v>
      </c>
      <c r="AF33" s="21">
        <v>10</v>
      </c>
      <c r="AG33" s="21">
        <v>13</v>
      </c>
    </row>
    <row r="34" spans="2:33" x14ac:dyDescent="0.3">
      <c r="Q34" t="str">
        <v>Hafiz Shawl</v>
      </c>
      <c r="R34" s="22" cm="1">
        <f t="array" ref="R34">_xlfn.BYROW(B78,_xlfn.LAMBDA(_xlpm.party,SUMIFS(ledger!G:G,ledger!B:B,_xlpm.party,ledger!E:E,"&lt;&gt;*RD*")))+_xlfn.IFNA(C113,0)</f>
        <v>1445</v>
      </c>
      <c r="S34" s="22" cm="1">
        <f t="array" ref="S34">_xlfn.BYROW(B78, _xlfn.LAMBDA(_xlpm.party, SUMIFS(ledger!G:G, ledger!B:B, _xlpm.party, ledger!E:E, "&lt;&gt;*RD*") / 1.0936 ))+_xlfn.IFNA(D113,0)</f>
        <v>1321.3240673006585</v>
      </c>
      <c r="T34" s="22" cm="1">
        <f t="array" ref="T34">(_xlfn.BYROW(B78,_xlfn.LAMBDA(_xlpm.party,SUMIFS(ledger!G:G,ledger!B:B,_xlpm.party,ledger!E:E,"&lt;&gt;*RD*",ledger!D:D,"Chamki")+SUMIFS(ledger!G:G, ledger!B:B, _xlpm.party, ledger!E:E, "&lt;&gt;*RD*", ledger!D:D, "Crinkle")))/1.0936)+_xlfn.IFNA(E113,0)</f>
        <v>0</v>
      </c>
      <c r="U34" s="70" cm="1">
        <f t="array" ref="U34">(_xlfn.BYROW(B78,_xlfn.LAMBDA(_xlpm.party,SUMIFS(ledger!G:G,ledger!B:B,_xlpm.party,ledger!E:E,"&lt;&gt;*RD*",ledger!D:D,"Silky")))/1.0936)+_xlfn.IFNA(F113,0)</f>
        <v>1321.3240673006585</v>
      </c>
      <c r="V34" s="22" cm="1">
        <f t="array" ref="V34">(_xlfn.BYROW(B78,_xlfn.LAMBDA(_xlpm.party,
(SUMIFS(ledger!J:J,ledger!B:B,_xlpm.party,ledger!E:E,"&lt;&gt;*RD*",ledger!D:D,"Chamki",ledger!C:C,"&lt;&gt;December Closing CF")+
SUMIFS(ledger!J:J,ledger!B:B,_xlpm.party,ledger!E:E,"&lt;&gt;*RD*",ledger!D:D,"Crinkle",ledger!C:C,"&lt;&gt;December Closing CF")
)+_xlfn.IFNA(G113,0))))</f>
        <v>0</v>
      </c>
      <c r="W34" s="70" cm="1">
        <f t="array" ref="W34">_xlfn.BYROW(B78, _xlfn.LAMBDA(_xlpm.party,
   SUMIFS(ledger!J:J, ledger!B:B, _xlpm.party, ledger!E:E, "&lt;&gt;*RD*", ledger!D:D, "Silky", ledger!C:C, "&lt;&gt;December Closing CF")
)) + _xlfn.IFNA(H113, 0)</f>
        <v>15855.888807607902</v>
      </c>
      <c r="X34" s="70" cm="1">
        <f t="array" ref="X34">_xlfn.BYROW(B78, _xlfn.LAMBDA(_xlpm.party,
   SUMIFS(ledger!J:J, ledger!B:B, _xlpm.party, ledger!E:E, "&lt;&gt;*RD*", ledger!D:D, "Slub", ledger!C:C, "&lt;&gt;December Closing CF")
))+ _xlfn.IFNA(I113, 0)</f>
        <v>0</v>
      </c>
      <c r="Y34" s="70" cm="1">
        <f t="array" ref="Y34">_xlfn.BYROW(B78, _xlfn.LAMBDA(_xlpm.party,
   SUMIFS(ledger!J:J, ledger!B:B, _xlpm.party, ledger!E:E, "&lt;&gt;*RD*", ledger!D:D, "Satin", ledger!C:C, "&lt;&gt;December Closing CF")
))+ _xlfn.IFNA(J113, 0)</f>
        <v>0</v>
      </c>
      <c r="Z34" s="70" cm="1">
        <f t="array" ref="Z34">_xlfn.BYROW(B78, _xlfn.LAMBDA(_xlpm.party,
   SUMIFS(ledger!J:J, ledger!B:B, _xlpm.party, ledger!E:E, "&lt;&gt;*RD*", ledger!D:D, "Black-Chamki", ledger!C:C, "&lt;&gt;December Closing CF")
))+ _xlfn.IFNA(K113, 0)</f>
        <v>0</v>
      </c>
      <c r="AA34" s="70" cm="1">
        <f t="array" ref="AA34">_xlfn.BYROW(B78, _xlfn.LAMBDA(_xlpm.party,
   SUMIFS(ledger!J:J, ledger!B:B, _xlpm.party, ledger!E:E, "&lt;&gt;*RD*", ledger!D:D, "Kataan", ledger!C:C, "&lt;&gt;December Closing CF")
))+ _xlfn.IFNA(L113, 0)</f>
        <v>0</v>
      </c>
      <c r="AB34" s="70" cm="1">
        <f t="array" ref="AB34">_xlfn.BYROW(B78, _xlfn.LAMBDA(_xlpm.party,
   SUMIFS(ledger!J:J, ledger!B:B, _xlpm.party, ledger!E:E, "&lt;&gt;*RD*", ledger!D:D, "Munaar", ledger!C:C, "&lt;&gt;December Closing CF")
))+ _xlfn.IFNA(M113, 0)</f>
        <v>0</v>
      </c>
      <c r="AC34" s="39">
        <f t="shared" si="1"/>
        <v>15855.888807607902</v>
      </c>
      <c r="AD34" s="22">
        <f>(SUMIF(Table14[Party],Q34,Table14[Credit]))+_xlfn.IFNA(O113,0)</f>
        <v>15855</v>
      </c>
      <c r="AE34" s="33">
        <f t="shared" si="2"/>
        <v>0.8888076079019811</v>
      </c>
      <c r="AF34" s="21">
        <v>10</v>
      </c>
      <c r="AG34" s="21">
        <v>13</v>
      </c>
    </row>
    <row r="35" spans="2:33" x14ac:dyDescent="0.3">
      <c r="R35" s="22" cm="1">
        <f t="array" ref="R35">_xlfn.BYROW(B79,_xlfn.LAMBDA(_xlpm.party,SUMIFS(ledger!G:G,ledger!B:B,_xlpm.party,ledger!E:E,"&lt;&gt;*RD*")))+_xlfn.IFNA(C114,0)</f>
        <v>0</v>
      </c>
      <c r="S35" s="22" cm="1">
        <f t="array" ref="S35">_xlfn.BYROW(B79, _xlfn.LAMBDA(_xlpm.party, SUMIFS(ledger!G:G, ledger!B:B, _xlpm.party, ledger!E:E, "&lt;&gt;*RD*") / 1.0936 ))+_xlfn.IFNA(D114,0)</f>
        <v>0</v>
      </c>
      <c r="T35" s="22" cm="1">
        <f t="array" ref="T35">(_xlfn.BYROW(B79,_xlfn.LAMBDA(_xlpm.party,SUMIFS(ledger!G:G,ledger!B:B,_xlpm.party,ledger!E:E,"&lt;&gt;*RD*",ledger!D:D,"Chamki")+SUMIFS(ledger!G:G, ledger!B:B, _xlpm.party, ledger!E:E, "&lt;&gt;*RD*", ledger!D:D, "Crinkle")))/1.0936)+_xlfn.IFNA(E114,0)</f>
        <v>0</v>
      </c>
      <c r="U35" s="70" cm="1">
        <f t="array" ref="U35">(_xlfn.BYROW(B79,_xlfn.LAMBDA(_xlpm.party,SUMIFS(ledger!G:G,ledger!B:B,_xlpm.party,ledger!E:E,"&lt;&gt;*RD*",ledger!D:D,"Silky")))/1.0936)+_xlfn.IFNA(F114,0)</f>
        <v>0</v>
      </c>
      <c r="V35" s="22" cm="1">
        <f t="array" ref="V35">(_xlfn.BYROW(B79,_xlfn.LAMBDA(_xlpm.party,
(SUMIFS(ledger!J:J,ledger!B:B,_xlpm.party,ledger!E:E,"&lt;&gt;*RD*",ledger!D:D,"Chamki",ledger!C:C,"&lt;&gt;December Closing CF")+
SUMIFS(ledger!J:J,ledger!B:B,_xlpm.party,ledger!E:E,"&lt;&gt;*RD*",ledger!D:D,"Crinkle",ledger!C:C,"&lt;&gt;December Closing CF")
)+_xlfn.IFNA(G114,0))))</f>
        <v>0</v>
      </c>
      <c r="W35" s="70" cm="1">
        <f t="array" ref="W35">_xlfn.BYROW(B79, _xlfn.LAMBDA(_xlpm.party,
   SUMIFS(ledger!J:J, ledger!B:B, _xlpm.party, ledger!E:E, "&lt;&gt;*RD*", ledger!D:D, "Silky", ledger!C:C, "&lt;&gt;December Closing CF")
)) + _xlfn.IFNA(H114, 0)</f>
        <v>0</v>
      </c>
      <c r="X35" s="70" cm="1">
        <f t="array" ref="X35">_xlfn.BYROW(B79, _xlfn.LAMBDA(_xlpm.party,
   SUMIFS(ledger!J:J, ledger!B:B, _xlpm.party, ledger!E:E, "&lt;&gt;*RD*", ledger!D:D, "Slub", ledger!C:C, "&lt;&gt;December Closing CF")
))+ _xlfn.IFNA(I114, 0)</f>
        <v>0</v>
      </c>
      <c r="Y35" s="70" cm="1">
        <f t="array" ref="Y35">_xlfn.BYROW(B79, _xlfn.LAMBDA(_xlpm.party,
   SUMIFS(ledger!J:J, ledger!B:B, _xlpm.party, ledger!E:E, "&lt;&gt;*RD*", ledger!D:D, "Satin", ledger!C:C, "&lt;&gt;December Closing CF")
))+ _xlfn.IFNA(J114, 0)</f>
        <v>0</v>
      </c>
      <c r="Z35" s="70" cm="1">
        <f t="array" ref="Z35">_xlfn.BYROW(B79, _xlfn.LAMBDA(_xlpm.party,
   SUMIFS(ledger!J:J, ledger!B:B, _xlpm.party, ledger!E:E, "&lt;&gt;*RD*", ledger!D:D, "Black-Chamki", ledger!C:C, "&lt;&gt;December Closing CF")
))+ _xlfn.IFNA(K114, 0)</f>
        <v>0</v>
      </c>
      <c r="AA35" s="70" cm="1">
        <f t="array" ref="AA35">_xlfn.BYROW(B79, _xlfn.LAMBDA(_xlpm.party,
   SUMIFS(ledger!J:J, ledger!B:B, _xlpm.party, ledger!E:E, "&lt;&gt;*RD*", ledger!D:D, "Kataan", ledger!C:C, "&lt;&gt;December Closing CF")
))+ _xlfn.IFNA(L114, 0)</f>
        <v>0</v>
      </c>
      <c r="AB35" s="70" cm="1">
        <f t="array" ref="AB35">_xlfn.BYROW(B79, _xlfn.LAMBDA(_xlpm.party,
   SUMIFS(ledger!J:J, ledger!B:B, _xlpm.party, ledger!E:E, "&lt;&gt;*RD*", ledger!D:D, "Munaar", ledger!C:C, "&lt;&gt;December Closing CF")
))+ _xlfn.IFNA(M114, 0)</f>
        <v>0</v>
      </c>
      <c r="AC35" s="39">
        <f t="shared" si="1"/>
        <v>0</v>
      </c>
      <c r="AD35" s="22">
        <f>(SUMIF(Table14[Party],Q35,Table14[Credit]))+_xlfn.IFNA(O114,0)</f>
        <v>0</v>
      </c>
      <c r="AE35" s="33">
        <f>AC35-AD35</f>
        <v>0</v>
      </c>
      <c r="AF35" s="21">
        <v>10</v>
      </c>
      <c r="AG35" s="21">
        <v>13</v>
      </c>
    </row>
    <row r="36" spans="2:33" x14ac:dyDescent="0.3">
      <c r="V36" s="22" cm="1">
        <f t="array" ref="V36">(_xlfn.BYROW(B80,_xlfn.LAMBDA(_xlpm.party,
(SUMIFS(ledger!J:J,ledger!B:B,_xlpm.party,ledger!E:E,"&lt;&gt;*RD*",ledger!D:D,"Chamki",ledger!C:C,"&lt;&gt;November Closing CF")+
SUMIFS(ledger!J:J,ledger!B:B,_xlpm.party,ledger!E:E,"&lt;&gt;*RD*",ledger!D:D,"Crinkle",ledger!C:C,"&lt;&gt;November Closing CF")
)+_xlfn.IFNA(G115,0))))</f>
        <v>0</v>
      </c>
      <c r="W36" s="70" cm="1">
        <f t="array" ref="W36">_xlfn.BYROW(B80, _xlfn.LAMBDA(_xlpm.party,
   SUMIFS(ledger!J:J, ledger!B:B, _xlpm.party, ledger!E:E, "&lt;&gt;*RD*", ledger!D:D, "Silky", ledger!C:C, "&lt;&gt;November Closing CF")
)) + _xlfn.IFNA(H115, 0)</f>
        <v>0</v>
      </c>
      <c r="X36" s="70" cm="1">
        <f t="array" ref="X36">_xlfn.BYROW(B80, _xlfn.LAMBDA(_xlpm.party,
   SUMIFS(ledger!J:J, ledger!B:B, _xlpm.party, ledger!E:E, "&lt;&gt;*RD*", ledger!D:D, "Slub", ledger!C:C, "&lt;&gt;November Closing CF")
))+ _xlfn.IFNA(I115, 0)</f>
        <v>0</v>
      </c>
      <c r="Y36" s="70" cm="1">
        <f t="array" ref="Y36">_xlfn.BYROW(B80, _xlfn.LAMBDA(_xlpm.party,
   SUMIFS(ledger!J:J, ledger!B:B, _xlpm.party, ledger!E:E, "&lt;&gt;*RD*", ledger!D:D, "Satin", ledger!C:C, "&lt;&gt;November Closing CF")
))+ _xlfn.IFNA(J115, 0)</f>
        <v>0</v>
      </c>
      <c r="Z36" s="70" cm="1">
        <f t="array" ref="Z36">_xlfn.BYROW(B80, _xlfn.LAMBDA(_xlpm.party,
   SUMIFS(ledger!J:J, ledger!B:B, _xlpm.party, ledger!E:E, "&lt;&gt;*RD*", ledger!D:D, "Black-Chamki", ledger!C:C, "&lt;&gt;November Closing CF")
))+ _xlfn.IFNA(K115, 0)</f>
        <v>0</v>
      </c>
      <c r="AA36" s="70" cm="1">
        <f t="array" ref="AA36">_xlfn.BYROW(B80, _xlfn.LAMBDA(_xlpm.party,
   SUMIFS(ledger!J:J, ledger!B:B, _xlpm.party, ledger!E:E, "&lt;&gt;*RD*", ledger!D:D, "Kataan", ledger!C:C, "&lt;&gt;November Closing CF")
))+ _xlfn.IFNA(L115, 0)</f>
        <v>0</v>
      </c>
      <c r="AB36" s="70" cm="1">
        <f t="array" ref="AB36">_xlfn.BYROW(B80, _xlfn.LAMBDA(_xlpm.party,
   SUMIFS(ledger!J:J, ledger!B:B, _xlpm.party, ledger!E:E, "&lt;&gt;*RD*", ledger!D:D, "Munaar", ledger!C:C, "&lt;&gt;November Closing CF")
))+ _xlfn.IFNA(M115, 0)</f>
        <v>0</v>
      </c>
      <c r="AC36" s="39">
        <f t="shared" ref="AC36" si="3">V36+W36+X36+Y36+Z36+AA36+AB36</f>
        <v>0</v>
      </c>
      <c r="AD36" s="22">
        <f>(SUMIF(Table14[Party],Q36,Table14[Credit]))+_xlfn.IFNA(O115,0)</f>
        <v>0</v>
      </c>
    </row>
    <row r="47" spans="2:33" x14ac:dyDescent="0.3">
      <c r="B47" t="s">
        <v>155</v>
      </c>
    </row>
    <row r="48" spans="2:33" x14ac:dyDescent="0.3">
      <c r="B48" s="21"/>
      <c r="C48" s="23" t="s">
        <v>10</v>
      </c>
      <c r="D48" s="23" t="s">
        <v>11</v>
      </c>
      <c r="E48" s="23" t="s">
        <v>12</v>
      </c>
      <c r="F48" s="23" t="s">
        <v>13</v>
      </c>
      <c r="G48" s="23" t="s">
        <v>14</v>
      </c>
      <c r="H48" s="23" t="s">
        <v>15</v>
      </c>
      <c r="I48" s="23" t="s">
        <v>179</v>
      </c>
      <c r="J48" s="23" t="s">
        <v>180</v>
      </c>
      <c r="K48" s="23" t="s">
        <v>198</v>
      </c>
      <c r="L48" s="23" t="s">
        <v>199</v>
      </c>
      <c r="M48" s="23" t="s">
        <v>204</v>
      </c>
      <c r="N48" s="23" t="s">
        <v>16</v>
      </c>
      <c r="O48" s="23" t="s">
        <v>17</v>
      </c>
      <c r="P48" s="23" t="s">
        <v>18</v>
      </c>
      <c r="Q48" s="23" t="s">
        <v>19</v>
      </c>
      <c r="R48" s="23" t="s">
        <v>20</v>
      </c>
    </row>
    <row r="49" spans="1:23" x14ac:dyDescent="0.3">
      <c r="A49" t="s">
        <v>33</v>
      </c>
      <c r="B49" s="24" t="str" cm="1">
        <f t="array" ref="B49:B78">_xlfn.UNIQUE(Table1[Party Name])</f>
        <v>BSC</v>
      </c>
      <c r="C49" s="22" cm="1">
        <f t="array" ref="C49:C78">_xlfn.BYROW(_xlfn.ANCHORARRAY(B49),_xlfn.LAMBDA(_xlpm.party,SUMIFS(ledger!G:G,ledger!B:B,_xlpm.party,ledger!E:E,"&lt;&gt;*RD*")))</f>
        <v>538194</v>
      </c>
      <c r="D49" s="22" cm="1">
        <f t="array" ref="D49:D78">_xlfn.BYROW(_xlfn.ANCHORARRAY(B49), _xlfn.LAMBDA(_xlpm.party, SUMIFS(ledger!G:G, ledger!B:B, _xlpm.party, ledger!E:E, "&lt;&gt;*RD*") / 1.0936 ))</f>
        <v>492130.57790782739</v>
      </c>
      <c r="E49" s="63" cm="1">
        <f t="array" ref="E49:E78">(_xlfn.BYROW(_xlfn.ANCHORARRAY(B49),_xlfn.LAMBDA(_xlpm.party,SUMIFS(ledger!G:G,ledger!B:B,_xlpm.party,ledger!E:E,"&lt;&gt;*RD*",ledger!D:D,"Chamki")+SUMIFS(ledger!G:G, ledger!B:B, _xlpm.party, ledger!E:E, "&lt;&gt;*RD*", ledger!D:D, "Crinkle")))/1.0936)</f>
        <v>299517.19092904171</v>
      </c>
      <c r="F49" s="63" cm="1">
        <f t="array" ref="F49:F78">(_xlfn.BYROW(_xlfn.ANCHORARRAY(B49),_xlfn.LAMBDA(_xlpm.party,SUMIFS(ledger!G:G,ledger!B:B,_xlpm.party,ledger!E:E,"&lt;&gt;*RD*",ledger!D:D,"Silky")))/1.0936)</f>
        <v>181098.20775420632</v>
      </c>
      <c r="G49" s="22" cm="1">
        <f t="array" ref="G49">(_xlfn.BYROW(B49,_xlfn.LAMBDA(_xlpm.party,
(SUMIFS(ledger!J:J,ledger!B:B,_xlpm.party,ledger!E:E,"&lt;&gt;*RD*",ledger!D:D,"Chamki",ledger!C:C,"&lt;&gt;December Closing CF")+
SUMIFS(ledger!J:J,ledger!B:B,_xlpm.party,ledger!E:E,"&lt;&gt;*RD*",ledger!D:D,"Crinkle",ledger!C:C,"&lt;&gt;December Closing CF")
))))</f>
        <v>2995171.9092904171</v>
      </c>
      <c r="H49" s="22" cm="1">
        <f t="array" ref="H49">_xlfn.BYROW(B49, _xlfn.LAMBDA(_xlpm.party,
   SUMIFS(ledger!J:J, ledger!B:B, _xlpm.party, ledger!E:E, "&lt;&gt;*RD*", ledger!D:D, "Silky", ledger!C:C, "&lt;&gt;December Closing CF")
))</f>
        <v>2354276.7008046815</v>
      </c>
      <c r="I49" s="22" cm="1">
        <f t="array" ref="I49">_xlfn.BYROW(B49, _xlfn.LAMBDA(_xlpm.party,
   SUMIFS(ledger!J:J, ledger!B:B, _xlpm.party, ledger!E:E, "&lt;&gt;*RD*", ledger!D:D, "Slub", ledger!C:C, "&lt;&gt;December Closing CF")
))</f>
        <v>0</v>
      </c>
      <c r="J49" s="22" cm="1">
        <f t="array" ref="J49">_xlfn.BYROW(B49, _xlfn.LAMBDA(_xlpm.party,
   SUMIFS(ledger!J:J, ledger!B:B, _xlpm.party, ledger!E:E, "&lt;&gt;*RD*", ledger!D:D, "Satin", ledger!C:C, "&lt;&gt;December Closing CF")
))</f>
        <v>0</v>
      </c>
      <c r="K49" s="70" cm="1">
        <f t="array" ref="K49">_xlfn.BYROW(B49, _xlfn.LAMBDA(_xlpm.party,
   SUMIFS(ledger!J:J, ledger!B:B, _xlpm.party, ledger!E:E, "&lt;&gt;*RD*", ledger!D:D, "Black-chamki", ledger!C:C, "&lt;&gt;December Closing CF")
))</f>
        <v>0</v>
      </c>
      <c r="L49" s="70" cm="1">
        <f t="array" ref="L49">_xlfn.BYROW(B49, _xlfn.LAMBDA(_xlpm.party,
   SUMIFS(ledger!J:J, ledger!B:B, _xlpm.party, ledger!E:E, "&lt;&gt;*RD*", ledger!D:D, "Kataan", ledger!C:C, "&lt;&gt;December Closing CF")
))</f>
        <v>126666.9714703731</v>
      </c>
      <c r="M49" s="70" cm="1">
        <f t="array" ref="M49">_xlfn.BYROW(B49, _xlfn.LAMBDA(_xlpm.party,
   SUMIFS(ledger!J:J, ledger!B:B, _xlpm.party, ledger!E:E, "&lt;&gt;*RD*", ledger!D:D, "Munaar", ledger!C:C, "&lt;&gt;December Closing CF")
))</f>
        <v>0</v>
      </c>
      <c r="N49" s="39">
        <f>SUM(G49:M49)</f>
        <v>5476115.5815654714</v>
      </c>
      <c r="O49" s="22">
        <f>(SUMIF(Table14[Party],B49,Table14[Credit]))</f>
        <v>0</v>
      </c>
      <c r="P49" s="37">
        <f>N49-O49</f>
        <v>5476115.5815654714</v>
      </c>
      <c r="Q49" s="21">
        <v>10</v>
      </c>
      <c r="R49" s="21">
        <v>12</v>
      </c>
    </row>
    <row r="50" spans="1:23" x14ac:dyDescent="0.3">
      <c r="B50" s="24" t="str">
        <v>Ejaz Sahab</v>
      </c>
      <c r="C50" s="22">
        <v>101070</v>
      </c>
      <c r="D50" s="22">
        <v>92419.531821506956</v>
      </c>
      <c r="E50" s="63">
        <v>0</v>
      </c>
      <c r="F50" s="63">
        <v>92419.531821506956</v>
      </c>
      <c r="G50" s="22" cm="1">
        <f t="array" ref="G50">(_xlfn.BYROW(B50,_xlfn.LAMBDA(_xlpm.party,
(SUMIFS(ledger!J:J,ledger!B:B,_xlpm.party,ledger!E:E,"&lt;&gt;*RD*",ledger!D:D,"Chamki",ledger!C:C,"&lt;&gt;December Closing CF")+
SUMIFS(ledger!J:J,ledger!B:B,_xlpm.party,ledger!E:E,"&lt;&gt;*RD*",ledger!D:D,"Crinkle",ledger!C:C,"&lt;&gt;December Closing CF")
))))</f>
        <v>0</v>
      </c>
      <c r="H50" s="22" cm="1">
        <f t="array" ref="H50">_xlfn.BYROW(B50, _xlfn.LAMBDA(_xlpm.party,
   SUMIFS(ledger!J:J, ledger!B:B, _xlpm.party, ledger!E:E, "&lt;&gt;*RD*", ledger!D:D, "Silky", ledger!C:C, "&lt;&gt;December Closing CF")
))</f>
        <v>1201453.9136795904</v>
      </c>
      <c r="I50" s="22" cm="1">
        <f t="array" ref="I50">_xlfn.BYROW(B50, _xlfn.LAMBDA(_xlpm.party,
   SUMIFS(ledger!J:J, ledger!B:B, _xlpm.party, ledger!E:E, "&lt;&gt;*RD*", ledger!D:D, "Slub", ledger!C:C, "&lt;&gt;December Closing CF")
))</f>
        <v>0</v>
      </c>
      <c r="J50" s="22" cm="1">
        <f t="array" ref="J50">_xlfn.BYROW(B50, _xlfn.LAMBDA(_xlpm.party,
   SUMIFS(ledger!J:J, ledger!B:B, _xlpm.party, ledger!E:E, "&lt;&gt;*RD*", ledger!D:D, "Satin", ledger!C:C, "&lt;&gt;December Closing CF")
))</f>
        <v>0</v>
      </c>
      <c r="K50" s="70" cm="1">
        <f t="array" ref="K50">_xlfn.BYROW(B50, _xlfn.LAMBDA(_xlpm.party,
   SUMIFS(ledger!J:J, ledger!B:B, _xlpm.party, ledger!E:E, "&lt;&gt;*RD*", ledger!D:D, "Black-chamki", ledger!C:C, "&lt;&gt;December Closing CF")
))</f>
        <v>0</v>
      </c>
      <c r="L50" s="70" cm="1">
        <f t="array" ref="L50">_xlfn.BYROW(B50, _xlfn.LAMBDA(_xlpm.party,
   SUMIFS(ledger!J:J, ledger!B:B, _xlpm.party, ledger!E:E, "&lt;&gt;*RD*", ledger!D:D, "Kataan", ledger!C:C, "&lt;&gt;December Closing CF")
))</f>
        <v>0</v>
      </c>
      <c r="M50" s="70" cm="1">
        <f t="array" ref="M50">_xlfn.BYROW(B50, _xlfn.LAMBDA(_xlpm.party,
   SUMIFS(ledger!J:J, ledger!B:B, _xlpm.party, ledger!E:E, "&lt;&gt;*RD*", ledger!D:D, "Munaar", ledger!C:C, "&lt;&gt;December Closing CF")
))</f>
        <v>0</v>
      </c>
      <c r="N50" s="39">
        <f t="shared" ref="N50:N75" si="4">SUM(G50:M50)</f>
        <v>1201453.9136795904</v>
      </c>
      <c r="O50" s="22">
        <f>(SUMIF(Table14[Party],B50,Table14[Credit]))</f>
        <v>872000</v>
      </c>
      <c r="P50" s="37">
        <f t="shared" ref="P50:P75" si="5">N50-O50</f>
        <v>329453.91367959045</v>
      </c>
      <c r="Q50" s="21">
        <v>10</v>
      </c>
      <c r="R50" s="21">
        <v>12</v>
      </c>
    </row>
    <row r="51" spans="1:23" x14ac:dyDescent="0.3">
      <c r="B51" s="24" t="str">
        <v>Arshad</v>
      </c>
      <c r="C51" s="22">
        <v>71016</v>
      </c>
      <c r="D51" s="22">
        <v>64937.820043891741</v>
      </c>
      <c r="E51" s="63">
        <v>45460.863204096568</v>
      </c>
      <c r="F51" s="63">
        <v>19476.956839795173</v>
      </c>
      <c r="G51" s="22" cm="1">
        <f t="array" ref="G51">(_xlfn.BYROW(B51,_xlfn.LAMBDA(_xlpm.party,
(SUMIFS(ledger!J:J,ledger!B:B,_xlpm.party,ledger!E:E,"&lt;&gt;*RD*",ledger!D:D,"Chamki",ledger!C:C,"&lt;&gt;December Closing CF")+
SUMIFS(ledger!J:J,ledger!B:B,_xlpm.party,ledger!E:E,"&lt;&gt;*RD*",ledger!D:D,"Crinkle",ledger!C:C,"&lt;&gt;December Closing CF")
))))</f>
        <v>454608.6320409656</v>
      </c>
      <c r="H51" s="22" cm="1">
        <f t="array" ref="H51">_xlfn.BYROW(B51, _xlfn.LAMBDA(_xlpm.party,
   SUMIFS(ledger!J:J, ledger!B:B, _xlpm.party, ledger!E:E, "&lt;&gt;*RD*", ledger!D:D, "Silky", ledger!C:C, "&lt;&gt;December Closing CF")
))</f>
        <v>253200.43891733728</v>
      </c>
      <c r="I51" s="22" cm="1">
        <f t="array" ref="I51">_xlfn.BYROW(B51, _xlfn.LAMBDA(_xlpm.party,
   SUMIFS(ledger!J:J, ledger!B:B, _xlpm.party, ledger!E:E, "&lt;&gt;*RD*", ledger!D:D, "Slub", ledger!C:C, "&lt;&gt;December Closing CF")
))</f>
        <v>0</v>
      </c>
      <c r="J51" s="22" cm="1">
        <f t="array" ref="J51">_xlfn.BYROW(B51, _xlfn.LAMBDA(_xlpm.party,
   SUMIFS(ledger!J:J, ledger!B:B, _xlpm.party, ledger!E:E, "&lt;&gt;*RD*", ledger!D:D, "Satin", ledger!C:C, "&lt;&gt;December Closing CF")
))</f>
        <v>0</v>
      </c>
      <c r="K51" s="70" cm="1">
        <f t="array" ref="K51">_xlfn.BYROW(B51, _xlfn.LAMBDA(_xlpm.party,
   SUMIFS(ledger!J:J, ledger!B:B, _xlpm.party, ledger!E:E, "&lt;&gt;*RD*", ledger!D:D, "Black-chamki", ledger!C:C, "&lt;&gt;December Closing CF")
))</f>
        <v>0</v>
      </c>
      <c r="L51" s="70" cm="1">
        <f t="array" ref="L51">_xlfn.BYROW(B51, _xlfn.LAMBDA(_xlpm.party,
   SUMIFS(ledger!J:J, ledger!B:B, _xlpm.party, ledger!E:E, "&lt;&gt;*RD*", ledger!D:D, "Kataan", ledger!C:C, "&lt;&gt;December Closing CF")
))</f>
        <v>0</v>
      </c>
      <c r="M51" s="70" cm="1">
        <f t="array" ref="M51">_xlfn.BYROW(B51, _xlfn.LAMBDA(_xlpm.party,
   SUMIFS(ledger!J:J, ledger!B:B, _xlpm.party, ledger!E:E, "&lt;&gt;*RD*", ledger!D:D, "Munaar", ledger!C:C, "&lt;&gt;December Closing CF")
))</f>
        <v>0</v>
      </c>
      <c r="N51" s="39">
        <f t="shared" si="4"/>
        <v>707809.07095830282</v>
      </c>
      <c r="O51" s="22">
        <f>(SUMIF(Table14[Party],B51,Table14[Credit]))</f>
        <v>657000</v>
      </c>
      <c r="P51" s="37">
        <f t="shared" si="5"/>
        <v>50809.070958302822</v>
      </c>
      <c r="Q51" s="21">
        <v>10</v>
      </c>
      <c r="R51" s="21">
        <v>12</v>
      </c>
    </row>
    <row r="52" spans="1:23" x14ac:dyDescent="0.3">
      <c r="B52" s="24" t="str">
        <v>Shehzad Kamoki</v>
      </c>
      <c r="C52" s="22">
        <v>0</v>
      </c>
      <c r="D52" s="22">
        <v>0</v>
      </c>
      <c r="E52" s="63">
        <v>0</v>
      </c>
      <c r="F52" s="63">
        <v>0</v>
      </c>
      <c r="G52" s="22" cm="1">
        <f t="array" ref="G52">(_xlfn.BYROW(B52,_xlfn.LAMBDA(_xlpm.party,
(SUMIFS(ledger!J:J,ledger!B:B,_xlpm.party,ledger!E:E,"&lt;&gt;*RD*",ledger!D:D,"Chamki",ledger!C:C,"&lt;&gt;December Closing CF")+
SUMIFS(ledger!J:J,ledger!B:B,_xlpm.party,ledger!E:E,"&lt;&gt;*RD*",ledger!D:D,"Crinkle",ledger!C:C,"&lt;&gt;December Closing CF")
))))</f>
        <v>0</v>
      </c>
      <c r="H52" s="22" cm="1">
        <f t="array" ref="H52">_xlfn.BYROW(B52, _xlfn.LAMBDA(_xlpm.party,
   SUMIFS(ledger!J:J, ledger!B:B, _xlpm.party, ledger!E:E, "&lt;&gt;*RD*", ledger!D:D, "Silky", ledger!C:C, "&lt;&gt;December Closing CF")
))</f>
        <v>0</v>
      </c>
      <c r="I52" s="22" cm="1">
        <f t="array" ref="I52">_xlfn.BYROW(B52, _xlfn.LAMBDA(_xlpm.party,
   SUMIFS(ledger!J:J, ledger!B:B, _xlpm.party, ledger!E:E, "&lt;&gt;*RD*", ledger!D:D, "Slub", ledger!C:C, "&lt;&gt;December Closing CF")
))</f>
        <v>0</v>
      </c>
      <c r="J52" s="22" cm="1">
        <f t="array" ref="J52">_xlfn.BYROW(B52, _xlfn.LAMBDA(_xlpm.party,
   SUMIFS(ledger!J:J, ledger!B:B, _xlpm.party, ledger!E:E, "&lt;&gt;*RD*", ledger!D:D, "Satin", ledger!C:C, "&lt;&gt;December Closing CF")
))</f>
        <v>0</v>
      </c>
      <c r="K52" s="70" cm="1">
        <f t="array" ref="K52">_xlfn.BYROW(B52, _xlfn.LAMBDA(_xlpm.party,
   SUMIFS(ledger!J:J, ledger!B:B, _xlpm.party, ledger!E:E, "&lt;&gt;*RD*", ledger!D:D, "Black-chamki", ledger!C:C, "&lt;&gt;December Closing CF")
))</f>
        <v>0</v>
      </c>
      <c r="L52" s="70" cm="1">
        <f t="array" ref="L52">_xlfn.BYROW(B52, _xlfn.LAMBDA(_xlpm.party,
   SUMIFS(ledger!J:J, ledger!B:B, _xlpm.party, ledger!E:E, "&lt;&gt;*RD*", ledger!D:D, "Kataan", ledger!C:C, "&lt;&gt;December Closing CF")
))</f>
        <v>0</v>
      </c>
      <c r="M52" s="70" cm="1">
        <f t="array" ref="M52">_xlfn.BYROW(B52, _xlfn.LAMBDA(_xlpm.party,
   SUMIFS(ledger!J:J, ledger!B:B, _xlpm.party, ledger!E:E, "&lt;&gt;*RD*", ledger!D:D, "Munaar", ledger!C:C, "&lt;&gt;December Closing CF")
))</f>
        <v>0</v>
      </c>
      <c r="N52" s="39">
        <f t="shared" si="4"/>
        <v>0</v>
      </c>
      <c r="O52" s="22">
        <f>(SUMIF(Table14[Party],B52,Table14[Credit]))</f>
        <v>0</v>
      </c>
      <c r="P52" s="37">
        <f t="shared" si="5"/>
        <v>0</v>
      </c>
      <c r="Q52" s="21">
        <v>10.5</v>
      </c>
      <c r="R52" s="21">
        <v>13</v>
      </c>
    </row>
    <row r="53" spans="1:23" x14ac:dyDescent="0.3">
      <c r="B53" s="24" t="str">
        <v>Sufi Nawaz Sahab</v>
      </c>
      <c r="C53" s="22">
        <v>0</v>
      </c>
      <c r="D53" s="22">
        <v>0</v>
      </c>
      <c r="E53" s="63">
        <v>0</v>
      </c>
      <c r="F53" s="63">
        <v>0</v>
      </c>
      <c r="G53" s="22" cm="1">
        <f t="array" ref="G53">(_xlfn.BYROW(B53,_xlfn.LAMBDA(_xlpm.party,
(SUMIFS(ledger!J:J,ledger!B:B,_xlpm.party,ledger!E:E,"&lt;&gt;*RD*",ledger!D:D,"Chamki",ledger!C:C,"&lt;&gt;December Closing CF")+
SUMIFS(ledger!J:J,ledger!B:B,_xlpm.party,ledger!E:E,"&lt;&gt;*RD*",ledger!D:D,"Crinkle",ledger!C:C,"&lt;&gt;December Closing CF")
))))</f>
        <v>0</v>
      </c>
      <c r="H53" s="22" cm="1">
        <f t="array" ref="H53">_xlfn.BYROW(B53, _xlfn.LAMBDA(_xlpm.party,
   SUMIFS(ledger!J:J, ledger!B:B, _xlpm.party, ledger!E:E, "&lt;&gt;*RD*", ledger!D:D, "Silky", ledger!C:C, "&lt;&gt;December Closing CF")
))</f>
        <v>0</v>
      </c>
      <c r="I53" s="22" cm="1">
        <f t="array" ref="I53">_xlfn.BYROW(B53, _xlfn.LAMBDA(_xlpm.party,
   SUMIFS(ledger!J:J, ledger!B:B, _xlpm.party, ledger!E:E, "&lt;&gt;*RD*", ledger!D:D, "Slub", ledger!C:C, "&lt;&gt;December Closing CF")
))</f>
        <v>0</v>
      </c>
      <c r="J53" s="22" cm="1">
        <f t="array" ref="J53">_xlfn.BYROW(B53, _xlfn.LAMBDA(_xlpm.party,
   SUMIFS(ledger!J:J, ledger!B:B, _xlpm.party, ledger!E:E, "&lt;&gt;*RD*", ledger!D:D, "Satin", ledger!C:C, "&lt;&gt;December Closing CF")
))</f>
        <v>0</v>
      </c>
      <c r="K53" s="70" cm="1">
        <f t="array" ref="K53">_xlfn.BYROW(B53, _xlfn.LAMBDA(_xlpm.party,
   SUMIFS(ledger!J:J, ledger!B:B, _xlpm.party, ledger!E:E, "&lt;&gt;*RD*", ledger!D:D, "Black-chamki", ledger!C:C, "&lt;&gt;December Closing CF")
))</f>
        <v>0</v>
      </c>
      <c r="L53" s="70" cm="1">
        <f t="array" ref="L53">_xlfn.BYROW(B53, _xlfn.LAMBDA(_xlpm.party,
   SUMIFS(ledger!J:J, ledger!B:B, _xlpm.party, ledger!E:E, "&lt;&gt;*RD*", ledger!D:D, "Kataan", ledger!C:C, "&lt;&gt;December Closing CF")
))</f>
        <v>0</v>
      </c>
      <c r="M53" s="70" cm="1">
        <f t="array" ref="M53">_xlfn.BYROW(B53, _xlfn.LAMBDA(_xlpm.party,
   SUMIFS(ledger!J:J, ledger!B:B, _xlpm.party, ledger!E:E, "&lt;&gt;*RD*", ledger!D:D, "Munaar", ledger!C:C, "&lt;&gt;December Closing CF")
))</f>
        <v>0</v>
      </c>
      <c r="N53" s="39">
        <f t="shared" si="4"/>
        <v>0</v>
      </c>
      <c r="O53" s="22">
        <f>(SUMIF(Table14[Party],B53,Table14[Credit]))</f>
        <v>0</v>
      </c>
      <c r="P53" s="37">
        <f t="shared" si="5"/>
        <v>0</v>
      </c>
      <c r="Q53" s="21">
        <v>10</v>
      </c>
      <c r="R53" s="21">
        <v>12</v>
      </c>
    </row>
    <row r="54" spans="1:23" x14ac:dyDescent="0.3">
      <c r="B54" s="24" t="str">
        <v>Sajad Khan</v>
      </c>
      <c r="C54" s="22">
        <v>143586</v>
      </c>
      <c r="D54" s="22">
        <v>131296.63496708122</v>
      </c>
      <c r="E54" s="63">
        <v>104438.55157278714</v>
      </c>
      <c r="F54" s="63">
        <v>0</v>
      </c>
      <c r="G54" s="22" cm="1">
        <f t="array" ref="G54">(_xlfn.BYROW(B54,_xlfn.LAMBDA(_xlpm.party,
(SUMIFS(ledger!J:J,ledger!B:B,_xlpm.party,ledger!E:E,"&lt;&gt;*RD*",ledger!D:D,"Chamki",ledger!C:C,"&lt;&gt;December Closing CF")+
SUMIFS(ledger!J:J,ledger!B:B,_xlpm.party,ledger!E:E,"&lt;&gt;*RD*",ledger!D:D,"Crinkle",ledger!C:C,"&lt;&gt;December Closing CF")
))))</f>
        <v>1044385.5157278713</v>
      </c>
      <c r="H54" s="22" cm="1">
        <f t="array" ref="H54">_xlfn.BYROW(B54, _xlfn.LAMBDA(_xlpm.party,
   SUMIFS(ledger!J:J, ledger!B:B, _xlpm.party, ledger!E:E, "&lt;&gt;*RD*", ledger!D:D, "Silky", ledger!C:C, "&lt;&gt;December Closing CF")
))</f>
        <v>0</v>
      </c>
      <c r="I54" s="22" cm="1">
        <f t="array" ref="I54">_xlfn.BYROW(B54, _xlfn.LAMBDA(_xlpm.party,
   SUMIFS(ledger!J:J, ledger!B:B, _xlpm.party, ledger!E:E, "&lt;&gt;*RD*", ledger!D:D, "Slub", ledger!C:C, "&lt;&gt;December Closing CF")
))</f>
        <v>0</v>
      </c>
      <c r="J54" s="22" cm="1">
        <f t="array" ref="J54">_xlfn.BYROW(B54, _xlfn.LAMBDA(_xlpm.party,
   SUMIFS(ledger!J:J, ledger!B:B, _xlpm.party, ledger!E:E, "&lt;&gt;*RD*", ledger!D:D, "Satin", ledger!C:C, "&lt;&gt;December Closing CF")
))</f>
        <v>0</v>
      </c>
      <c r="K54" s="70" cm="1">
        <f t="array" ref="K54">_xlfn.BYROW(B54, _xlfn.LAMBDA(_xlpm.party,
   SUMIFS(ledger!J:J, ledger!B:B, _xlpm.party, ledger!E:E, "&lt;&gt;*RD*", ledger!D:D, "Black-chamki", ledger!C:C, "&lt;&gt;December Closing CF")
))</f>
        <v>322297.00073152891</v>
      </c>
      <c r="L54" s="70" cm="1">
        <f t="array" ref="L54">_xlfn.BYROW(B54, _xlfn.LAMBDA(_xlpm.party,
   SUMIFS(ledger!J:J, ledger!B:B, _xlpm.party, ledger!E:E, "&lt;&gt;*RD*", ledger!D:D, "Kataan", ledger!C:C, "&lt;&gt;December Closing CF")
))</f>
        <v>0</v>
      </c>
      <c r="M54" s="70" cm="1">
        <f t="array" ref="M54">_xlfn.BYROW(B54, _xlfn.LAMBDA(_xlpm.party,
   SUMIFS(ledger!J:J, ledger!B:B, _xlpm.party, ledger!E:E, "&lt;&gt;*RD*", ledger!D:D, "Munaar", ledger!C:C, "&lt;&gt;December Closing CF")
))</f>
        <v>0</v>
      </c>
      <c r="N54" s="39">
        <f t="shared" si="4"/>
        <v>1366682.5164594003</v>
      </c>
      <c r="O54" s="22">
        <f>(SUMIF(Table14[Party],B54,Table14[Credit]))</f>
        <v>1612000</v>
      </c>
      <c r="P54" s="37">
        <f t="shared" si="5"/>
        <v>-245317.4835405997</v>
      </c>
      <c r="Q54" s="21">
        <v>10</v>
      </c>
      <c r="R54" s="21">
        <v>12</v>
      </c>
    </row>
    <row r="55" spans="1:23" x14ac:dyDescent="0.3">
      <c r="B55" s="24" t="str">
        <v>Raaz Fabrics</v>
      </c>
      <c r="C55" s="22">
        <v>0</v>
      </c>
      <c r="D55" s="22">
        <v>0</v>
      </c>
      <c r="E55" s="63">
        <v>0</v>
      </c>
      <c r="F55" s="63">
        <v>0</v>
      </c>
      <c r="G55" s="22" cm="1">
        <f t="array" ref="G55">(_xlfn.BYROW(B55,_xlfn.LAMBDA(_xlpm.party,
(SUMIFS(ledger!J:J,ledger!B:B,_xlpm.party,ledger!E:E,"&lt;&gt;*RD*",ledger!D:D,"Chamki",ledger!C:C,"&lt;&gt;December Closing CF")+
SUMIFS(ledger!J:J,ledger!B:B,_xlpm.party,ledger!E:E,"&lt;&gt;*RD*",ledger!D:D,"Crinkle",ledger!C:C,"&lt;&gt;December Closing CF")
))))</f>
        <v>0</v>
      </c>
      <c r="H55" s="22" cm="1">
        <f t="array" ref="H55">_xlfn.BYROW(B55, _xlfn.LAMBDA(_xlpm.party,
   SUMIFS(ledger!J:J, ledger!B:B, _xlpm.party, ledger!E:E, "&lt;&gt;*RD*", ledger!D:D, "Silky", ledger!C:C, "&lt;&gt;December Closing CF")
))</f>
        <v>0</v>
      </c>
      <c r="I55" s="22" cm="1">
        <f t="array" ref="I55">_xlfn.BYROW(B55, _xlfn.LAMBDA(_xlpm.party,
   SUMIFS(ledger!J:J, ledger!B:B, _xlpm.party, ledger!E:E, "&lt;&gt;*RD*", ledger!D:D, "Slub", ledger!C:C, "&lt;&gt;December Closing CF")
))</f>
        <v>0</v>
      </c>
      <c r="J55" s="22" cm="1">
        <f t="array" ref="J55">_xlfn.BYROW(B55, _xlfn.LAMBDA(_xlpm.party,
   SUMIFS(ledger!J:J, ledger!B:B, _xlpm.party, ledger!E:E, "&lt;&gt;*RD*", ledger!D:D, "Satin", ledger!C:C, "&lt;&gt;December Closing CF")
))</f>
        <v>0</v>
      </c>
      <c r="K55" s="70" cm="1">
        <f t="array" ref="K55">_xlfn.BYROW(B55, _xlfn.LAMBDA(_xlpm.party,
   SUMIFS(ledger!J:J, ledger!B:B, _xlpm.party, ledger!E:E, "&lt;&gt;*RD*", ledger!D:D, "Black-chamki", ledger!C:C, "&lt;&gt;December Closing CF")
))</f>
        <v>0</v>
      </c>
      <c r="L55" s="70" cm="1">
        <f t="array" ref="L55">_xlfn.BYROW(B55, _xlfn.LAMBDA(_xlpm.party,
   SUMIFS(ledger!J:J, ledger!B:B, _xlpm.party, ledger!E:E, "&lt;&gt;*RD*", ledger!D:D, "Kataan", ledger!C:C, "&lt;&gt;December Closing CF")
))</f>
        <v>0</v>
      </c>
      <c r="M55" s="70" cm="1">
        <f t="array" ref="M55">_xlfn.BYROW(B55, _xlfn.LAMBDA(_xlpm.party,
   SUMIFS(ledger!J:J, ledger!B:B, _xlpm.party, ledger!E:E, "&lt;&gt;*RD*", ledger!D:D, "Munaar", ledger!C:C, "&lt;&gt;December Closing CF")
))</f>
        <v>0</v>
      </c>
      <c r="N55" s="39">
        <f t="shared" si="4"/>
        <v>0</v>
      </c>
      <c r="O55" s="22">
        <f>(SUMIF(Table14[Party],B55,Table14[Credit]))</f>
        <v>0</v>
      </c>
      <c r="P55" s="37">
        <f t="shared" si="5"/>
        <v>0</v>
      </c>
      <c r="Q55" s="21">
        <v>10</v>
      </c>
      <c r="R55" s="21">
        <v>12</v>
      </c>
    </row>
    <row r="56" spans="1:23" x14ac:dyDescent="0.3">
      <c r="B56" s="24" t="str">
        <v>Azam</v>
      </c>
      <c r="C56" s="22">
        <v>205799</v>
      </c>
      <c r="D56" s="22">
        <v>188184.89392831019</v>
      </c>
      <c r="E56" s="63">
        <v>100809.25384052671</v>
      </c>
      <c r="F56" s="63">
        <v>87375.640087783482</v>
      </c>
      <c r="G56" s="22" cm="1">
        <f t="array" ref="G56">(_xlfn.BYROW(B56,_xlfn.LAMBDA(_xlpm.party,
(SUMIFS(ledger!J:J,ledger!B:B,_xlpm.party,ledger!E:E,"&lt;&gt;*RD*",ledger!D:D,"Chamki",ledger!C:C,"&lt;&gt;December Closing CF")+
SUMIFS(ledger!J:J,ledger!B:B,_xlpm.party,ledger!E:E,"&lt;&gt;*RD*",ledger!D:D,"Crinkle",ledger!C:C,"&lt;&gt;December Closing CF")
))))</f>
        <v>1008092.5384052671</v>
      </c>
      <c r="H56" s="22" cm="1">
        <f t="array" ref="H56">_xlfn.BYROW(B56, _xlfn.LAMBDA(_xlpm.party,
   SUMIFS(ledger!J:J, ledger!B:B, _xlpm.party, ledger!E:E, "&lt;&gt;*RD*", ledger!D:D, "Silky", ledger!C:C, "&lt;&gt;December Closing CF")
))</f>
        <v>1135883.3211411852</v>
      </c>
      <c r="I56" s="22" cm="1">
        <f t="array" ref="I56">_xlfn.BYROW(B56, _xlfn.LAMBDA(_xlpm.party,
   SUMIFS(ledger!J:J, ledger!B:B, _xlpm.party, ledger!E:E, "&lt;&gt;*RD*", ledger!D:D, "Slub", ledger!C:C, "&lt;&gt;December Closing CF")
))</f>
        <v>0</v>
      </c>
      <c r="J56" s="22" cm="1">
        <f t="array" ref="J56">_xlfn.BYROW(B56, _xlfn.LAMBDA(_xlpm.party,
   SUMIFS(ledger!J:J, ledger!B:B, _xlpm.party, ledger!E:E, "&lt;&gt;*RD*", ledger!D:D, "Satin", ledger!C:C, "&lt;&gt;December Closing CF")
))</f>
        <v>0</v>
      </c>
      <c r="K56" s="70" cm="1">
        <f t="array" ref="K56">_xlfn.BYROW(B56, _xlfn.LAMBDA(_xlpm.party,
   SUMIFS(ledger!J:J, ledger!B:B, _xlpm.party, ledger!E:E, "&lt;&gt;*RD*", ledger!D:D, "Black-chamki", ledger!C:C, "&lt;&gt;December Closing CF")
))</f>
        <v>0</v>
      </c>
      <c r="L56" s="70" cm="1">
        <f t="array" ref="L56">_xlfn.BYROW(B56, _xlfn.LAMBDA(_xlpm.party,
   SUMIFS(ledger!J:J, ledger!B:B, _xlpm.party, ledger!E:E, "&lt;&gt;*RD*", ledger!D:D, "Kataan", ledger!C:C, "&lt;&gt;December Closing CF")
))</f>
        <v>0</v>
      </c>
      <c r="M56" s="70" cm="1">
        <f t="array" ref="M56">_xlfn.BYROW(B56, _xlfn.LAMBDA(_xlpm.party,
   SUMIFS(ledger!J:J, ledger!B:B, _xlpm.party, ledger!E:E, "&lt;&gt;*RD*", ledger!D:D, "Munaar", ledger!C:C, "&lt;&gt;December Closing CF")
))</f>
        <v>0</v>
      </c>
      <c r="N56" s="39">
        <f t="shared" si="4"/>
        <v>2143975.8595464523</v>
      </c>
      <c r="O56" s="22">
        <f>(SUMIF(Table14[Party],B56,Table14[Credit]))</f>
        <v>2313000</v>
      </c>
      <c r="P56" s="37">
        <f t="shared" si="5"/>
        <v>-169024.1404535477</v>
      </c>
      <c r="Q56" s="21">
        <v>10</v>
      </c>
      <c r="R56" s="21">
        <v>12</v>
      </c>
    </row>
    <row r="57" spans="1:23" x14ac:dyDescent="0.3">
      <c r="B57" s="24" t="str">
        <v>Ubaidullah</v>
      </c>
      <c r="C57" s="22">
        <v>47086</v>
      </c>
      <c r="D57" s="22">
        <v>43055.961960497443</v>
      </c>
      <c r="E57" s="63">
        <v>0</v>
      </c>
      <c r="F57" s="63">
        <v>43055.961960497443</v>
      </c>
      <c r="G57" s="22" cm="1">
        <f t="array" ref="G57">(_xlfn.BYROW(B57,_xlfn.LAMBDA(_xlpm.party,
(SUMIFS(ledger!J:J,ledger!B:B,_xlpm.party,ledger!E:E,"&lt;&gt;*RD*",ledger!D:D,"Chamki",ledger!C:C,"&lt;&gt;December Closing CF")+
SUMIFS(ledger!J:J,ledger!B:B,_xlpm.party,ledger!E:E,"&lt;&gt;*RD*",ledger!D:D,"Crinkle",ledger!C:C,"&lt;&gt;December Closing CF")
))))</f>
        <v>0</v>
      </c>
      <c r="H57" s="22" cm="1">
        <f t="array" ref="H57">_xlfn.BYROW(B57, _xlfn.LAMBDA(_xlpm.party,
   SUMIFS(ledger!J:J, ledger!B:B, _xlpm.party, ledger!E:E, "&lt;&gt;*RD*", ledger!D:D, "Silky", ledger!C:C, "&lt;&gt;December Closing CF")
))</f>
        <v>559727.50548646681</v>
      </c>
      <c r="I57" s="22" cm="1">
        <f t="array" ref="I57">_xlfn.BYROW(B57, _xlfn.LAMBDA(_xlpm.party,
   SUMIFS(ledger!J:J, ledger!B:B, _xlpm.party, ledger!E:E, "&lt;&gt;*RD*", ledger!D:D, "Slub", ledger!C:C, "&lt;&gt;December Closing CF")
))</f>
        <v>0</v>
      </c>
      <c r="J57" s="22" cm="1">
        <f t="array" ref="J57">_xlfn.BYROW(B57, _xlfn.LAMBDA(_xlpm.party,
   SUMIFS(ledger!J:J, ledger!B:B, _xlpm.party, ledger!E:E, "&lt;&gt;*RD*", ledger!D:D, "Satin", ledger!C:C, "&lt;&gt;December Closing CF")
))</f>
        <v>0</v>
      </c>
      <c r="K57" s="70" cm="1">
        <f t="array" ref="K57">_xlfn.BYROW(B57, _xlfn.LAMBDA(_xlpm.party,
   SUMIFS(ledger!J:J, ledger!B:B, _xlpm.party, ledger!E:E, "&lt;&gt;*RD*", ledger!D:D, "Black-chamki", ledger!C:C, "&lt;&gt;December Closing CF")
))</f>
        <v>0</v>
      </c>
      <c r="L57" s="70" cm="1">
        <f t="array" ref="L57">_xlfn.BYROW(B57, _xlfn.LAMBDA(_xlpm.party,
   SUMIFS(ledger!J:J, ledger!B:B, _xlpm.party, ledger!E:E, "&lt;&gt;*RD*", ledger!D:D, "Kataan", ledger!C:C, "&lt;&gt;December Closing CF")
))</f>
        <v>0</v>
      </c>
      <c r="M57" s="70" cm="1">
        <f t="array" ref="M57">_xlfn.BYROW(B57, _xlfn.LAMBDA(_xlpm.party,
   SUMIFS(ledger!J:J, ledger!B:B, _xlpm.party, ledger!E:E, "&lt;&gt;*RD*", ledger!D:D, "Munaar", ledger!C:C, "&lt;&gt;December Closing CF")
))</f>
        <v>0</v>
      </c>
      <c r="N57" s="39">
        <f t="shared" si="4"/>
        <v>559727.50548646681</v>
      </c>
      <c r="O57" s="22">
        <f>(SUMIF(Table14[Party],B57,Table14[Credit]))</f>
        <v>518000</v>
      </c>
      <c r="P57" s="37">
        <f t="shared" si="5"/>
        <v>41727.505486466805</v>
      </c>
      <c r="Q57" s="21">
        <v>10</v>
      </c>
      <c r="R57" s="21">
        <v>12</v>
      </c>
      <c r="U57" s="3" t="s">
        <v>6</v>
      </c>
      <c r="V57" t="s">
        <v>7</v>
      </c>
      <c r="W57" t="s">
        <v>8</v>
      </c>
    </row>
    <row r="58" spans="1:23" x14ac:dyDescent="0.3">
      <c r="B58" s="24" t="str">
        <v>Ashraf Zia</v>
      </c>
      <c r="C58" s="22">
        <v>0</v>
      </c>
      <c r="D58" s="22">
        <v>0</v>
      </c>
      <c r="E58" s="63">
        <v>0</v>
      </c>
      <c r="F58" s="63">
        <v>0</v>
      </c>
      <c r="G58" s="22" cm="1">
        <f t="array" ref="G58">(_xlfn.BYROW(B58,_xlfn.LAMBDA(_xlpm.party,
(SUMIFS(ledger!J:J,ledger!B:B,_xlpm.party,ledger!E:E,"&lt;&gt;*RD*",ledger!D:D,"Chamki",ledger!C:C,"&lt;&gt;December Closing CF")+
SUMIFS(ledger!J:J,ledger!B:B,_xlpm.party,ledger!E:E,"&lt;&gt;*RD*",ledger!D:D,"Crinkle",ledger!C:C,"&lt;&gt;December Closing CF")
))))</f>
        <v>0</v>
      </c>
      <c r="H58" s="22" cm="1">
        <f t="array" ref="H58">_xlfn.BYROW(B58, _xlfn.LAMBDA(_xlpm.party,
   SUMIFS(ledger!J:J, ledger!B:B, _xlpm.party, ledger!E:E, "&lt;&gt;*RD*", ledger!D:D, "Silky", ledger!C:C, "&lt;&gt;December Closing CF")
))</f>
        <v>0</v>
      </c>
      <c r="I58" s="22" cm="1">
        <f t="array" ref="I58">_xlfn.BYROW(B58, _xlfn.LAMBDA(_xlpm.party,
   SUMIFS(ledger!J:J, ledger!B:B, _xlpm.party, ledger!E:E, "&lt;&gt;*RD*", ledger!D:D, "Slub", ledger!C:C, "&lt;&gt;December Closing CF")
))</f>
        <v>0</v>
      </c>
      <c r="J58" s="22" cm="1">
        <f t="array" ref="J58">_xlfn.BYROW(B58, _xlfn.LAMBDA(_xlpm.party,
   SUMIFS(ledger!J:J, ledger!B:B, _xlpm.party, ledger!E:E, "&lt;&gt;*RD*", ledger!D:D, "Satin", ledger!C:C, "&lt;&gt;December Closing CF")
))</f>
        <v>0</v>
      </c>
      <c r="K58" s="70" cm="1">
        <f t="array" ref="K58">_xlfn.BYROW(B58, _xlfn.LAMBDA(_xlpm.party,
   SUMIFS(ledger!J:J, ledger!B:B, _xlpm.party, ledger!E:E, "&lt;&gt;*RD*", ledger!D:D, "Black-chamki", ledger!C:C, "&lt;&gt;December Closing CF")
))</f>
        <v>0</v>
      </c>
      <c r="L58" s="70" cm="1">
        <f t="array" ref="L58">_xlfn.BYROW(B58, _xlfn.LAMBDA(_xlpm.party,
   SUMIFS(ledger!J:J, ledger!B:B, _xlpm.party, ledger!E:E, "&lt;&gt;*RD*", ledger!D:D, "Kataan", ledger!C:C, "&lt;&gt;December Closing CF")
))</f>
        <v>0</v>
      </c>
      <c r="M58" s="70" cm="1">
        <f t="array" ref="M58">_xlfn.BYROW(B58, _xlfn.LAMBDA(_xlpm.party,
   SUMIFS(ledger!J:J, ledger!B:B, _xlpm.party, ledger!E:E, "&lt;&gt;*RD*", ledger!D:D, "Munaar", ledger!C:C, "&lt;&gt;December Closing CF")
))</f>
        <v>0</v>
      </c>
      <c r="N58" s="39">
        <f t="shared" si="4"/>
        <v>0</v>
      </c>
      <c r="O58" s="22">
        <f>(SUMIF(Table14[Party],B58,Table14[Credit]))</f>
        <v>0</v>
      </c>
      <c r="P58" s="37">
        <f t="shared" si="5"/>
        <v>0</v>
      </c>
      <c r="Q58" s="21">
        <v>12</v>
      </c>
      <c r="R58" s="21">
        <v>12</v>
      </c>
      <c r="U58" s="4" t="s">
        <v>21</v>
      </c>
      <c r="V58" s="5">
        <v>556955.92538405268</v>
      </c>
      <c r="W58" s="18">
        <v>5381133.8697878569</v>
      </c>
    </row>
    <row r="59" spans="1:23" x14ac:dyDescent="0.3">
      <c r="B59" s="24" t="str">
        <v>Hafiz Qureshi</v>
      </c>
      <c r="C59" s="22">
        <v>139703</v>
      </c>
      <c r="D59" s="22">
        <v>127745.97659107536</v>
      </c>
      <c r="E59" s="63">
        <v>127745.97659107536</v>
      </c>
      <c r="F59" s="63">
        <v>0</v>
      </c>
      <c r="G59" s="22" cm="1">
        <f t="array" ref="G59">(_xlfn.BYROW(B59,_xlfn.LAMBDA(_xlpm.party,
(SUMIFS(ledger!J:J,ledger!B:B,_xlpm.party,ledger!E:E,"&lt;&gt;*RD*",ledger!D:D,"Chamki",ledger!C:C,"&lt;&gt;December Closing CF")+
SUMIFS(ledger!J:J,ledger!B:B,_xlpm.party,ledger!E:E,"&lt;&gt;*RD*",ledger!D:D,"Crinkle",ledger!C:C,"&lt;&gt;December Closing CF")
))))</f>
        <v>1277459.7659107535</v>
      </c>
      <c r="H59" s="22" cm="1">
        <f t="array" ref="H59">_xlfn.BYROW(B59, _xlfn.LAMBDA(_xlpm.party,
   SUMIFS(ledger!J:J, ledger!B:B, _xlpm.party, ledger!E:E, "&lt;&gt;*RD*", ledger!D:D, "Silky", ledger!C:C, "&lt;&gt;December Closing CF")
))</f>
        <v>0</v>
      </c>
      <c r="I59" s="22" cm="1">
        <f t="array" ref="I59">_xlfn.BYROW(B59, _xlfn.LAMBDA(_xlpm.party,
   SUMIFS(ledger!J:J, ledger!B:B, _xlpm.party, ledger!E:E, "&lt;&gt;*RD*", ledger!D:D, "Slub", ledger!C:C, "&lt;&gt;December Closing CF")
))</f>
        <v>0</v>
      </c>
      <c r="J59" s="22" cm="1">
        <f t="array" ref="J59">_xlfn.BYROW(B59, _xlfn.LAMBDA(_xlpm.party,
   SUMIFS(ledger!J:J, ledger!B:B, _xlpm.party, ledger!E:E, "&lt;&gt;*RD*", ledger!D:D, "Satin", ledger!C:C, "&lt;&gt;December Closing CF")
))</f>
        <v>0</v>
      </c>
      <c r="K59" s="70" cm="1">
        <f t="array" ref="K59">_xlfn.BYROW(B59, _xlfn.LAMBDA(_xlpm.party,
   SUMIFS(ledger!J:J, ledger!B:B, _xlpm.party, ledger!E:E, "&lt;&gt;*RD*", ledger!D:D, "Black-chamki", ledger!C:C, "&lt;&gt;December Closing CF")
))</f>
        <v>0</v>
      </c>
      <c r="L59" s="70" cm="1">
        <f t="array" ref="L59">_xlfn.BYROW(B59, _xlfn.LAMBDA(_xlpm.party,
   SUMIFS(ledger!J:J, ledger!B:B, _xlpm.party, ledger!E:E, "&lt;&gt;*RD*", ledger!D:D, "Kataan", ledger!C:C, "&lt;&gt;December Closing CF")
))</f>
        <v>0</v>
      </c>
      <c r="M59" s="70" cm="1">
        <f t="array" ref="M59">_xlfn.BYROW(B59, _xlfn.LAMBDA(_xlpm.party,
   SUMIFS(ledger!J:J, ledger!B:B, _xlpm.party, ledger!E:E, "&lt;&gt;*RD*", ledger!D:D, "Munaar", ledger!C:C, "&lt;&gt;December Closing CF")
))</f>
        <v>0</v>
      </c>
      <c r="N59" s="39">
        <f t="shared" si="4"/>
        <v>1277459.7659107535</v>
      </c>
      <c r="O59" s="22">
        <f>(SUMIF(Table14[Party],B59,Table14[Credit]))</f>
        <v>1276500</v>
      </c>
      <c r="P59" s="37">
        <f t="shared" si="5"/>
        <v>959.76591075351462</v>
      </c>
      <c r="Q59" s="21">
        <v>10</v>
      </c>
      <c r="R59" s="21">
        <v>12</v>
      </c>
      <c r="U59" s="4" t="s">
        <v>22</v>
      </c>
      <c r="V59" s="5">
        <v>92419.531821506956</v>
      </c>
      <c r="W59" s="18">
        <v>1109034.3818580834</v>
      </c>
    </row>
    <row r="60" spans="1:23" x14ac:dyDescent="0.3">
      <c r="B60" s="24" t="str">
        <v>Badshah Fabrics</v>
      </c>
      <c r="C60" s="22">
        <v>0</v>
      </c>
      <c r="D60" s="22">
        <v>0</v>
      </c>
      <c r="E60" s="63">
        <v>0</v>
      </c>
      <c r="F60" s="63">
        <v>0</v>
      </c>
      <c r="G60" s="22" cm="1">
        <f t="array" ref="G60">(_xlfn.BYROW(B60,_xlfn.LAMBDA(_xlpm.party,
(SUMIFS(ledger!J:J,ledger!B:B,_xlpm.party,ledger!E:E,"&lt;&gt;*RD*",ledger!D:D,"Chamki",ledger!C:C,"&lt;&gt;December Closing CF")+
SUMIFS(ledger!J:J,ledger!B:B,_xlpm.party,ledger!E:E,"&lt;&gt;*RD*",ledger!D:D,"Crinkle",ledger!C:C,"&lt;&gt;December Closing CF")
))))</f>
        <v>0</v>
      </c>
      <c r="H60" s="22" cm="1">
        <f t="array" ref="H60">_xlfn.BYROW(B60, _xlfn.LAMBDA(_xlpm.party,
   SUMIFS(ledger!J:J, ledger!B:B, _xlpm.party, ledger!E:E, "&lt;&gt;*RD*", ledger!D:D, "Silky", ledger!C:C, "&lt;&gt;December Closing CF")
))</f>
        <v>0</v>
      </c>
      <c r="I60" s="22" cm="1">
        <f t="array" ref="I60">_xlfn.BYROW(B60, _xlfn.LAMBDA(_xlpm.party,
   SUMIFS(ledger!J:J, ledger!B:B, _xlpm.party, ledger!E:E, "&lt;&gt;*RD*", ledger!D:D, "Slub", ledger!C:C, "&lt;&gt;December Closing CF")
))</f>
        <v>0</v>
      </c>
      <c r="J60" s="22" cm="1">
        <f t="array" ref="J60">_xlfn.BYROW(B60, _xlfn.LAMBDA(_xlpm.party,
   SUMIFS(ledger!J:J, ledger!B:B, _xlpm.party, ledger!E:E, "&lt;&gt;*RD*", ledger!D:D, "Satin", ledger!C:C, "&lt;&gt;December Closing CF")
))</f>
        <v>0</v>
      </c>
      <c r="K60" s="70" cm="1">
        <f t="array" ref="K60">_xlfn.BYROW(B60, _xlfn.LAMBDA(_xlpm.party,
   SUMIFS(ledger!J:J, ledger!B:B, _xlpm.party, ledger!E:E, "&lt;&gt;*RD*", ledger!D:D, "Black-chamki", ledger!C:C, "&lt;&gt;December Closing CF")
))</f>
        <v>0</v>
      </c>
      <c r="L60" s="70" cm="1">
        <f t="array" ref="L60">_xlfn.BYROW(B60, _xlfn.LAMBDA(_xlpm.party,
   SUMIFS(ledger!J:J, ledger!B:B, _xlpm.party, ledger!E:E, "&lt;&gt;*RD*", ledger!D:D, "Kataan", ledger!C:C, "&lt;&gt;December Closing CF")
))</f>
        <v>0</v>
      </c>
      <c r="M60" s="70" cm="1">
        <f t="array" ref="M60">_xlfn.BYROW(B60, _xlfn.LAMBDA(_xlpm.party,
   SUMIFS(ledger!J:J, ledger!B:B, _xlpm.party, ledger!E:E, "&lt;&gt;*RD*", ledger!D:D, "Munaar", ledger!C:C, "&lt;&gt;December Closing CF")
))</f>
        <v>0</v>
      </c>
      <c r="N60" s="39">
        <f t="shared" si="4"/>
        <v>0</v>
      </c>
      <c r="O60" s="22">
        <f>(SUMIF(Table14[Party],B60,Table14[Credit]))</f>
        <v>0</v>
      </c>
      <c r="P60" s="37">
        <f t="shared" si="5"/>
        <v>0</v>
      </c>
      <c r="Q60" s="21">
        <v>10</v>
      </c>
      <c r="R60" s="21">
        <v>12</v>
      </c>
      <c r="U60" s="4" t="s">
        <v>9</v>
      </c>
      <c r="V60" s="5">
        <v>87661.850768105345</v>
      </c>
      <c r="W60" s="18">
        <v>915572.42136064393</v>
      </c>
    </row>
    <row r="61" spans="1:23" x14ac:dyDescent="0.3">
      <c r="B61" s="24" t="str">
        <v>Gauhar Kashif</v>
      </c>
      <c r="C61" s="22">
        <v>77643</v>
      </c>
      <c r="D61" s="22">
        <v>70997.62253108999</v>
      </c>
      <c r="E61" s="63">
        <v>70997.62253108999</v>
      </c>
      <c r="F61" s="63">
        <v>0</v>
      </c>
      <c r="G61" s="22" cm="1">
        <f t="array" ref="G61">(_xlfn.BYROW(B61,_xlfn.LAMBDA(_xlpm.party,
(SUMIFS(ledger!J:J,ledger!B:B,_xlpm.party,ledger!E:E,"&lt;&gt;*RD*",ledger!D:D,"Chamki",ledger!C:C,"&lt;&gt;December Closing CF")+
SUMIFS(ledger!J:J,ledger!B:B,_xlpm.party,ledger!E:E,"&lt;&gt;*RD*",ledger!D:D,"Crinkle",ledger!C:C,"&lt;&gt;December Closing CF")
))))</f>
        <v>709976.22531089978</v>
      </c>
      <c r="H61" s="22" cm="1">
        <f t="array" ref="H61">_xlfn.BYROW(B61, _xlfn.LAMBDA(_xlpm.party,
   SUMIFS(ledger!J:J, ledger!B:B, _xlpm.party, ledger!E:E, "&lt;&gt;*RD*", ledger!D:D, "Silky", ledger!C:C, "&lt;&gt;December Closing CF")
))</f>
        <v>0</v>
      </c>
      <c r="I61" s="22" cm="1">
        <f t="array" ref="I61">_xlfn.BYROW(B61, _xlfn.LAMBDA(_xlpm.party,
   SUMIFS(ledger!J:J, ledger!B:B, _xlpm.party, ledger!E:E, "&lt;&gt;*RD*", ledger!D:D, "Slub", ledger!C:C, "&lt;&gt;December Closing CF")
))</f>
        <v>0</v>
      </c>
      <c r="J61" s="22" cm="1">
        <f t="array" ref="J61">_xlfn.BYROW(B61, _xlfn.LAMBDA(_xlpm.party,
   SUMIFS(ledger!J:J, ledger!B:B, _xlpm.party, ledger!E:E, "&lt;&gt;*RD*", ledger!D:D, "Satin", ledger!C:C, "&lt;&gt;December Closing CF")
))</f>
        <v>0</v>
      </c>
      <c r="K61" s="70" cm="1">
        <f t="array" ref="K61">_xlfn.BYROW(B61, _xlfn.LAMBDA(_xlpm.party,
   SUMIFS(ledger!J:J, ledger!B:B, _xlpm.party, ledger!E:E, "&lt;&gt;*RD*", ledger!D:D, "Black-chamki", ledger!C:C, "&lt;&gt;December Closing CF")
))</f>
        <v>0</v>
      </c>
      <c r="L61" s="70" cm="1">
        <f t="array" ref="L61">_xlfn.BYROW(B61, _xlfn.LAMBDA(_xlpm.party,
   SUMIFS(ledger!J:J, ledger!B:B, _xlpm.party, ledger!E:E, "&lt;&gt;*RD*", ledger!D:D, "Kataan", ledger!C:C, "&lt;&gt;December Closing CF")
))</f>
        <v>0</v>
      </c>
      <c r="M61" s="70" cm="1">
        <f t="array" ref="M61">_xlfn.BYROW(B61, _xlfn.LAMBDA(_xlpm.party,
   SUMIFS(ledger!J:J, ledger!B:B, _xlpm.party, ledger!E:E, "&lt;&gt;*RD*", ledger!D:D, "Munaar", ledger!C:C, "&lt;&gt;December Closing CF")
))</f>
        <v>0</v>
      </c>
      <c r="N61" s="39">
        <f t="shared" si="4"/>
        <v>709976.22531089978</v>
      </c>
      <c r="O61" s="22">
        <f>(SUMIF(Table14[Party],B61,Table14[Credit]))</f>
        <v>728245</v>
      </c>
      <c r="P61" s="37">
        <f t="shared" si="5"/>
        <v>-18268.774689100217</v>
      </c>
      <c r="Q61" s="21">
        <v>10</v>
      </c>
      <c r="R61" s="21">
        <v>12</v>
      </c>
      <c r="U61" s="4" t="s">
        <v>23</v>
      </c>
      <c r="V61" s="5">
        <v>0</v>
      </c>
      <c r="W61" s="18">
        <v>0</v>
      </c>
    </row>
    <row r="62" spans="1:23" x14ac:dyDescent="0.3">
      <c r="B62" s="80" t="str">
        <v>Amjad 7up</v>
      </c>
      <c r="C62" s="22">
        <v>0</v>
      </c>
      <c r="D62" s="22">
        <v>0</v>
      </c>
      <c r="E62" s="63">
        <v>0</v>
      </c>
      <c r="F62" s="63">
        <v>0</v>
      </c>
      <c r="G62" s="22" cm="1">
        <f t="array" ref="G62">(_xlfn.BYROW(B62,_xlfn.LAMBDA(_xlpm.party,
(SUMIFS(ledger!J:J,ledger!B:B,_xlpm.party,ledger!E:E,"&lt;&gt;*RD*",ledger!D:D,"Chamki",ledger!C:C,"&lt;&gt;December Closing CF")+
SUMIFS(ledger!J:J,ledger!B:B,_xlpm.party,ledger!E:E,"&lt;&gt;*RD*",ledger!D:D,"Crinkle",ledger!C:C,"&lt;&gt;December Closing CF")
))))</f>
        <v>0</v>
      </c>
      <c r="H62" s="22" cm="1">
        <f t="array" ref="H62">_xlfn.BYROW(B62, _xlfn.LAMBDA(_xlpm.party,
   SUMIFS(ledger!J:J, ledger!B:B, _xlpm.party, ledger!E:E, "&lt;&gt;*RD*", ledger!D:D, "Silky", ledger!C:C, "&lt;&gt;December Closing CF")
))</f>
        <v>0</v>
      </c>
      <c r="I62" s="22" cm="1">
        <f t="array" ref="I62">_xlfn.BYROW(B62, _xlfn.LAMBDA(_xlpm.party,
   SUMIFS(ledger!J:J, ledger!B:B, _xlpm.party, ledger!E:E, "&lt;&gt;*RD*", ledger!D:D, "Slub", ledger!C:C, "&lt;&gt;December Closing CF")
))</f>
        <v>0</v>
      </c>
      <c r="J62" s="22" cm="1">
        <f t="array" ref="J62">_xlfn.BYROW(B62, _xlfn.LAMBDA(_xlpm.party,
   SUMIFS(ledger!J:J, ledger!B:B, _xlpm.party, ledger!E:E, "&lt;&gt;*RD*", ledger!D:D, "Satin", ledger!C:C, "&lt;&gt;December Closing CF")
))</f>
        <v>0</v>
      </c>
      <c r="K62" s="70" cm="1">
        <f t="array" ref="K62">_xlfn.BYROW(B62, _xlfn.LAMBDA(_xlpm.party,
   SUMIFS(ledger!J:J, ledger!B:B, _xlpm.party, ledger!E:E, "&lt;&gt;*RD*", ledger!D:D, "Black-chamki", ledger!C:C, "&lt;&gt;December Closing CF")
))</f>
        <v>0</v>
      </c>
      <c r="L62" s="70" cm="1">
        <f t="array" ref="L62">_xlfn.BYROW(B62, _xlfn.LAMBDA(_xlpm.party,
   SUMIFS(ledger!J:J, ledger!B:B, _xlpm.party, ledger!E:E, "&lt;&gt;*RD*", ledger!D:D, "Kataan", ledger!C:C, "&lt;&gt;December Closing CF")
))</f>
        <v>0</v>
      </c>
      <c r="M62" s="70" cm="1">
        <f t="array" ref="M62">_xlfn.BYROW(B62, _xlfn.LAMBDA(_xlpm.party,
   SUMIFS(ledger!J:J, ledger!B:B, _xlpm.party, ledger!E:E, "&lt;&gt;*RD*", ledger!D:D, "Munaar", ledger!C:C, "&lt;&gt;December Closing CF")
))</f>
        <v>0</v>
      </c>
      <c r="N62" s="39">
        <f t="shared" si="4"/>
        <v>0</v>
      </c>
      <c r="O62" s="22">
        <f>(SUMIF(Table14[Party],B62,Table14[Credit]))</f>
        <v>0</v>
      </c>
      <c r="P62" s="37">
        <f t="shared" si="5"/>
        <v>0</v>
      </c>
      <c r="Q62" s="21">
        <v>10</v>
      </c>
      <c r="R62" s="21">
        <v>12</v>
      </c>
      <c r="U62" s="4" t="s">
        <v>24</v>
      </c>
      <c r="V62" s="5">
        <v>0</v>
      </c>
      <c r="W62" s="18">
        <v>0</v>
      </c>
    </row>
    <row r="63" spans="1:23" x14ac:dyDescent="0.3">
      <c r="B63" s="80" t="str">
        <v>Hazrat Khan</v>
      </c>
      <c r="C63" s="22">
        <v>0</v>
      </c>
      <c r="D63" s="22">
        <v>0</v>
      </c>
      <c r="E63" s="63">
        <v>0</v>
      </c>
      <c r="F63" s="63">
        <v>0</v>
      </c>
      <c r="G63" s="22" cm="1">
        <f t="array" ref="G63">(_xlfn.BYROW(B63,_xlfn.LAMBDA(_xlpm.party,
(SUMIFS(ledger!J:J,ledger!B:B,_xlpm.party,ledger!E:E,"&lt;&gt;*RD*",ledger!D:D,"Chamki",ledger!C:C,"&lt;&gt;December Closing CF")+
SUMIFS(ledger!J:J,ledger!B:B,_xlpm.party,ledger!E:E,"&lt;&gt;*RD*",ledger!D:D,"Crinkle",ledger!C:C,"&lt;&gt;December Closing CF")
))))</f>
        <v>0</v>
      </c>
      <c r="H63" s="22" cm="1">
        <f t="array" ref="H63">_xlfn.BYROW(B63, _xlfn.LAMBDA(_xlpm.party,
   SUMIFS(ledger!J:J, ledger!B:B, _xlpm.party, ledger!E:E, "&lt;&gt;*RD*", ledger!D:D, "Silky", ledger!C:C, "&lt;&gt;December Closing CF")
))</f>
        <v>0</v>
      </c>
      <c r="I63" s="22" cm="1">
        <f t="array" ref="I63">_xlfn.BYROW(B63, _xlfn.LAMBDA(_xlpm.party,
   SUMIFS(ledger!J:J, ledger!B:B, _xlpm.party, ledger!E:E, "&lt;&gt;*RD*", ledger!D:D, "Slub", ledger!C:C, "&lt;&gt;December Closing CF")
))</f>
        <v>0</v>
      </c>
      <c r="J63" s="22" cm="1">
        <f t="array" ref="J63">_xlfn.BYROW(B63, _xlfn.LAMBDA(_xlpm.party,
   SUMIFS(ledger!J:J, ledger!B:B, _xlpm.party, ledger!E:E, "&lt;&gt;*RD*", ledger!D:D, "Satin", ledger!C:C, "&lt;&gt;December Closing CF")
))</f>
        <v>0</v>
      </c>
      <c r="K63" s="70" cm="1">
        <f t="array" ref="K63">_xlfn.BYROW(B63, _xlfn.LAMBDA(_xlpm.party,
   SUMIFS(ledger!J:J, ledger!B:B, _xlpm.party, ledger!E:E, "&lt;&gt;*RD*", ledger!D:D, "Black-chamki", ledger!C:C, "&lt;&gt;December Closing CF")
))</f>
        <v>0</v>
      </c>
      <c r="L63" s="70" cm="1">
        <f t="array" ref="L63">_xlfn.BYROW(B63, _xlfn.LAMBDA(_xlpm.party,
   SUMIFS(ledger!J:J, ledger!B:B, _xlpm.party, ledger!E:E, "&lt;&gt;*RD*", ledger!D:D, "Kataan", ledger!C:C, "&lt;&gt;December Closing CF")
))</f>
        <v>0</v>
      </c>
      <c r="M63" s="70" cm="1">
        <f t="array" ref="M63">_xlfn.BYROW(B63, _xlfn.LAMBDA(_xlpm.party,
   SUMIFS(ledger!J:J, ledger!B:B, _xlpm.party, ledger!E:E, "&lt;&gt;*RD*", ledger!D:D, "Munaar", ledger!C:C, "&lt;&gt;December Closing CF")
))</f>
        <v>0</v>
      </c>
      <c r="N63" s="39">
        <f t="shared" si="4"/>
        <v>0</v>
      </c>
      <c r="O63" s="22">
        <f>(SUMIF(Table14[Party],B63,Table14[Credit]))</f>
        <v>0</v>
      </c>
      <c r="P63" s="37">
        <f t="shared" si="5"/>
        <v>0</v>
      </c>
      <c r="Q63" s="21">
        <v>10</v>
      </c>
      <c r="R63" s="21">
        <v>12</v>
      </c>
      <c r="U63" s="4" t="s">
        <v>25</v>
      </c>
      <c r="V63" s="5">
        <v>131296.63496708122</v>
      </c>
      <c r="W63" s="18">
        <v>1044385.5157278713</v>
      </c>
    </row>
    <row r="64" spans="1:23" x14ac:dyDescent="0.3">
      <c r="B64" s="80" t="str">
        <v>Haseeb Shamsi</v>
      </c>
      <c r="C64" s="22">
        <v>0</v>
      </c>
      <c r="D64" s="22">
        <v>0</v>
      </c>
      <c r="E64" s="63">
        <v>0</v>
      </c>
      <c r="F64" s="63">
        <v>0</v>
      </c>
      <c r="G64" s="22" cm="1">
        <f t="array" ref="G64">(_xlfn.BYROW(B64,_xlfn.LAMBDA(_xlpm.party,
(SUMIFS(ledger!J:J,ledger!B:B,_xlpm.party,ledger!E:E,"&lt;&gt;*RD*",ledger!D:D,"Chamki",ledger!C:C,"&lt;&gt;December Closing CF")+
SUMIFS(ledger!J:J,ledger!B:B,_xlpm.party,ledger!E:E,"&lt;&gt;*RD*",ledger!D:D,"Crinkle",ledger!C:C,"&lt;&gt;December Closing CF")
))))</f>
        <v>0</v>
      </c>
      <c r="H64" s="22" cm="1">
        <f t="array" ref="H64">_xlfn.BYROW(B64, _xlfn.LAMBDA(_xlpm.party,
   SUMIFS(ledger!J:J, ledger!B:B, _xlpm.party, ledger!E:E, "&lt;&gt;*RD*", ledger!D:D, "Silky", ledger!C:C, "&lt;&gt;December Closing CF")
))</f>
        <v>0</v>
      </c>
      <c r="I64" s="22" cm="1">
        <f t="array" ref="I64">_xlfn.BYROW(B64, _xlfn.LAMBDA(_xlpm.party,
   SUMIFS(ledger!J:J, ledger!B:B, _xlpm.party, ledger!E:E, "&lt;&gt;*RD*", ledger!D:D, "Slub", ledger!C:C, "&lt;&gt;December Closing CF")
))</f>
        <v>0</v>
      </c>
      <c r="J64" s="22" cm="1">
        <f t="array" ref="J64">_xlfn.BYROW(B64, _xlfn.LAMBDA(_xlpm.party,
   SUMIFS(ledger!J:J, ledger!B:B, _xlpm.party, ledger!E:E, "&lt;&gt;*RD*", ledger!D:D, "Satin", ledger!C:C, "&lt;&gt;December Closing CF")
))</f>
        <v>0</v>
      </c>
      <c r="K64" s="70" cm="1">
        <f t="array" ref="K64">_xlfn.BYROW(B64, _xlfn.LAMBDA(_xlpm.party,
   SUMIFS(ledger!J:J, ledger!B:B, _xlpm.party, ledger!E:E, "&lt;&gt;*RD*", ledger!D:D, "Black-chamki", ledger!C:C, "&lt;&gt;December Closing CF")
))</f>
        <v>0</v>
      </c>
      <c r="L64" s="70" cm="1">
        <f t="array" ref="L64">_xlfn.BYROW(B64, _xlfn.LAMBDA(_xlpm.party,
   SUMIFS(ledger!J:J, ledger!B:B, _xlpm.party, ledger!E:E, "&lt;&gt;*RD*", ledger!D:D, "Kataan", ledger!C:C, "&lt;&gt;December Closing CF")
))</f>
        <v>0</v>
      </c>
      <c r="M64" s="70" cm="1">
        <f t="array" ref="M64">_xlfn.BYROW(B64, _xlfn.LAMBDA(_xlpm.party,
   SUMIFS(ledger!J:J, ledger!B:B, _xlpm.party, ledger!E:E, "&lt;&gt;*RD*", ledger!D:D, "Munaar", ledger!C:C, "&lt;&gt;December Closing CF")
))</f>
        <v>0</v>
      </c>
      <c r="N64" s="39">
        <f t="shared" si="4"/>
        <v>0</v>
      </c>
      <c r="O64" s="22">
        <f>(SUMIF(Table14[Party],B64,Table14[Credit]))</f>
        <v>0</v>
      </c>
      <c r="P64" s="37">
        <f t="shared" si="5"/>
        <v>0</v>
      </c>
      <c r="Q64" s="21">
        <v>10</v>
      </c>
      <c r="R64" s="21">
        <v>12</v>
      </c>
      <c r="U64" s="4" t="s">
        <v>26</v>
      </c>
      <c r="V64" s="5">
        <v>0</v>
      </c>
      <c r="W64" s="18">
        <v>0</v>
      </c>
    </row>
    <row r="65" spans="2:23" x14ac:dyDescent="0.3">
      <c r="B65" s="80" t="str">
        <v>Faizan</v>
      </c>
      <c r="C65" s="22">
        <v>70436</v>
      </c>
      <c r="D65" s="22">
        <v>64407.461594732995</v>
      </c>
      <c r="E65" s="63">
        <v>0</v>
      </c>
      <c r="F65" s="63">
        <v>64407.461594732995</v>
      </c>
      <c r="G65" s="22" cm="1">
        <f t="array" ref="G65">(_xlfn.BYROW(B65,_xlfn.LAMBDA(_xlpm.party,
(SUMIFS(ledger!J:J,ledger!B:B,_xlpm.party,ledger!E:E,"&lt;&gt;*RD*",ledger!D:D,"Chamki",ledger!C:C,"&lt;&gt;December Closing CF")+
SUMIFS(ledger!J:J,ledger!B:B,_xlpm.party,ledger!E:E,"&lt;&gt;*RD*",ledger!D:D,"Crinkle",ledger!C:C,"&lt;&gt;December Closing CF")
))))</f>
        <v>30000</v>
      </c>
      <c r="H65" s="22" cm="1">
        <f t="array" ref="H65">_xlfn.BYROW(B65, _xlfn.LAMBDA(_xlpm.party,
   SUMIFS(ledger!J:J, ledger!B:B, _xlpm.party, ledger!E:E, "&lt;&gt;*RD*", ledger!D:D, "Silky", ledger!C:C, "&lt;&gt;December Closing CF")
))</f>
        <v>837297.00073152897</v>
      </c>
      <c r="I65" s="22" cm="1">
        <f t="array" ref="I65">_xlfn.BYROW(B65, _xlfn.LAMBDA(_xlpm.party,
   SUMIFS(ledger!J:J, ledger!B:B, _xlpm.party, ledger!E:E, "&lt;&gt;*RD*", ledger!D:D, "Slub", ledger!C:C, "&lt;&gt;December Closing CF")
))</f>
        <v>0</v>
      </c>
      <c r="J65" s="22" cm="1">
        <f t="array" ref="J65">_xlfn.BYROW(B65, _xlfn.LAMBDA(_xlpm.party,
   SUMIFS(ledger!J:J, ledger!B:B, _xlpm.party, ledger!E:E, "&lt;&gt;*RD*", ledger!D:D, "Satin", ledger!C:C, "&lt;&gt;December Closing CF")
))</f>
        <v>0</v>
      </c>
      <c r="K65" s="70" cm="1">
        <f t="array" ref="K65">_xlfn.BYROW(B65, _xlfn.LAMBDA(_xlpm.party,
   SUMIFS(ledger!J:J, ledger!B:B, _xlpm.party, ledger!E:E, "&lt;&gt;*RD*", ledger!D:D, "Black-chamki", ledger!C:C, "&lt;&gt;December Closing CF")
))</f>
        <v>0</v>
      </c>
      <c r="L65" s="70" cm="1">
        <f t="array" ref="L65">_xlfn.BYROW(B65, _xlfn.LAMBDA(_xlpm.party,
   SUMIFS(ledger!J:J, ledger!B:B, _xlpm.party, ledger!E:E, "&lt;&gt;*RD*", ledger!D:D, "Kataan", ledger!C:C, "&lt;&gt;December Closing CF")
))</f>
        <v>0</v>
      </c>
      <c r="M65" s="70" cm="1">
        <f t="array" ref="M65">_xlfn.BYROW(B65, _xlfn.LAMBDA(_xlpm.party,
   SUMIFS(ledger!J:J, ledger!B:B, _xlpm.party, ledger!E:E, "&lt;&gt;*RD*", ledger!D:D, "Munaar", ledger!C:C, "&lt;&gt;December Closing CF")
))</f>
        <v>0</v>
      </c>
      <c r="N65" s="39">
        <f t="shared" si="4"/>
        <v>867297.00073152897</v>
      </c>
      <c r="O65" s="22">
        <f>(SUMIF(Table14[Party],B65,Table14[Credit]))</f>
        <v>1108616</v>
      </c>
      <c r="P65" s="37">
        <f t="shared" si="5"/>
        <v>-241318.99926847103</v>
      </c>
      <c r="Q65" s="21">
        <v>10</v>
      </c>
      <c r="R65" s="21">
        <v>13</v>
      </c>
      <c r="U65" s="4" t="s">
        <v>152</v>
      </c>
      <c r="V65" s="5">
        <v>188184.89392831019</v>
      </c>
      <c r="W65" s="18">
        <v>2056600.219458669</v>
      </c>
    </row>
    <row r="66" spans="2:23" x14ac:dyDescent="0.3">
      <c r="B66" s="80" t="str">
        <v>Shafique Ansari</v>
      </c>
      <c r="C66" s="22">
        <v>0</v>
      </c>
      <c r="D66" s="22">
        <v>0</v>
      </c>
      <c r="E66" s="63">
        <v>0</v>
      </c>
      <c r="F66" s="63">
        <v>0</v>
      </c>
      <c r="G66" s="22" cm="1">
        <f t="array" ref="G66">(_xlfn.BYROW(B66,_xlfn.LAMBDA(_xlpm.party,
(SUMIFS(ledger!J:J,ledger!B:B,_xlpm.party,ledger!E:E,"&lt;&gt;*RD*",ledger!D:D,"Chamki",ledger!C:C,"&lt;&gt;December Closing CF")+
SUMIFS(ledger!J:J,ledger!B:B,_xlpm.party,ledger!E:E,"&lt;&gt;*RD*",ledger!D:D,"Crinkle",ledger!C:C,"&lt;&gt;December Closing CF")
))))</f>
        <v>0</v>
      </c>
      <c r="H66" s="22" cm="1">
        <f t="array" ref="H66">_xlfn.BYROW(B66, _xlfn.LAMBDA(_xlpm.party,
   SUMIFS(ledger!J:J, ledger!B:B, _xlpm.party, ledger!E:E, "&lt;&gt;*RD*", ledger!D:D, "Silky", ledger!C:C, "&lt;&gt;December Closing CF")
))</f>
        <v>0</v>
      </c>
      <c r="I66" s="22" cm="1">
        <f t="array" ref="I66">_xlfn.BYROW(B66, _xlfn.LAMBDA(_xlpm.party,
   SUMIFS(ledger!J:J, ledger!B:B, _xlpm.party, ledger!E:E, "&lt;&gt;*RD*", ledger!D:D, "Slub", ledger!C:C, "&lt;&gt;December Closing CF")
))</f>
        <v>0</v>
      </c>
      <c r="J66" s="22" cm="1">
        <f t="array" ref="J66">_xlfn.BYROW(B66, _xlfn.LAMBDA(_xlpm.party,
   SUMIFS(ledger!J:J, ledger!B:B, _xlpm.party, ledger!E:E, "&lt;&gt;*RD*", ledger!D:D, "Satin", ledger!C:C, "&lt;&gt;December Closing CF")
))</f>
        <v>0</v>
      </c>
      <c r="K66" s="70" cm="1">
        <f t="array" ref="K66">_xlfn.BYROW(B66, _xlfn.LAMBDA(_xlpm.party,
   SUMIFS(ledger!J:J, ledger!B:B, _xlpm.party, ledger!E:E, "&lt;&gt;*RD*", ledger!D:D, "Black-chamki", ledger!C:C, "&lt;&gt;December Closing CF")
))</f>
        <v>0</v>
      </c>
      <c r="L66" s="70" cm="1">
        <f t="array" ref="L66">_xlfn.BYROW(B66, _xlfn.LAMBDA(_xlpm.party,
   SUMIFS(ledger!J:J, ledger!B:B, _xlpm.party, ledger!E:E, "&lt;&gt;*RD*", ledger!D:D, "Kataan", ledger!C:C, "&lt;&gt;December Closing CF")
))</f>
        <v>0</v>
      </c>
      <c r="M66" s="70" cm="1">
        <f t="array" ref="M66">_xlfn.BYROW(B66, _xlfn.LAMBDA(_xlpm.party,
   SUMIFS(ledger!J:J, ledger!B:B, _xlpm.party, ledger!E:E, "&lt;&gt;*RD*", ledger!D:D, "Munaar", ledger!C:C, "&lt;&gt;December Closing CF")
))</f>
        <v>0</v>
      </c>
      <c r="N66" s="39">
        <f t="shared" si="4"/>
        <v>0</v>
      </c>
      <c r="O66" s="22">
        <f>(SUMIF(Table14[Party],B66,Table14[Credit]))</f>
        <v>0</v>
      </c>
      <c r="P66" s="37">
        <f t="shared" si="5"/>
        <v>0</v>
      </c>
      <c r="Q66" s="21">
        <v>10</v>
      </c>
      <c r="R66" s="21">
        <v>12</v>
      </c>
      <c r="U66" s="4" t="s">
        <v>35</v>
      </c>
      <c r="V66" s="5">
        <v>43055.961960497443</v>
      </c>
      <c r="W66" s="18">
        <v>516671.54352596932</v>
      </c>
    </row>
    <row r="67" spans="2:23" x14ac:dyDescent="0.3">
      <c r="B67" s="80" t="str">
        <v>Amjad sohail</v>
      </c>
      <c r="C67" s="22">
        <v>124922</v>
      </c>
      <c r="D67" s="22">
        <v>114230.06583760059</v>
      </c>
      <c r="E67" s="63">
        <v>111463.97220190198</v>
      </c>
      <c r="F67" s="63">
        <v>2766.0936356986103</v>
      </c>
      <c r="G67" s="22" cm="1">
        <f t="array" ref="G67">(_xlfn.BYROW(B67,_xlfn.LAMBDA(_xlpm.party,
(SUMIFS(ledger!J:J,ledger!B:B,_xlpm.party,ledger!E:E,"&lt;&gt;*RD*",ledger!D:D,"Chamki",ledger!C:C,"&lt;&gt;December Closing CF")+
SUMIFS(ledger!J:J,ledger!B:B,_xlpm.party,ledger!E:E,"&lt;&gt;*RD*",ledger!D:D,"Crinkle",ledger!C:C,"&lt;&gt;December Closing CF")
))))</f>
        <v>1114639.72201902</v>
      </c>
      <c r="H67" s="22" cm="1">
        <f t="array" ref="H67">_xlfn.BYROW(B67, _xlfn.LAMBDA(_xlpm.party,
   SUMIFS(ledger!J:J, ledger!B:B, _xlpm.party, ledger!E:E, "&lt;&gt;*RD*", ledger!D:D, "Silky", ledger!C:C, "&lt;&gt;December Closing CF")
))</f>
        <v>35959.217264081934</v>
      </c>
      <c r="I67" s="22" cm="1">
        <f t="array" ref="I67">_xlfn.BYROW(B67, _xlfn.LAMBDA(_xlpm.party,
   SUMIFS(ledger!J:J, ledger!B:B, _xlpm.party, ledger!E:E, "&lt;&gt;*RD*", ledger!D:D, "Slub", ledger!C:C, "&lt;&gt;December Closing CF")
))</f>
        <v>0</v>
      </c>
      <c r="J67" s="22" cm="1">
        <f t="array" ref="J67">_xlfn.BYROW(B67, _xlfn.LAMBDA(_xlpm.party,
   SUMIFS(ledger!J:J, ledger!B:B, _xlpm.party, ledger!E:E, "&lt;&gt;*RD*", ledger!D:D, "Satin", ledger!C:C, "&lt;&gt;December Closing CF")
))</f>
        <v>0</v>
      </c>
      <c r="K67" s="70" cm="1">
        <f t="array" ref="K67">_xlfn.BYROW(B67, _xlfn.LAMBDA(_xlpm.party,
   SUMIFS(ledger!J:J, ledger!B:B, _xlpm.party, ledger!E:E, "&lt;&gt;*RD*", ledger!D:D, "Black-chamki", ledger!C:C, "&lt;&gt;December Closing CF")
))</f>
        <v>0</v>
      </c>
      <c r="L67" s="70" cm="1">
        <f t="array" ref="L67">_xlfn.BYROW(B67, _xlfn.LAMBDA(_xlpm.party,
   SUMIFS(ledger!J:J, ledger!B:B, _xlpm.party, ledger!E:E, "&lt;&gt;*RD*", ledger!D:D, "Kataan", ledger!C:C, "&lt;&gt;December Closing CF")
))</f>
        <v>0</v>
      </c>
      <c r="M67" s="70" cm="1">
        <f t="array" ref="M67">_xlfn.BYROW(B67, _xlfn.LAMBDA(_xlpm.party,
   SUMIFS(ledger!J:J, ledger!B:B, _xlpm.party, ledger!E:E, "&lt;&gt;*RD*", ledger!D:D, "Munaar", ledger!C:C, "&lt;&gt;December Closing CF")
))</f>
        <v>0</v>
      </c>
      <c r="N67" s="39">
        <f t="shared" si="4"/>
        <v>1150598.9392831018</v>
      </c>
      <c r="O67" s="22">
        <f>(SUMIF(Table14[Party],B67,Table14[Credit]))</f>
        <v>1508520</v>
      </c>
      <c r="P67" s="37">
        <f t="shared" si="5"/>
        <v>-357921.06071689818</v>
      </c>
      <c r="Q67" s="21">
        <v>10</v>
      </c>
      <c r="R67" s="21">
        <v>12</v>
      </c>
      <c r="U67" s="4" t="s">
        <v>148</v>
      </c>
      <c r="V67" s="5">
        <v>0</v>
      </c>
      <c r="W67" s="18">
        <v>0</v>
      </c>
    </row>
    <row r="68" spans="2:23" x14ac:dyDescent="0.3">
      <c r="B68" s="80" t="str">
        <v>Salman Zaffar</v>
      </c>
      <c r="C68" s="22">
        <v>68676</v>
      </c>
      <c r="D68" s="22">
        <v>62798.098024871986</v>
      </c>
      <c r="E68" s="63">
        <v>20323.701536210683</v>
      </c>
      <c r="F68" s="63">
        <v>0</v>
      </c>
      <c r="G68" s="22" cm="1">
        <f t="array" ref="G68">(_xlfn.BYROW(B68,_xlfn.LAMBDA(_xlpm.party,
(SUMIFS(ledger!J:J,ledger!B:B,_xlpm.party,ledger!E:E,"&lt;&gt;*RD*",ledger!D:D,"Chamki",ledger!C:C,"&lt;&gt;December Closing CF")+
SUMIFS(ledger!J:J,ledger!B:B,_xlpm.party,ledger!E:E,"&lt;&gt;*RD*",ledger!D:D,"Crinkle",ledger!C:C,"&lt;&gt;December Closing CF")
))))</f>
        <v>203237.01536210685</v>
      </c>
      <c r="H68" s="22" cm="1">
        <f t="array" ref="H68">_xlfn.BYROW(B68, _xlfn.LAMBDA(_xlpm.party,
   SUMIFS(ledger!J:J, ledger!B:B, _xlpm.party, ledger!E:E, "&lt;&gt;*RD*", ledger!D:D, "Silky", ledger!C:C, "&lt;&gt;December Closing CF")
))</f>
        <v>0</v>
      </c>
      <c r="I68" s="22" cm="1">
        <f t="array" ref="I68">_xlfn.BYROW(B68, _xlfn.LAMBDA(_xlpm.party,
   SUMIFS(ledger!J:J, ledger!B:B, _xlpm.party, ledger!E:E, "&lt;&gt;*RD*", ledger!D:D, "Slub", ledger!C:C, "&lt;&gt;December Closing CF")
))</f>
        <v>0</v>
      </c>
      <c r="J68" s="22" cm="1">
        <f t="array" ref="J68">_xlfn.BYROW(B68, _xlfn.LAMBDA(_xlpm.party,
   SUMIFS(ledger!J:J, ledger!B:B, _xlpm.party, ledger!E:E, "&lt;&gt;*RD*", ledger!D:D, "Satin", ledger!C:C, "&lt;&gt;December Closing CF")
))</f>
        <v>0</v>
      </c>
      <c r="K68" s="70" cm="1">
        <f t="array" ref="K68">_xlfn.BYROW(B68, _xlfn.LAMBDA(_xlpm.party,
   SUMIFS(ledger!J:J, ledger!B:B, _xlpm.party, ledger!E:E, "&lt;&gt;*RD*", ledger!D:D, "Black-chamki", ledger!C:C, "&lt;&gt;December Closing CF")
))</f>
        <v>0</v>
      </c>
      <c r="L68" s="70" cm="1">
        <f t="array" ref="L68">_xlfn.BYROW(B68, _xlfn.LAMBDA(_xlpm.party,
   SUMIFS(ledger!J:J, ledger!B:B, _xlpm.party, ledger!E:E, "&lt;&gt;*RD*", ledger!D:D, "Kataan", ledger!C:C, "&lt;&gt;December Closing CF")
))</f>
        <v>424743.96488661307</v>
      </c>
      <c r="M68" s="70" cm="1">
        <f t="array" ref="M68">_xlfn.BYROW(B68, _xlfn.LAMBDA(_xlpm.party,
   SUMIFS(ledger!J:J, ledger!B:B, _xlpm.party, ledger!E:E, "&lt;&gt;*RD*", ledger!D:D, "Munaar", ledger!C:C, "&lt;&gt;December Closing CF")
))</f>
        <v>0</v>
      </c>
      <c r="N68" s="39">
        <f t="shared" si="4"/>
        <v>627980.98024871992</v>
      </c>
      <c r="O68" s="22">
        <f>(SUMIF(Table14[Party],B68,Table14[Credit]))</f>
        <v>1150000</v>
      </c>
      <c r="P68" s="37">
        <f t="shared" si="5"/>
        <v>-522019.01975128008</v>
      </c>
      <c r="Q68" s="21">
        <v>10</v>
      </c>
      <c r="R68" s="21">
        <v>12</v>
      </c>
      <c r="U68" s="4" t="s">
        <v>27</v>
      </c>
      <c r="V68" s="5">
        <v>176970.55596196052</v>
      </c>
      <c r="W68" s="18">
        <v>1769705.5596196051</v>
      </c>
    </row>
    <row r="69" spans="2:23" x14ac:dyDescent="0.3">
      <c r="B69" s="80" t="str">
        <v>Shahid Qasayi</v>
      </c>
      <c r="C69" s="22">
        <v>78776</v>
      </c>
      <c r="D69" s="22">
        <v>72033.650329188007</v>
      </c>
      <c r="E69" s="63">
        <v>72033.650329188007</v>
      </c>
      <c r="F69" s="21">
        <v>0</v>
      </c>
      <c r="G69" s="22" cm="1">
        <f t="array" ref="G69">(_xlfn.BYROW(B69,_xlfn.LAMBDA(_xlpm.party,
(SUMIFS(ledger!J:J,ledger!B:B,_xlpm.party,ledger!E:E,"&lt;&gt;*RD*",ledger!D:D,"Chamki",ledger!C:C,"&lt;&gt;December Closing CF")+
SUMIFS(ledger!J:J,ledger!B:B,_xlpm.party,ledger!E:E,"&lt;&gt;*RD*",ledger!D:D,"Crinkle",ledger!C:C,"&lt;&gt;December Closing CF")
))))</f>
        <v>720336.50329188025</v>
      </c>
      <c r="H69" s="22" cm="1">
        <f t="array" ref="H69">_xlfn.BYROW(B69, _xlfn.LAMBDA(_xlpm.party,
   SUMIFS(ledger!J:J, ledger!B:B, _xlpm.party, ledger!E:E, "&lt;&gt;*RD*", ledger!D:D, "Silky", ledger!C:C, "&lt;&gt;December Closing CF")
))</f>
        <v>0</v>
      </c>
      <c r="I69" s="22" cm="1">
        <f t="array" ref="I69">_xlfn.BYROW(B69, _xlfn.LAMBDA(_xlpm.party,
   SUMIFS(ledger!J:J, ledger!B:B, _xlpm.party, ledger!E:E, "&lt;&gt;*RD*", ledger!D:D, "Slub", ledger!C:C, "&lt;&gt;December Closing CF")
))</f>
        <v>0</v>
      </c>
      <c r="J69" s="22" cm="1">
        <f t="array" ref="J69">_xlfn.BYROW(B69, _xlfn.LAMBDA(_xlpm.party,
   SUMIFS(ledger!J:J, ledger!B:B, _xlpm.party, ledger!E:E, "&lt;&gt;*RD*", ledger!D:D, "Satin", ledger!C:C, "&lt;&gt;December Closing CF")
))</f>
        <v>0</v>
      </c>
      <c r="K69" s="70" cm="1">
        <f t="array" ref="K69">_xlfn.BYROW(B69, _xlfn.LAMBDA(_xlpm.party,
   SUMIFS(ledger!J:J, ledger!B:B, _xlpm.party, ledger!E:E, "&lt;&gt;*RD*", ledger!D:D, "Black-chamki", ledger!C:C, "&lt;&gt;December Closing CF")
))</f>
        <v>0</v>
      </c>
      <c r="L69" s="70" cm="1">
        <f t="array" ref="L69">_xlfn.BYROW(B69, _xlfn.LAMBDA(_xlpm.party,
   SUMIFS(ledger!J:J, ledger!B:B, _xlpm.party, ledger!E:E, "&lt;&gt;*RD*", ledger!D:D, "Kataan", ledger!C:C, "&lt;&gt;December Closing CF")
))</f>
        <v>0</v>
      </c>
      <c r="M69" s="70" cm="1">
        <f t="array" ref="M69">_xlfn.BYROW(B69, _xlfn.LAMBDA(_xlpm.party,
   SUMIFS(ledger!J:J, ledger!B:B, _xlpm.party, ledger!E:E, "&lt;&gt;*RD*", ledger!D:D, "Munaar", ledger!C:C, "&lt;&gt;December Closing CF")
))</f>
        <v>0</v>
      </c>
      <c r="N69" s="39">
        <f t="shared" si="4"/>
        <v>720336.50329188025</v>
      </c>
      <c r="O69" s="22">
        <f>(SUMIF(Table14[Party],B69,Table14[Credit]))</f>
        <v>863242</v>
      </c>
      <c r="P69" s="37">
        <f t="shared" si="5"/>
        <v>-142905.49670811975</v>
      </c>
      <c r="Q69" s="21">
        <v>10</v>
      </c>
      <c r="R69" s="21">
        <v>12</v>
      </c>
      <c r="U69" s="4" t="s">
        <v>166</v>
      </c>
      <c r="V69" s="5">
        <v>0</v>
      </c>
      <c r="W69" s="18">
        <v>0</v>
      </c>
    </row>
    <row r="70" spans="2:23" x14ac:dyDescent="0.3">
      <c r="B70" s="80" t="str">
        <v>Hameed corporation</v>
      </c>
      <c r="C70">
        <v>0</v>
      </c>
      <c r="D70">
        <v>0</v>
      </c>
      <c r="E70">
        <v>0</v>
      </c>
      <c r="F70">
        <v>0</v>
      </c>
      <c r="G70" s="22" cm="1">
        <f t="array" ref="G70">(_xlfn.BYROW(B70,_xlfn.LAMBDA(_xlpm.party,
(SUMIFS(ledger!J:J,ledger!B:B,_xlpm.party,ledger!E:E,"&lt;&gt;*RD*",ledger!D:D,"Chamki",ledger!C:C,"&lt;&gt;December Closing CF")+
SUMIFS(ledger!J:J,ledger!B:B,_xlpm.party,ledger!E:E,"&lt;&gt;*RD*",ledger!D:D,"Crinkle",ledger!C:C,"&lt;&gt;December Closing CF")
))))</f>
        <v>0</v>
      </c>
      <c r="H70" s="22" cm="1">
        <f t="array" ref="H70">_xlfn.BYROW(B70, _xlfn.LAMBDA(_xlpm.party,
   SUMIFS(ledger!J:J, ledger!B:B, _xlpm.party, ledger!E:E, "&lt;&gt;*RD*", ledger!D:D, "Silky", ledger!C:C, "&lt;&gt;December Closing CF")
))</f>
        <v>0</v>
      </c>
      <c r="I70" s="22" cm="1">
        <f t="array" ref="I70">_xlfn.BYROW(B70, _xlfn.LAMBDA(_xlpm.party,
   SUMIFS(ledger!J:J, ledger!B:B, _xlpm.party, ledger!E:E, "&lt;&gt;*RD*", ledger!D:D, "Slub", ledger!C:C, "&lt;&gt;December Closing CF")
))</f>
        <v>0</v>
      </c>
      <c r="J70" s="22" cm="1">
        <f t="array" ref="J70">_xlfn.BYROW(B70, _xlfn.LAMBDA(_xlpm.party,
   SUMIFS(ledger!J:J, ledger!B:B, _xlpm.party, ledger!E:E, "&lt;&gt;*RD*", ledger!D:D, "Satin", ledger!C:C, "&lt;&gt;December Closing CF")
))</f>
        <v>0</v>
      </c>
      <c r="K70" s="70" cm="1">
        <f t="array" ref="K70">_xlfn.BYROW(B70, _xlfn.LAMBDA(_xlpm.party,
   SUMIFS(ledger!J:J, ledger!B:B, _xlpm.party, ledger!E:E, "&lt;&gt;*RD*", ledger!D:D, "Black-chamki", ledger!C:C, "&lt;&gt;December Closing CF")
))</f>
        <v>0</v>
      </c>
      <c r="L70" s="70" cm="1">
        <f t="array" ref="L70">_xlfn.BYROW(B70, _xlfn.LAMBDA(_xlpm.party,
   SUMIFS(ledger!J:J, ledger!B:B, _xlpm.party, ledger!E:E, "&lt;&gt;*RD*", ledger!D:D, "Kataan", ledger!C:C, "&lt;&gt;December Closing CF")
))</f>
        <v>0</v>
      </c>
      <c r="M70" s="70" cm="1">
        <f t="array" ref="M70">_xlfn.BYROW(B70, _xlfn.LAMBDA(_xlpm.party,
   SUMIFS(ledger!J:J, ledger!B:B, _xlpm.party, ledger!E:E, "&lt;&gt;*RD*", ledger!D:D, "Munaar", ledger!C:C, "&lt;&gt;December Closing CF")
))</f>
        <v>0</v>
      </c>
      <c r="N70" s="39">
        <f t="shared" si="4"/>
        <v>0</v>
      </c>
      <c r="O70" s="22">
        <f>(SUMIF(Table14[Party],B70,Table14[Credit]))</f>
        <v>0</v>
      </c>
      <c r="P70" s="37">
        <f t="shared" si="5"/>
        <v>0</v>
      </c>
      <c r="U70" s="4" t="s">
        <v>170</v>
      </c>
      <c r="V70" s="5">
        <v>0</v>
      </c>
      <c r="W70" s="18">
        <v>0</v>
      </c>
    </row>
    <row r="71" spans="2:23" x14ac:dyDescent="0.3">
      <c r="B71" s="80" t="str">
        <v>ibraheem behraam</v>
      </c>
      <c r="C71">
        <v>55681</v>
      </c>
      <c r="D71">
        <v>50915.325530358452</v>
      </c>
      <c r="E71">
        <v>0</v>
      </c>
      <c r="F71">
        <v>50915.325530358452</v>
      </c>
      <c r="G71" s="22" cm="1">
        <f t="array" ref="G71">(_xlfn.BYROW(B71,_xlfn.LAMBDA(_xlpm.party,
(SUMIFS(ledger!J:J,ledger!B:B,_xlpm.party,ledger!E:E,"&lt;&gt;*RD*",ledger!D:D,"Chamki",ledger!C:C,"&lt;&gt;December Closing CF")+
SUMIFS(ledger!J:J,ledger!B:B,_xlpm.party,ledger!E:E,"&lt;&gt;*RD*",ledger!D:D,"Crinkle",ledger!C:C,"&lt;&gt;December Closing CF")
))))</f>
        <v>0</v>
      </c>
      <c r="H71" s="22" cm="1">
        <f t="array" ref="H71">_xlfn.BYROW(B71, _xlfn.LAMBDA(_xlpm.party,
   SUMIFS(ledger!J:J, ledger!B:B, _xlpm.party, ledger!E:E, "&lt;&gt;*RD*", ledger!D:D, "Silky", ledger!C:C, "&lt;&gt;December Closing CF")
))</f>
        <v>661899.23189465993</v>
      </c>
      <c r="I71" s="22" cm="1">
        <f t="array" ref="I71">_xlfn.BYROW(B71, _xlfn.LAMBDA(_xlpm.party,
   SUMIFS(ledger!J:J, ledger!B:B, _xlpm.party, ledger!E:E, "&lt;&gt;*RD*", ledger!D:D, "Slub", ledger!C:C, "&lt;&gt;December Closing CF")
))</f>
        <v>0</v>
      </c>
      <c r="J71" s="22" cm="1">
        <f t="array" ref="J71">_xlfn.BYROW(B71, _xlfn.LAMBDA(_xlpm.party,
   SUMIFS(ledger!J:J, ledger!B:B, _xlpm.party, ledger!E:E, "&lt;&gt;*RD*", ledger!D:D, "Satin", ledger!C:C, "&lt;&gt;December Closing CF")
))</f>
        <v>0</v>
      </c>
      <c r="K71" s="70" cm="1">
        <f t="array" ref="K71">_xlfn.BYROW(B71, _xlfn.LAMBDA(_xlpm.party,
   SUMIFS(ledger!J:J, ledger!B:B, _xlpm.party, ledger!E:E, "&lt;&gt;*RD*", ledger!D:D, "Black-chamki", ledger!C:C, "&lt;&gt;December Closing CF")
))</f>
        <v>0</v>
      </c>
      <c r="L71" s="70" cm="1">
        <f t="array" ref="L71">_xlfn.BYROW(B71, _xlfn.LAMBDA(_xlpm.party,
   SUMIFS(ledger!J:J, ledger!B:B, _xlpm.party, ledger!E:E, "&lt;&gt;*RD*", ledger!D:D, "Kataan", ledger!C:C, "&lt;&gt;December Closing CF")
))</f>
        <v>0</v>
      </c>
      <c r="M71" s="70" cm="1">
        <f t="array" ref="M71">_xlfn.BYROW(B71, _xlfn.LAMBDA(_xlpm.party,
   SUMIFS(ledger!J:J, ledger!B:B, _xlpm.party, ledger!E:E, "&lt;&gt;*RD*", ledger!D:D, "Munaar", ledger!C:C, "&lt;&gt;December Closing CF")
))</f>
        <v>0</v>
      </c>
      <c r="N71" s="39">
        <f t="shared" si="4"/>
        <v>661899.23189465993</v>
      </c>
      <c r="O71" s="22">
        <f>(SUMIF(Table14[Party],B71,Table14[Credit]))</f>
        <v>625000</v>
      </c>
      <c r="P71" s="37">
        <f t="shared" si="5"/>
        <v>36899.231894659926</v>
      </c>
      <c r="U71" s="4" t="s">
        <v>171</v>
      </c>
      <c r="V71" s="5">
        <v>0</v>
      </c>
      <c r="W71" s="18">
        <v>0</v>
      </c>
    </row>
    <row r="72" spans="2:23" x14ac:dyDescent="0.3">
      <c r="B72" s="80" t="str">
        <v>Zia-ullah karachi</v>
      </c>
      <c r="C72">
        <v>0</v>
      </c>
      <c r="D72">
        <v>0</v>
      </c>
      <c r="E72">
        <v>0</v>
      </c>
      <c r="F72">
        <v>0</v>
      </c>
      <c r="G72" s="22" cm="1">
        <f t="array" ref="G72">(_xlfn.BYROW(B72,_xlfn.LAMBDA(_xlpm.party,
(SUMIFS(ledger!J:J,ledger!B:B,_xlpm.party,ledger!E:E,"&lt;&gt;*RD*",ledger!D:D,"Chamki",ledger!C:C,"&lt;&gt;December Closing CF")+
SUMIFS(ledger!J:J,ledger!B:B,_xlpm.party,ledger!E:E,"&lt;&gt;*RD*",ledger!D:D,"Crinkle",ledger!C:C,"&lt;&gt;December Closing CF")
))))</f>
        <v>0</v>
      </c>
      <c r="H72" s="22" cm="1">
        <f t="array" ref="H72">_xlfn.BYROW(B72, _xlfn.LAMBDA(_xlpm.party,
   SUMIFS(ledger!J:J, ledger!B:B, _xlpm.party, ledger!E:E, "&lt;&gt;*RD*", ledger!D:D, "Silky", ledger!C:C, "&lt;&gt;December Closing CF")
))</f>
        <v>0</v>
      </c>
      <c r="I72" s="22" cm="1">
        <f t="array" ref="I72">_xlfn.BYROW(B72, _xlfn.LAMBDA(_xlpm.party,
   SUMIFS(ledger!J:J, ledger!B:B, _xlpm.party, ledger!E:E, "&lt;&gt;*RD*", ledger!D:D, "Slub", ledger!C:C, "&lt;&gt;December Closing CF")
))</f>
        <v>0</v>
      </c>
      <c r="J72" s="22" cm="1">
        <f t="array" ref="J72">_xlfn.BYROW(B72, _xlfn.LAMBDA(_xlpm.party,
   SUMIFS(ledger!J:J, ledger!B:B, _xlpm.party, ledger!E:E, "&lt;&gt;*RD*", ledger!D:D, "Satin", ledger!C:C, "&lt;&gt;December Closing CF")
))</f>
        <v>0</v>
      </c>
      <c r="K72" s="70" cm="1">
        <f t="array" ref="K72">_xlfn.BYROW(B72, _xlfn.LAMBDA(_xlpm.party,
   SUMIFS(ledger!J:J, ledger!B:B, _xlpm.party, ledger!E:E, "&lt;&gt;*RD*", ledger!D:D, "Black-chamki", ledger!C:C, "&lt;&gt;December Closing CF")
))</f>
        <v>0</v>
      </c>
      <c r="L72" s="70" cm="1">
        <f t="array" ref="L72">_xlfn.BYROW(B72, _xlfn.LAMBDA(_xlpm.party,
   SUMIFS(ledger!J:J, ledger!B:B, _xlpm.party, ledger!E:E, "&lt;&gt;*RD*", ledger!D:D, "Kataan", ledger!C:C, "&lt;&gt;December Closing CF")
))</f>
        <v>0</v>
      </c>
      <c r="M72" s="70" cm="1">
        <f t="array" ref="M72">_xlfn.BYROW(B72, _xlfn.LAMBDA(_xlpm.party,
   SUMIFS(ledger!J:J, ledger!B:B, _xlpm.party, ledger!E:E, "&lt;&gt;*RD*", ledger!D:D, "Munaar", ledger!C:C, "&lt;&gt;December Closing CF")
))</f>
        <v>0</v>
      </c>
      <c r="N72" s="39">
        <f t="shared" si="4"/>
        <v>0</v>
      </c>
      <c r="O72" s="22">
        <f>(SUMIF(Table14[Party],B72,Table14[Credit]))</f>
        <v>0</v>
      </c>
      <c r="P72" s="37">
        <f t="shared" si="5"/>
        <v>0</v>
      </c>
      <c r="U72" s="4" t="s">
        <v>173</v>
      </c>
      <c r="V72" s="5">
        <v>0</v>
      </c>
      <c r="W72" s="18">
        <v>0</v>
      </c>
    </row>
    <row r="73" spans="2:23" x14ac:dyDescent="0.3">
      <c r="B73" s="80" t="str">
        <v>ZA</v>
      </c>
      <c r="C73">
        <v>0</v>
      </c>
      <c r="D73">
        <v>0</v>
      </c>
      <c r="E73">
        <v>0</v>
      </c>
      <c r="F73">
        <v>0</v>
      </c>
      <c r="G73" s="22" cm="1">
        <f t="array" ref="G73">(_xlfn.BYROW(B73,_xlfn.LAMBDA(_xlpm.party,
(SUMIFS(ledger!J:J,ledger!B:B,_xlpm.party,ledger!E:E,"&lt;&gt;*RD*",ledger!D:D,"Chamki",ledger!C:C,"&lt;&gt;December Closing CF")+
SUMIFS(ledger!J:J,ledger!B:B,_xlpm.party,ledger!E:E,"&lt;&gt;*RD*",ledger!D:D,"Crinkle",ledger!C:C,"&lt;&gt;December Closing CF")
))))</f>
        <v>0</v>
      </c>
      <c r="H73" s="22" cm="1">
        <f t="array" ref="H73">_xlfn.BYROW(B73, _xlfn.LAMBDA(_xlpm.party,
   SUMIFS(ledger!J:J, ledger!B:B, _xlpm.party, ledger!E:E, "&lt;&gt;*RD*", ledger!D:D, "Silky", ledger!C:C, "&lt;&gt;December Closing CF")
))</f>
        <v>0</v>
      </c>
      <c r="I73" s="22" cm="1">
        <f t="array" ref="I73">_xlfn.BYROW(B73, _xlfn.LAMBDA(_xlpm.party,
   SUMIFS(ledger!J:J, ledger!B:B, _xlpm.party, ledger!E:E, "&lt;&gt;*RD*", ledger!D:D, "Slub", ledger!C:C, "&lt;&gt;December Closing CF")
))</f>
        <v>0</v>
      </c>
      <c r="J73" s="22" cm="1">
        <f t="array" ref="J73">_xlfn.BYROW(B73, _xlfn.LAMBDA(_xlpm.party,
   SUMIFS(ledger!J:J, ledger!B:B, _xlpm.party, ledger!E:E, "&lt;&gt;*RD*", ledger!D:D, "Satin", ledger!C:C, "&lt;&gt;December Closing CF")
))</f>
        <v>0</v>
      </c>
      <c r="K73" s="70" cm="1">
        <f t="array" ref="K73">_xlfn.BYROW(B73, _xlfn.LAMBDA(_xlpm.party,
   SUMIFS(ledger!J:J, ledger!B:B, _xlpm.party, ledger!E:E, "&lt;&gt;*RD*", ledger!D:D, "Black-chamki", ledger!C:C, "&lt;&gt;December Closing CF")
))</f>
        <v>0</v>
      </c>
      <c r="L73" s="70" cm="1">
        <f t="array" ref="L73">_xlfn.BYROW(B73, _xlfn.LAMBDA(_xlpm.party,
   SUMIFS(ledger!J:J, ledger!B:B, _xlpm.party, ledger!E:E, "&lt;&gt;*RD*", ledger!D:D, "Kataan", ledger!C:C, "&lt;&gt;December Closing CF")
))</f>
        <v>0</v>
      </c>
      <c r="M73" s="70" cm="1">
        <f t="array" ref="M73">_xlfn.BYROW(B73, _xlfn.LAMBDA(_xlpm.party,
   SUMIFS(ledger!J:J, ledger!B:B, _xlpm.party, ledger!E:E, "&lt;&gt;*RD*", ledger!D:D, "Munaar", ledger!C:C, "&lt;&gt;December Closing CF")
))</f>
        <v>0</v>
      </c>
      <c r="N73" s="39">
        <f t="shared" si="4"/>
        <v>0</v>
      </c>
      <c r="O73" s="22">
        <f>(SUMIF(Table14[Party],B73,Table14[Credit]))</f>
        <v>0</v>
      </c>
      <c r="P73" s="37">
        <f t="shared" si="5"/>
        <v>0</v>
      </c>
      <c r="U73" s="4" t="s">
        <v>175</v>
      </c>
      <c r="V73" s="5">
        <v>115375.82297000733</v>
      </c>
      <c r="W73" s="18">
        <v>1384509.875640088</v>
      </c>
    </row>
    <row r="74" spans="2:23" x14ac:dyDescent="0.3">
      <c r="B74" s="80" t="str">
        <v>Ahmad Javaid</v>
      </c>
      <c r="C74">
        <v>0</v>
      </c>
      <c r="D74">
        <v>0</v>
      </c>
      <c r="E74">
        <v>0</v>
      </c>
      <c r="F74">
        <v>0</v>
      </c>
      <c r="G74" s="22" cm="1">
        <f t="array" ref="G74">(_xlfn.BYROW(B74,_xlfn.LAMBDA(_xlpm.party,
(SUMIFS(ledger!J:J,ledger!B:B,_xlpm.party,ledger!E:E,"&lt;&gt;*RD*",ledger!D:D,"Chamki",ledger!C:C,"&lt;&gt;December Closing CF")+
SUMIFS(ledger!J:J,ledger!B:B,_xlpm.party,ledger!E:E,"&lt;&gt;*RD*",ledger!D:D,"Crinkle",ledger!C:C,"&lt;&gt;December Closing CF")
))))</f>
        <v>0</v>
      </c>
      <c r="H74" s="22" cm="1">
        <f t="array" ref="H74">_xlfn.BYROW(B74, _xlfn.LAMBDA(_xlpm.party,
   SUMIFS(ledger!J:J, ledger!B:B, _xlpm.party, ledger!E:E, "&lt;&gt;*RD*", ledger!D:D, "Silky", ledger!C:C, "&lt;&gt;December Closing CF")
))</f>
        <v>0</v>
      </c>
      <c r="I74" s="22" cm="1">
        <f t="array" ref="I74">_xlfn.BYROW(B74, _xlfn.LAMBDA(_xlpm.party,
   SUMIFS(ledger!J:J, ledger!B:B, _xlpm.party, ledger!E:E, "&lt;&gt;*RD*", ledger!D:D, "Slub", ledger!C:C, "&lt;&gt;December Closing CF")
))</f>
        <v>0</v>
      </c>
      <c r="J74" s="22" cm="1">
        <f t="array" ref="J74">_xlfn.BYROW(B74, _xlfn.LAMBDA(_xlpm.party,
   SUMIFS(ledger!J:J, ledger!B:B, _xlpm.party, ledger!E:E, "&lt;&gt;*RD*", ledger!D:D, "Satin", ledger!C:C, "&lt;&gt;December Closing CF")
))</f>
        <v>0</v>
      </c>
      <c r="K74" s="70" cm="1">
        <f t="array" ref="K74">_xlfn.BYROW(B74, _xlfn.LAMBDA(_xlpm.party,
   SUMIFS(ledger!J:J, ledger!B:B, _xlpm.party, ledger!E:E, "&lt;&gt;*RD*", ledger!D:D, "Black-chamki", ledger!C:C, "&lt;&gt;December Closing CF")
))</f>
        <v>0</v>
      </c>
      <c r="L74" s="70" cm="1">
        <f t="array" ref="L74">_xlfn.BYROW(B74, _xlfn.LAMBDA(_xlpm.party,
   SUMIFS(ledger!J:J, ledger!B:B, _xlpm.party, ledger!E:E, "&lt;&gt;*RD*", ledger!D:D, "Kataan", ledger!C:C, "&lt;&gt;December Closing CF")
))</f>
        <v>0</v>
      </c>
      <c r="M74" s="70" cm="1">
        <f t="array" ref="M74">_xlfn.BYROW(B74, _xlfn.LAMBDA(_xlpm.party,
   SUMIFS(ledger!J:J, ledger!B:B, _xlpm.party, ledger!E:E, "&lt;&gt;*RD*", ledger!D:D, "Munaar", ledger!C:C, "&lt;&gt;December Closing CF")
))</f>
        <v>0</v>
      </c>
      <c r="N74" s="39">
        <f t="shared" si="4"/>
        <v>0</v>
      </c>
      <c r="O74" s="22">
        <f>(SUMIF(Table14[Party],B74,Table14[Credit]))</f>
        <v>0</v>
      </c>
      <c r="P74" s="37">
        <f t="shared" si="5"/>
        <v>0</v>
      </c>
      <c r="U74" s="4" t="s">
        <v>217</v>
      </c>
      <c r="V74" s="5">
        <v>70997.62253108999</v>
      </c>
      <c r="W74" s="18">
        <v>709976.2253108999</v>
      </c>
    </row>
    <row r="75" spans="2:23" x14ac:dyDescent="0.3">
      <c r="B75" s="80" t="str">
        <v>Rehman Ali</v>
      </c>
      <c r="C75">
        <v>50131</v>
      </c>
      <c r="D75">
        <v>45840.343818580841</v>
      </c>
      <c r="E75">
        <v>0</v>
      </c>
      <c r="F75">
        <v>45840.343818580841</v>
      </c>
      <c r="G75" s="22" cm="1">
        <f t="array" ref="G75">(_xlfn.BYROW(B75,_xlfn.LAMBDA(_xlpm.party,
(SUMIFS(ledger!J:J,ledger!B:B,_xlpm.party,ledger!E:E,"&lt;&gt;*RD*",ledger!D:D,"Chamki",ledger!C:C,"&lt;&gt;December Closing CF")+
SUMIFS(ledger!J:J,ledger!B:B,_xlpm.party,ledger!E:E,"&lt;&gt;*RD*",ledger!D:D,"Crinkle",ledger!C:C,"&lt;&gt;December Closing CF")
))))</f>
        <v>0</v>
      </c>
      <c r="H75" s="22" cm="1">
        <f t="array" ref="H75">_xlfn.BYROW(B75, _xlfn.LAMBDA(_xlpm.party,
   SUMIFS(ledger!J:J, ledger!B:B, _xlpm.party, ledger!E:E, "&lt;&gt;*RD*", ledger!D:D, "Silky", ledger!C:C, "&lt;&gt;December Closing CF")
))</f>
        <v>595924.46964155091</v>
      </c>
      <c r="I75" s="22" cm="1">
        <f t="array" ref="I75">_xlfn.BYROW(B75, _xlfn.LAMBDA(_xlpm.party,
   SUMIFS(ledger!J:J, ledger!B:B, _xlpm.party, ledger!E:E, "&lt;&gt;*RD*", ledger!D:D, "Slub", ledger!C:C, "&lt;&gt;December Closing CF")
))</f>
        <v>0</v>
      </c>
      <c r="J75" s="22" cm="1">
        <f t="array" ref="J75">_xlfn.BYROW(B75, _xlfn.LAMBDA(_xlpm.party,
   SUMIFS(ledger!J:J, ledger!B:B, _xlpm.party, ledger!E:E, "&lt;&gt;*RD*", ledger!D:D, "Satin", ledger!C:C, "&lt;&gt;December Closing CF")
))</f>
        <v>0</v>
      </c>
      <c r="K75" s="70" cm="1">
        <f t="array" ref="K75">_xlfn.BYROW(B75, _xlfn.LAMBDA(_xlpm.party,
   SUMIFS(ledger!J:J, ledger!B:B, _xlpm.party, ledger!E:E, "&lt;&gt;*RD*", ledger!D:D, "Black-chamki", ledger!C:C, "&lt;&gt;December Closing CF")
))</f>
        <v>0</v>
      </c>
      <c r="L75" s="70" cm="1">
        <f t="array" ref="L75">_xlfn.BYROW(B75, _xlfn.LAMBDA(_xlpm.party,
   SUMIFS(ledger!J:J, ledger!B:B, _xlpm.party, ledger!E:E, "&lt;&gt;*RD*", ledger!D:D, "Kataan", ledger!C:C, "&lt;&gt;December Closing CF")
))</f>
        <v>0</v>
      </c>
      <c r="M75" s="70" cm="1">
        <f t="array" ref="M75">_xlfn.BYROW(B75, _xlfn.LAMBDA(_xlpm.party,
   SUMIFS(ledger!J:J, ledger!B:B, _xlpm.party, ledger!E:E, "&lt;&gt;*RD*", ledger!D:D, "Munaar", ledger!C:C, "&lt;&gt;December Closing CF")
))</f>
        <v>0</v>
      </c>
      <c r="N75" s="39">
        <f t="shared" si="4"/>
        <v>595924.46964155091</v>
      </c>
      <c r="O75" s="22">
        <f>(SUMIF(Table14[Party],B75,Table14[Credit]))</f>
        <v>550000</v>
      </c>
      <c r="P75" s="37">
        <f t="shared" si="5"/>
        <v>45924.46964155091</v>
      </c>
      <c r="U75" s="4" t="s">
        <v>28</v>
      </c>
      <c r="V75" s="14">
        <v>1462918.8002926116</v>
      </c>
      <c r="W75" s="14">
        <v>14887589.612289688</v>
      </c>
    </row>
    <row r="76" spans="2:23" x14ac:dyDescent="0.3">
      <c r="B76" t="str">
        <v>Shani Badshah</v>
      </c>
      <c r="C76">
        <v>200033</v>
      </c>
      <c r="D76">
        <v>182912.39941477691</v>
      </c>
      <c r="E76">
        <v>96185.076810534025</v>
      </c>
      <c r="F76">
        <v>86727.322604242872</v>
      </c>
      <c r="G76" s="22" cm="1">
        <f t="array" ref="G76">(_xlfn.BYROW(B76,_xlfn.LAMBDA(_xlpm.party,
(SUMIFS(ledger!J:J,ledger!B:B,_xlpm.party,ledger!E:E,"&lt;&gt;*RD*",ledger!D:D,"Chamki",ledger!C:C,"&lt;&gt;November Closing CF")+
SUMIFS(ledger!J:J,ledger!B:B,_xlpm.party,ledger!E:E,"&lt;&gt;*RD*",ledger!D:D,"Crinkle",ledger!C:C,"&lt;&gt;November Closing CF")
))))</f>
        <v>961850.76810534031</v>
      </c>
      <c r="H76" s="22" cm="1">
        <f t="array" ref="H76">_xlfn.BYROW(B76, _xlfn.LAMBDA(_xlpm.party,
   SUMIFS(ledger!J:J, ledger!B:B, _xlpm.party, ledger!E:E, "&lt;&gt;*RD*", ledger!D:D, "Silky", ledger!C:C, "&lt;&gt;November Closing CF")
))</f>
        <v>1127455.1938551574</v>
      </c>
      <c r="I76" s="22" cm="1">
        <f t="array" ref="I76">_xlfn.BYROW(B76, _xlfn.LAMBDA(_xlpm.party,
   SUMIFS(ledger!J:J, ledger!B:B, _xlpm.party, ledger!E:E, "&lt;&gt;*RD*", ledger!D:D, "Slub", ledger!C:C, "&lt;&gt;November Closing CF")
))</f>
        <v>0</v>
      </c>
      <c r="J76" s="22" cm="1">
        <f t="array" ref="J76">_xlfn.BYROW(B76, _xlfn.LAMBDA(_xlpm.party,
   SUMIFS(ledger!J:J, ledger!B:B, _xlpm.party, ledger!E:E, "&lt;&gt;*RD*", ledger!D:D, "Satin", ledger!C:C, "&lt;&gt;November Closing CF")
))</f>
        <v>0</v>
      </c>
      <c r="K76" s="70" cm="1">
        <f t="array" ref="K76">_xlfn.BYROW(B76, _xlfn.LAMBDA(_xlpm.party,
   SUMIFS(ledger!J:J, ledger!B:B, _xlpm.party, ledger!E:E, "&lt;&gt;*RD*", ledger!D:D, "Black-chamki", ledger!C:C, "&lt;&gt;November Closing CF")
))</f>
        <v>0</v>
      </c>
      <c r="L76" s="70" cm="1">
        <f t="array" ref="L76">_xlfn.BYROW(B76, _xlfn.LAMBDA(_xlpm.party,
   SUMIFS(ledger!J:J, ledger!B:B, _xlpm.party, ledger!E:E, "&lt;&gt;*RD*", ledger!D:D, "Kataan", ledger!C:C, "&lt;&gt;November Closing CF")
))</f>
        <v>0</v>
      </c>
      <c r="M76" s="70" cm="1">
        <f t="array" ref="M76">_xlfn.BYROW(B76, _xlfn.LAMBDA(_xlpm.party,
   SUMIFS(ledger!J:J, ledger!B:B, _xlpm.party, ledger!E:E, "&lt;&gt;*RD*", ledger!D:D, "Munaar", ledger!C:C, "&lt;&gt;November Closing CF")
))</f>
        <v>0</v>
      </c>
      <c r="N76" s="39">
        <f t="shared" ref="N76:N79" si="6">SUM(G76:M76)</f>
        <v>2089305.9619604978</v>
      </c>
      <c r="O76" s="22">
        <f>SUMIF(Table14[Party], B76, Table14[Credit])</f>
        <v>1300000</v>
      </c>
      <c r="P76" s="37">
        <f t="shared" ref="P76:P78" si="7">N76-O76</f>
        <v>789305.96196049778</v>
      </c>
    </row>
    <row r="77" spans="2:23" x14ac:dyDescent="0.3">
      <c r="B77" t="str">
        <v>Ahmad Shafique</v>
      </c>
      <c r="C77">
        <v>53541</v>
      </c>
      <c r="D77">
        <v>48958.485735186543</v>
      </c>
      <c r="E77">
        <v>0</v>
      </c>
      <c r="F77">
        <v>48958.485735186543</v>
      </c>
      <c r="G77" s="22" cm="1">
        <f t="array" ref="G77">(_xlfn.BYROW(B77,_xlfn.LAMBDA(_xlpm.party,
(SUMIFS(ledger!J:J,ledger!B:B,_xlpm.party,ledger!E:E,"&lt;&gt;*RD*",ledger!D:D,"Chamki",ledger!C:C,"&lt;&gt;November Closing CF")+
SUMIFS(ledger!J:J,ledger!B:B,_xlpm.party,ledger!E:E,"&lt;&gt;*RD*",ledger!D:D,"Crinkle",ledger!C:C,"&lt;&gt;November Closing CF")
))))</f>
        <v>0</v>
      </c>
      <c r="H77" s="22" cm="1">
        <f t="array" ref="H77">_xlfn.BYROW(B77, _xlfn.LAMBDA(_xlpm.party,
   SUMIFS(ledger!J:J, ledger!B:B, _xlpm.party, ledger!E:E, "&lt;&gt;*RD*", ledger!D:D, "Silky", ledger!C:C, "&lt;&gt;November Closing CF")
))</f>
        <v>636460.3145574251</v>
      </c>
      <c r="I77" s="22" cm="1">
        <f t="array" ref="I77">_xlfn.BYROW(B77, _xlfn.LAMBDA(_xlpm.party,
   SUMIFS(ledger!J:J, ledger!B:B, _xlpm.party, ledger!E:E, "&lt;&gt;*RD*", ledger!D:D, "Slub", ledger!C:C, "&lt;&gt;November Closing CF")
))</f>
        <v>0</v>
      </c>
      <c r="J77" s="22" cm="1">
        <f t="array" ref="J77">_xlfn.BYROW(B77, _xlfn.LAMBDA(_xlpm.party,
   SUMIFS(ledger!J:J, ledger!B:B, _xlpm.party, ledger!E:E, "&lt;&gt;*RD*", ledger!D:D, "Satin", ledger!C:C, "&lt;&gt;November Closing CF")
))</f>
        <v>0</v>
      </c>
      <c r="K77" s="70" cm="1">
        <f t="array" ref="K77">_xlfn.BYROW(B77, _xlfn.LAMBDA(_xlpm.party,
   SUMIFS(ledger!J:J, ledger!B:B, _xlpm.party, ledger!E:E, "&lt;&gt;*RD*", ledger!D:D, "Black-chamki", ledger!C:C, "&lt;&gt;November Closing CF")
))</f>
        <v>0</v>
      </c>
      <c r="L77" s="70" cm="1">
        <f t="array" ref="L77">_xlfn.BYROW(B77, _xlfn.LAMBDA(_xlpm.party,
   SUMIFS(ledger!J:J, ledger!B:B, _xlpm.party, ledger!E:E, "&lt;&gt;*RD*", ledger!D:D, "Kataan", ledger!C:C, "&lt;&gt;November Closing CF")
))</f>
        <v>0</v>
      </c>
      <c r="M77" s="70" cm="1">
        <f t="array" ref="M77">_xlfn.BYROW(B77, _xlfn.LAMBDA(_xlpm.party,
   SUMIFS(ledger!J:J, ledger!B:B, _xlpm.party, ledger!E:E, "&lt;&gt;*RD*", ledger!D:D, "Munaar", ledger!C:C, "&lt;&gt;November Closing CF")
))</f>
        <v>0</v>
      </c>
      <c r="N77" s="39">
        <f t="shared" si="6"/>
        <v>636460.3145574251</v>
      </c>
      <c r="O77" s="22">
        <f>SUMIF(Table14[Party], B77, Table14[Credit])</f>
        <v>636000</v>
      </c>
      <c r="P77" s="37">
        <f t="shared" si="7"/>
        <v>460.3145574250957</v>
      </c>
    </row>
    <row r="78" spans="2:23" x14ac:dyDescent="0.3">
      <c r="B78" t="str">
        <v>Hafiz Shawl</v>
      </c>
      <c r="C78">
        <v>1445</v>
      </c>
      <c r="D78">
        <v>1321.3240673006585</v>
      </c>
      <c r="E78">
        <v>0</v>
      </c>
      <c r="F78">
        <v>1321.3240673006585</v>
      </c>
      <c r="G78" s="22" cm="1">
        <f t="array" ref="G78">(_xlfn.BYROW(B78,_xlfn.LAMBDA(_xlpm.party,
(SUMIFS(ledger!J:J,ledger!B:B,_xlpm.party,ledger!E:E,"&lt;&gt;*RD*",ledger!D:D,"Chamki",ledger!C:C,"&lt;&gt;November Closing CF")+
SUMIFS(ledger!J:J,ledger!B:B,_xlpm.party,ledger!E:E,"&lt;&gt;*RD*",ledger!D:D,"Crinkle",ledger!C:C,"&lt;&gt;November Closing CF")
))))</f>
        <v>0</v>
      </c>
      <c r="H78" s="22" cm="1">
        <f t="array" ref="H78">_xlfn.BYROW(B78, _xlfn.LAMBDA(_xlpm.party,
   SUMIFS(ledger!J:J, ledger!B:B, _xlpm.party, ledger!E:E, "&lt;&gt;*RD*", ledger!D:D, "Silky", ledger!C:C, "&lt;&gt;November Closing CF")
))</f>
        <v>15855.888807607902</v>
      </c>
      <c r="I78" s="22" cm="1">
        <f t="array" ref="I78">_xlfn.BYROW(B78, _xlfn.LAMBDA(_xlpm.party,
   SUMIFS(ledger!J:J, ledger!B:B, _xlpm.party, ledger!E:E, "&lt;&gt;*RD*", ledger!D:D, "Slub", ledger!C:C, "&lt;&gt;November Closing CF")
))</f>
        <v>0</v>
      </c>
      <c r="J78" s="22" cm="1">
        <f t="array" ref="J78">_xlfn.BYROW(B78, _xlfn.LAMBDA(_xlpm.party,
   SUMIFS(ledger!J:J, ledger!B:B, _xlpm.party, ledger!E:E, "&lt;&gt;*RD*", ledger!D:D, "Satin", ledger!C:C, "&lt;&gt;November Closing CF")
))</f>
        <v>0</v>
      </c>
      <c r="K78" s="70" cm="1">
        <f t="array" ref="K78">_xlfn.BYROW(B78, _xlfn.LAMBDA(_xlpm.party,
   SUMIFS(ledger!J:J, ledger!B:B, _xlpm.party, ledger!E:E, "&lt;&gt;*RD*", ledger!D:D, "Black-chamki", ledger!C:C, "&lt;&gt;November Closing CF")
))</f>
        <v>0</v>
      </c>
      <c r="L78" s="70" cm="1">
        <f t="array" ref="L78">_xlfn.BYROW(B78, _xlfn.LAMBDA(_xlpm.party,
   SUMIFS(ledger!J:J, ledger!B:B, _xlpm.party, ledger!E:E, "&lt;&gt;*RD*", ledger!D:D, "Kataan", ledger!C:C, "&lt;&gt;November Closing CF")
))</f>
        <v>0</v>
      </c>
      <c r="M78" s="70" cm="1">
        <f t="array" ref="M78">_xlfn.BYROW(B78, _xlfn.LAMBDA(_xlpm.party,
   SUMIFS(ledger!J:J, ledger!B:B, _xlpm.party, ledger!E:E, "&lt;&gt;*RD*", ledger!D:D, "Munaar", ledger!C:C, "&lt;&gt;November Closing CF")
))</f>
        <v>0</v>
      </c>
      <c r="N78" s="39">
        <f t="shared" si="6"/>
        <v>15855.888807607902</v>
      </c>
      <c r="O78" s="22">
        <f>SUMIF(Table14[Party], B78, Table14[Credit])</f>
        <v>15855</v>
      </c>
      <c r="P78" s="37">
        <f t="shared" si="7"/>
        <v>0.8888076079019811</v>
      </c>
    </row>
    <row r="79" spans="2:23" x14ac:dyDescent="0.3">
      <c r="G79" s="22" cm="1">
        <f t="array" ref="G79">(_xlfn.BYROW(B79,_xlfn.LAMBDA(_xlpm.party,
(SUMIFS(ledger!J:J,ledger!B:B,_xlpm.party,ledger!E:E,"&lt;&gt;*RD*",ledger!D:D,"Chamki",ledger!C:C,"&lt;&gt;November Closing CF")+
SUMIFS(ledger!J:J,ledger!B:B,_xlpm.party,ledger!E:E,"&lt;&gt;*RD*",ledger!D:D,"Crinkle",ledger!C:C,"&lt;&gt;November Closing CF")
))))</f>
        <v>0</v>
      </c>
      <c r="H79" s="22" cm="1">
        <f t="array" ref="H79">_xlfn.BYROW(B79, _xlfn.LAMBDA(_xlpm.party,
   SUMIFS(ledger!J:J, ledger!B:B, _xlpm.party, ledger!E:E, "&lt;&gt;*RD*", ledger!D:D, "Silky", ledger!C:C, "&lt;&gt;November Closing CF")
))</f>
        <v>0</v>
      </c>
      <c r="I79" s="22" cm="1">
        <f t="array" ref="I79">_xlfn.BYROW(B79, _xlfn.LAMBDA(_xlpm.party,
   SUMIFS(ledger!J:J, ledger!B:B, _xlpm.party, ledger!E:E, "&lt;&gt;*RD*", ledger!D:D, "Slub", ledger!C:C, "&lt;&gt;November Closing CF")
))</f>
        <v>0</v>
      </c>
      <c r="J79" s="22" cm="1">
        <f t="array" ref="J79">_xlfn.BYROW(B79, _xlfn.LAMBDA(_xlpm.party,
   SUMIFS(ledger!J:J, ledger!B:B, _xlpm.party, ledger!E:E, "&lt;&gt;*RD*", ledger!D:D, "Satin", ledger!C:C, "&lt;&gt;November Closing CF")
))</f>
        <v>0</v>
      </c>
      <c r="K79" s="70" cm="1">
        <f t="array" ref="K79">_xlfn.BYROW(B79, _xlfn.LAMBDA(_xlpm.party,
   SUMIFS(ledger!J:J, ledger!B:B, _xlpm.party, ledger!E:E, "&lt;&gt;*RD*", ledger!D:D, "Black-chamki", ledger!C:C, "&lt;&gt;November Closing CF")
))</f>
        <v>0</v>
      </c>
      <c r="L79" s="70" cm="1">
        <f t="array" ref="L79">_xlfn.BYROW(B79, _xlfn.LAMBDA(_xlpm.party,
   SUMIFS(ledger!J:J, ledger!B:B, _xlpm.party, ledger!E:E, "&lt;&gt;*RD*", ledger!D:D, "Kataan", ledger!C:C, "&lt;&gt;November Closing CF")
))</f>
        <v>0</v>
      </c>
      <c r="M79" s="70" cm="1">
        <f t="array" ref="M79">_xlfn.BYROW(B79, _xlfn.LAMBDA(_xlpm.party,
   SUMIFS(ledger!J:J, ledger!B:B, _xlpm.party, ledger!E:E, "&lt;&gt;*RD*", ledger!D:D, "Munaar", ledger!C:C, "&lt;&gt;November Closing CF")
))</f>
        <v>0</v>
      </c>
      <c r="N79" s="39">
        <f t="shared" si="6"/>
        <v>0</v>
      </c>
    </row>
    <row r="81" spans="2:18" x14ac:dyDescent="0.3">
      <c r="B81" t="s">
        <v>154</v>
      </c>
    </row>
    <row r="83" spans="2:18" x14ac:dyDescent="0.3">
      <c r="B83" t="s">
        <v>33</v>
      </c>
      <c r="C83" s="23" t="s">
        <v>10</v>
      </c>
      <c r="D83" s="23" t="s">
        <v>11</v>
      </c>
      <c r="E83" s="23" t="s">
        <v>12</v>
      </c>
      <c r="F83" s="23" t="s">
        <v>13</v>
      </c>
      <c r="G83" s="23" t="s">
        <v>14</v>
      </c>
      <c r="H83" s="23" t="s">
        <v>15</v>
      </c>
      <c r="I83" s="23" t="s">
        <v>206</v>
      </c>
      <c r="J83" s="23" t="s">
        <v>180</v>
      </c>
      <c r="K83" s="113" t="s">
        <v>207</v>
      </c>
      <c r="L83" s="113" t="s">
        <v>208</v>
      </c>
      <c r="M83" s="113" t="s">
        <v>204</v>
      </c>
      <c r="N83" s="23" t="s">
        <v>16</v>
      </c>
      <c r="O83" s="23" t="s">
        <v>17</v>
      </c>
      <c r="P83" s="23" t="s">
        <v>18</v>
      </c>
      <c r="Q83" s="23" t="s">
        <v>19</v>
      </c>
      <c r="R83" s="23" t="s">
        <v>20</v>
      </c>
    </row>
    <row r="84" spans="2:18" x14ac:dyDescent="0.3">
      <c r="B84" s="24" t="str" cm="1">
        <f t="array" ref="B84:B113">_xlfn.UNIQUE(Table1[Party Name])</f>
        <v>BSC</v>
      </c>
      <c r="C84" s="22">
        <f>_xlfn.XLOOKUP($B49,[1]Billing!$Q$5:$Q$40,[1]Billing!$R$5:$R$40)</f>
        <v>3114572.8824</v>
      </c>
      <c r="D84" s="22">
        <f>_xlfn.XLOOKUP($B49,[1]Billing!$Q$5:$Q$40,[1]Billing!$S$5:$S$40)</f>
        <v>2848000.0753474766</v>
      </c>
      <c r="E84" s="22">
        <f>_xlfn.XLOOKUP($B49,[1]Billing!$Q$5:$Q$40,[1]Billing!$T$5:$T$40)</f>
        <v>2468066.8273591809</v>
      </c>
      <c r="F84" s="22">
        <f>_xlfn.XLOOKUP($B49,[1]Billing!$Q$5:$Q$40,[1]Billing!$U$5:$U$40)</f>
        <v>379933.24798829557</v>
      </c>
      <c r="G84" s="22">
        <f>_xlfn.XLOOKUP($B49,[1]Billing!$Q$5:$Q$40,[1]Billing!$V$5:$V$40)</f>
        <v>24680668.273591813</v>
      </c>
      <c r="H84" s="22">
        <f>_xlfn.XLOOKUP($B49,[1]Billing!$Q$5:$Q$40,[1]Billing!$W$5:$W$40)</f>
        <v>4850776.335040235</v>
      </c>
      <c r="I84" s="22">
        <f>_xlfn.XLOOKUP($B49,[1]Billing!$Q$5:$Q$40,[1]Billing!$X$5:$X$40)</f>
        <v>0</v>
      </c>
      <c r="J84" s="22">
        <f>_xlfn.XLOOKUP($B49,[1]Billing!$Q$5:$Q$40,[1]Billing!$Y$5:$Y$40)</f>
        <v>0</v>
      </c>
      <c r="K84">
        <f>_xlfn.XLOOKUP($B49,[1]Billing!$Q$5:$Q$40,[1]Billing!$Z$5:$Z$40)</f>
        <v>0</v>
      </c>
      <c r="L84">
        <f>_xlfn.XLOOKUP($B49,[1]Billing!$Q$5:$Q$40,[1]Billing!$AA$5:$AA$40)</f>
        <v>0</v>
      </c>
      <c r="M84">
        <f>_xlfn.XLOOKUP($B49,[1]Billing!$Q$5:$Q$40,[1]Billing!$AB$5:$AB$40)</f>
        <v>0</v>
      </c>
      <c r="N84" s="39">
        <f>G84+H84+I84+J84+K84+L84+M84</f>
        <v>29531444.608632047</v>
      </c>
      <c r="O84" s="22">
        <f>_xlfn.XLOOKUP($B49,[1]Billing!$Q$5:$Q$40,[1]Billing!$AD$5:$AD$40)</f>
        <v>19750734</v>
      </c>
      <c r="P84" s="37">
        <f>N84-O84</f>
        <v>9780710.6086320467</v>
      </c>
      <c r="Q84" s="21">
        <v>10</v>
      </c>
      <c r="R84" s="21">
        <v>13</v>
      </c>
    </row>
    <row r="85" spans="2:18" x14ac:dyDescent="0.3">
      <c r="B85" s="24" t="str">
        <v>Ejaz Sahab</v>
      </c>
      <c r="C85" s="22">
        <f>_xlfn.XLOOKUP($B50,[1]Billing!$Q$5:$Q$40,[1]Billing!$R$5:$R$40)</f>
        <v>479409</v>
      </c>
      <c r="D85" s="22">
        <f>_xlfn.XLOOKUP($B50,[1]Billing!$Q$5:$Q$40,[1]Billing!$S$5:$S$40)</f>
        <v>438376.92026335048</v>
      </c>
      <c r="E85" s="22">
        <f>_xlfn.XLOOKUP($B50,[1]Billing!$Q$5:$Q$40,[1]Billing!$T$5:$T$40)</f>
        <v>148145.57425018289</v>
      </c>
      <c r="F85" s="22">
        <f>_xlfn.XLOOKUP($B50,[1]Billing!$Q$5:$Q$40,[1]Billing!$U$5:$U$40)</f>
        <v>290231.34601316752</v>
      </c>
      <c r="G85" s="22">
        <f>_xlfn.XLOOKUP($B50,[1]Billing!$Q$5:$Q$40,[1]Billing!$V$5:$V$40)</f>
        <v>1481455.7425018288</v>
      </c>
      <c r="H85" s="22">
        <f>_xlfn.XLOOKUP($B50,[1]Billing!$Q$5:$Q$40,[1]Billing!$W$5:$W$40)</f>
        <v>3713863.386978786</v>
      </c>
      <c r="I85" s="22">
        <f>_xlfn.XLOOKUP($B50,[1]Billing!$Q$5:$Q$40,[1]Billing!$X$5:$X$40)</f>
        <v>0</v>
      </c>
      <c r="J85" s="22">
        <f>_xlfn.XLOOKUP($B50,[1]Billing!$Q$5:$Q$40,[1]Billing!$Y$5:$Y$40)</f>
        <v>0</v>
      </c>
      <c r="K85">
        <f>_xlfn.XLOOKUP($B50,[1]Billing!$Q$5:$Q$40,[1]Billing!$Z$5:$Z$40)</f>
        <v>0</v>
      </c>
      <c r="L85">
        <f>_xlfn.XLOOKUP($B50,[1]Billing!$Q$5:$Q$40,[1]Billing!$AA$5:$AA$40)</f>
        <v>0</v>
      </c>
      <c r="M85">
        <f>_xlfn.XLOOKUP($B50,[1]Billing!$Q$5:$Q$40,[1]Billing!$AB$5:$AB$40)</f>
        <v>0</v>
      </c>
      <c r="N85" s="39">
        <f t="shared" ref="N85:N115" si="8">G85+H85+I85+J85+K85+L85+M85</f>
        <v>5195319.1294806153</v>
      </c>
      <c r="O85" s="22">
        <f>_xlfn.XLOOKUP($B50,[1]Billing!$Q$5:$Q$40,[1]Billing!$AD$5:$AD$40)</f>
        <v>5195319</v>
      </c>
      <c r="P85" s="37">
        <f t="shared" ref="P85:P115" si="9">N85-O85</f>
        <v>0.12948061525821686</v>
      </c>
      <c r="Q85" s="21">
        <v>10</v>
      </c>
      <c r="R85" s="21">
        <v>13</v>
      </c>
    </row>
    <row r="86" spans="2:18" x14ac:dyDescent="0.3">
      <c r="B86" s="24" t="str">
        <v>Arshad</v>
      </c>
      <c r="C86" s="22">
        <f>_xlfn.XLOOKUP($B51,[1]Billing!$Q$5:$Q$40,[1]Billing!$R$5:$R$40)</f>
        <v>823577</v>
      </c>
      <c r="D86" s="22">
        <f>_xlfn.XLOOKUP($B51,[1]Billing!$Q$5:$Q$40,[1]Billing!$S$5:$S$40)</f>
        <v>753087.9663496709</v>
      </c>
      <c r="E86" s="22">
        <f>_xlfn.XLOOKUP($B51,[1]Billing!$Q$5:$Q$40,[1]Billing!$T$5:$T$40)</f>
        <v>626388.07607900514</v>
      </c>
      <c r="F86" s="22">
        <f>_xlfn.XLOOKUP($B51,[1]Billing!$Q$5:$Q$40,[1]Billing!$U$5:$U$40)</f>
        <v>126699.8902706657</v>
      </c>
      <c r="G86" s="22">
        <f>_xlfn.XLOOKUP($B51,[1]Billing!$Q$5:$Q$40,[1]Billing!$V$5:$V$40)</f>
        <v>6263880.7607900519</v>
      </c>
      <c r="H86" s="22">
        <f>_xlfn.XLOOKUP($B51,[1]Billing!$Q$5:$Q$40,[1]Billing!$W$5:$W$40)</f>
        <v>1632304.3160204829</v>
      </c>
      <c r="I86" s="22">
        <f>_xlfn.XLOOKUP($B51,[1]Billing!$Q$5:$Q$40,[1]Billing!$X$5:$X$40)</f>
        <v>0</v>
      </c>
      <c r="J86" s="22">
        <f>_xlfn.XLOOKUP($B51,[1]Billing!$Q$5:$Q$40,[1]Billing!$Y$5:$Y$40)</f>
        <v>0</v>
      </c>
      <c r="K86">
        <f>_xlfn.XLOOKUP($B51,[1]Billing!$Q$5:$Q$40,[1]Billing!$Z$5:$Z$40)</f>
        <v>0</v>
      </c>
      <c r="L86">
        <f>_xlfn.XLOOKUP($B51,[1]Billing!$Q$5:$Q$40,[1]Billing!$AA$5:$AA$40)</f>
        <v>0</v>
      </c>
      <c r="M86">
        <f>_xlfn.XLOOKUP($B51,[1]Billing!$Q$5:$Q$40,[1]Billing!$AB$5:$AB$40)</f>
        <v>0</v>
      </c>
      <c r="N86" s="39">
        <f t="shared" si="8"/>
        <v>7896185.076810535</v>
      </c>
      <c r="O86" s="22">
        <f>_xlfn.XLOOKUP($B51,[1]Billing!$Q$5:$Q$40,[1]Billing!$AD$5:$AD$40)</f>
        <v>7835501</v>
      </c>
      <c r="P86" s="37">
        <f t="shared" si="9"/>
        <v>60684.076810535043</v>
      </c>
      <c r="Q86" s="21">
        <v>10</v>
      </c>
      <c r="R86" s="21">
        <v>13</v>
      </c>
    </row>
    <row r="87" spans="2:18" x14ac:dyDescent="0.3">
      <c r="B87" s="24" t="str">
        <v>Shehzad Kamoki</v>
      </c>
      <c r="C87" s="22">
        <f>_xlfn.XLOOKUP($B52,[1]Billing!$Q$5:$Q$40,[1]Billing!$R$5:$R$40)</f>
        <v>143457</v>
      </c>
      <c r="D87" s="22">
        <f>_xlfn.XLOOKUP($B52,[1]Billing!$Q$5:$Q$40,[1]Billing!$S$5:$S$40)</f>
        <v>131178.67593269935</v>
      </c>
      <c r="E87" s="22">
        <f>_xlfn.XLOOKUP($B52,[1]Billing!$Q$5:$Q$40,[1]Billing!$T$5:$T$40)</f>
        <v>131178.67593269935</v>
      </c>
      <c r="F87" s="22">
        <f>_xlfn.XLOOKUP($B52,[1]Billing!$Q$5:$Q$40,[1]Billing!$U$5:$U$40)</f>
        <v>0</v>
      </c>
      <c r="G87" s="22">
        <f>_xlfn.XLOOKUP($B52,[1]Billing!$Q$5:$Q$40,[1]Billing!$V$5:$V$40)</f>
        <v>1354241.9972933433</v>
      </c>
      <c r="H87" s="22">
        <f>_xlfn.XLOOKUP($B52,[1]Billing!$Q$5:$Q$40,[1]Billing!$W$5:$W$40)</f>
        <v>0</v>
      </c>
      <c r="I87" s="22">
        <f>_xlfn.XLOOKUP($B52,[1]Billing!$Q$5:$Q$40,[1]Billing!$X$5:$X$40)</f>
        <v>0</v>
      </c>
      <c r="J87" s="22">
        <f>_xlfn.XLOOKUP($B52,[1]Billing!$Q$5:$Q$40,[1]Billing!$Y$5:$Y$40)</f>
        <v>0</v>
      </c>
      <c r="K87">
        <f>_xlfn.XLOOKUP($B52,[1]Billing!$Q$5:$Q$40,[1]Billing!$Z$5:$Z$40)</f>
        <v>0</v>
      </c>
      <c r="L87">
        <f>_xlfn.XLOOKUP($B52,[1]Billing!$Q$5:$Q$40,[1]Billing!$AA$5:$AA$40)</f>
        <v>0</v>
      </c>
      <c r="M87">
        <f>_xlfn.XLOOKUP($B52,[1]Billing!$Q$5:$Q$40,[1]Billing!$AB$5:$AB$40)</f>
        <v>0</v>
      </c>
      <c r="N87" s="39">
        <f t="shared" si="8"/>
        <v>1354241.9972933433</v>
      </c>
      <c r="O87" s="22">
        <f>_xlfn.XLOOKUP($B52,[1]Billing!$Q$5:$Q$40,[1]Billing!$AD$5:$AD$40)</f>
        <v>1353710</v>
      </c>
      <c r="P87" s="37">
        <f t="shared" si="9"/>
        <v>531.99729334330186</v>
      </c>
      <c r="Q87" s="21">
        <v>10.5</v>
      </c>
      <c r="R87" s="21">
        <v>13</v>
      </c>
    </row>
    <row r="88" spans="2:18" x14ac:dyDescent="0.3">
      <c r="B88" s="24" t="str">
        <v>Sufi Nawaz Sahab</v>
      </c>
      <c r="C88" s="22">
        <f>_xlfn.XLOOKUP($B53,[1]Billing!$Q$5:$Q$40,[1]Billing!$R$5:$R$40)</f>
        <v>1212967</v>
      </c>
      <c r="D88" s="22">
        <f>_xlfn.XLOOKUP($B53,[1]Billing!$Q$5:$Q$40,[1]Billing!$S$5:$S$40)</f>
        <v>1109150.5120702267</v>
      </c>
      <c r="E88" s="22">
        <f>_xlfn.XLOOKUP($B53,[1]Billing!$Q$5:$Q$40,[1]Billing!$T$5:$T$40)</f>
        <v>599330.65106071695</v>
      </c>
      <c r="F88" s="22">
        <f>_xlfn.XLOOKUP($B53,[1]Billing!$Q$5:$Q$40,[1]Billing!$U$5:$U$40)</f>
        <v>485823.88441843458</v>
      </c>
      <c r="G88" s="22">
        <f>_xlfn.XLOOKUP($B53,[1]Billing!$Q$5:$Q$40,[1]Billing!$V$5:$V$40)</f>
        <v>5408917.8595464528</v>
      </c>
      <c r="H88" s="22">
        <f>_xlfn.XLOOKUP($B53,[1]Billing!$Q$5:$Q$40,[1]Billing!$W$5:$W$40)</f>
        <v>5829886.6130212145</v>
      </c>
      <c r="I88" s="22">
        <f>_xlfn.XLOOKUP($B53,[1]Billing!$Q$5:$Q$40,[1]Billing!$X$5:$X$40)</f>
        <v>0</v>
      </c>
      <c r="J88" s="22">
        <f>_xlfn.XLOOKUP($B53,[1]Billing!$Q$5:$Q$40,[1]Billing!$Y$5:$Y$40)</f>
        <v>239959.76591075349</v>
      </c>
      <c r="K88">
        <f>_xlfn.XLOOKUP($B53,[1]Billing!$Q$5:$Q$40,[1]Billing!$Z$5:$Z$40)</f>
        <v>0</v>
      </c>
      <c r="L88">
        <f>_xlfn.XLOOKUP($B53,[1]Billing!$Q$5:$Q$40,[1]Billing!$AA$5:$AA$40)</f>
        <v>0</v>
      </c>
      <c r="M88">
        <f>_xlfn.XLOOKUP($B53,[1]Billing!$Q$5:$Q$40,[1]Billing!$AB$5:$AB$40)</f>
        <v>0</v>
      </c>
      <c r="N88" s="39">
        <f t="shared" si="8"/>
        <v>11478764.23847842</v>
      </c>
      <c r="O88" s="22">
        <f>_xlfn.XLOOKUP($B53,[1]Billing!$Q$5:$Q$40,[1]Billing!$AD$5:$AD$40)</f>
        <v>11478764</v>
      </c>
      <c r="P88" s="37">
        <f t="shared" si="9"/>
        <v>0.23847842030227184</v>
      </c>
      <c r="Q88" s="21">
        <v>10</v>
      </c>
      <c r="R88" s="21">
        <v>13</v>
      </c>
    </row>
    <row r="89" spans="2:18" x14ac:dyDescent="0.3">
      <c r="B89" s="24" t="str">
        <v>Sajad Khan</v>
      </c>
      <c r="C89" s="22">
        <f>_xlfn.XLOOKUP($B54,[1]Billing!$Q$5:$Q$40,[1]Billing!$R$5:$R$40)</f>
        <v>922283</v>
      </c>
      <c r="D89" s="22">
        <f>_xlfn.XLOOKUP($B54,[1]Billing!$Q$5:$Q$40,[1]Billing!$S$5:$S$40)</f>
        <v>843345.83028529643</v>
      </c>
      <c r="E89" s="22">
        <f>_xlfn.XLOOKUP($B54,[1]Billing!$Q$5:$Q$40,[1]Billing!$T$5:$T$40)</f>
        <v>837856.62033650337</v>
      </c>
      <c r="F89" s="22">
        <f>_xlfn.XLOOKUP($B54,[1]Billing!$Q$5:$Q$40,[1]Billing!$U$5:$U$40)</f>
        <v>0</v>
      </c>
      <c r="G89" s="22">
        <f>_xlfn.XLOOKUP($B54,[1]Billing!$Q$5:$Q$40,[1]Billing!$V$5:$V$40)</f>
        <v>8378566.2033650335</v>
      </c>
      <c r="H89" s="22">
        <f>_xlfn.XLOOKUP($B54,[1]Billing!$Q$5:$Q$40,[1]Billing!$W$5:$W$40)</f>
        <v>0</v>
      </c>
      <c r="I89" s="22">
        <f>_xlfn.XLOOKUP($B54,[1]Billing!$Q$5:$Q$40,[1]Billing!$X$5:$X$40)</f>
        <v>71359.729334308722</v>
      </c>
      <c r="J89" s="22">
        <f>_xlfn.XLOOKUP($B54,[1]Billing!$Q$5:$Q$40,[1]Billing!$Y$5:$Y$40)</f>
        <v>0</v>
      </c>
      <c r="K89">
        <f>_xlfn.XLOOKUP($B54,[1]Billing!$Q$5:$Q$40,[1]Billing!$Z$5:$Z$40)</f>
        <v>0</v>
      </c>
      <c r="L89">
        <f>_xlfn.XLOOKUP($B54,[1]Billing!$Q$5:$Q$40,[1]Billing!$AA$5:$AA$40)</f>
        <v>0</v>
      </c>
      <c r="M89">
        <f>_xlfn.XLOOKUP($B54,[1]Billing!$Q$5:$Q$40,[1]Billing!$AB$5:$AB$40)</f>
        <v>0</v>
      </c>
      <c r="N89" s="39">
        <f t="shared" si="8"/>
        <v>8449925.9326993413</v>
      </c>
      <c r="O89" s="22">
        <f>_xlfn.XLOOKUP($B54,[1]Billing!$Q$5:$Q$40,[1]Billing!$AD$5:$AD$40)</f>
        <v>7997871</v>
      </c>
      <c r="P89" s="37">
        <f t="shared" si="9"/>
        <v>452054.93269934133</v>
      </c>
      <c r="Q89" s="21">
        <v>10</v>
      </c>
      <c r="R89" s="21">
        <v>13</v>
      </c>
    </row>
    <row r="90" spans="2:18" x14ac:dyDescent="0.3">
      <c r="B90" s="24" t="str">
        <v>Raaz Fabrics</v>
      </c>
      <c r="C90" s="22">
        <f>_xlfn.XLOOKUP($B55,[1]Billing!$Q$5:$Q$40,[1]Billing!$R$5:$R$40)</f>
        <v>177861</v>
      </c>
      <c r="D90" s="22">
        <f>_xlfn.XLOOKUP($B55,[1]Billing!$Q$5:$Q$40,[1]Billing!$S$5:$S$40)</f>
        <v>162638.07607900514</v>
      </c>
      <c r="E90" s="22">
        <f>_xlfn.XLOOKUP($B55,[1]Billing!$Q$5:$Q$40,[1]Billing!$T$5:$T$40)</f>
        <v>162638.07607900514</v>
      </c>
      <c r="F90" s="22">
        <f>_xlfn.XLOOKUP($B55,[1]Billing!$Q$5:$Q$40,[1]Billing!$U$5:$U$40)</f>
        <v>0</v>
      </c>
      <c r="G90" s="22">
        <f>_xlfn.XLOOKUP($B55,[1]Billing!$Q$5:$Q$40,[1]Billing!$V$5:$V$40)</f>
        <v>1626380.7607900514</v>
      </c>
      <c r="H90" s="22">
        <f>_xlfn.XLOOKUP($B55,[1]Billing!$Q$5:$Q$40,[1]Billing!$W$5:$W$40)</f>
        <v>0</v>
      </c>
      <c r="I90" s="22">
        <f>_xlfn.XLOOKUP($B55,[1]Billing!$Q$5:$Q$40,[1]Billing!$X$5:$X$40)</f>
        <v>0</v>
      </c>
      <c r="J90" s="22">
        <f>_xlfn.XLOOKUP($B55,[1]Billing!$Q$5:$Q$40,[1]Billing!$Y$5:$Y$40)</f>
        <v>0</v>
      </c>
      <c r="K90">
        <f>_xlfn.XLOOKUP($B55,[1]Billing!$Q$5:$Q$40,[1]Billing!$Z$5:$Z$40)</f>
        <v>0</v>
      </c>
      <c r="L90">
        <f>_xlfn.XLOOKUP($B55,[1]Billing!$Q$5:$Q$40,[1]Billing!$AA$5:$AA$40)</f>
        <v>0</v>
      </c>
      <c r="M90">
        <f>_xlfn.XLOOKUP($B55,[1]Billing!$Q$5:$Q$40,[1]Billing!$AB$5:$AB$40)</f>
        <v>0</v>
      </c>
      <c r="N90" s="39">
        <f t="shared" si="8"/>
        <v>1626380.7607900514</v>
      </c>
      <c r="O90" s="22">
        <f>_xlfn.XLOOKUP($B55,[1]Billing!$Q$5:$Q$40,[1]Billing!$AD$5:$AD$40)</f>
        <v>1526321</v>
      </c>
      <c r="P90" s="37">
        <f t="shared" si="9"/>
        <v>100059.76079005143</v>
      </c>
      <c r="Q90" s="21">
        <v>10</v>
      </c>
      <c r="R90" s="21">
        <v>13</v>
      </c>
    </row>
    <row r="91" spans="2:18" x14ac:dyDescent="0.3">
      <c r="B91" s="24" t="str">
        <v>Azam</v>
      </c>
      <c r="C91" s="22">
        <f>_xlfn.XLOOKUP($B56,[1]Billing!$Q$5:$Q$40,[1]Billing!$R$5:$R$40)</f>
        <v>543437</v>
      </c>
      <c r="D91" s="22">
        <f>_xlfn.XLOOKUP($B56,[1]Billing!$Q$5:$Q$40,[1]Billing!$S$5:$S$40)</f>
        <v>496924.83540599863</v>
      </c>
      <c r="E91" s="22">
        <f>_xlfn.XLOOKUP($B56,[1]Billing!$Q$5:$Q$40,[1]Billing!$T$5:$T$40)</f>
        <v>400309.07095830288</v>
      </c>
      <c r="F91" s="22">
        <f>_xlfn.XLOOKUP($B56,[1]Billing!$Q$5:$Q$40,[1]Billing!$U$5:$U$40)</f>
        <v>96615.764447695692</v>
      </c>
      <c r="G91" s="22">
        <f>_xlfn.XLOOKUP($B56,[1]Billing!$Q$5:$Q$40,[1]Billing!$V$5:$V$40)</f>
        <v>4003090.7095830292</v>
      </c>
      <c r="H91" s="22">
        <f>_xlfn.XLOOKUP($B56,[1]Billing!$Q$5:$Q$40,[1]Billing!$W$5:$W$40)</f>
        <v>1256004.9378200439</v>
      </c>
      <c r="I91" s="22">
        <f>_xlfn.XLOOKUP($B56,[1]Billing!$Q$5:$Q$40,[1]Billing!$X$5:$X$40)</f>
        <v>0</v>
      </c>
      <c r="J91" s="22">
        <f>_xlfn.XLOOKUP($B56,[1]Billing!$Q$5:$Q$40,[1]Billing!$Y$5:$Y$40)</f>
        <v>0</v>
      </c>
      <c r="K91">
        <f>_xlfn.XLOOKUP($B56,[1]Billing!$Q$5:$Q$40,[1]Billing!$Z$5:$Z$40)</f>
        <v>0</v>
      </c>
      <c r="L91">
        <f>_xlfn.XLOOKUP($B56,[1]Billing!$Q$5:$Q$40,[1]Billing!$AA$5:$AA$40)</f>
        <v>0</v>
      </c>
      <c r="M91">
        <f>_xlfn.XLOOKUP($B56,[1]Billing!$Q$5:$Q$40,[1]Billing!$AB$5:$AB$40)</f>
        <v>0</v>
      </c>
      <c r="N91" s="39">
        <f t="shared" si="8"/>
        <v>5259095.6474030726</v>
      </c>
      <c r="O91" s="22">
        <f>_xlfn.XLOOKUP($B56,[1]Billing!$Q$5:$Q$40,[1]Billing!$AD$5:$AD$40)</f>
        <v>5089540</v>
      </c>
      <c r="P91" s="37">
        <f t="shared" si="9"/>
        <v>169555.64740307257</v>
      </c>
      <c r="Q91" s="21">
        <v>10</v>
      </c>
      <c r="R91" s="21">
        <v>13</v>
      </c>
    </row>
    <row r="92" spans="2:18" x14ac:dyDescent="0.3">
      <c r="B92" s="24" t="str">
        <v>Ubaidullah</v>
      </c>
      <c r="C92" s="22">
        <f>_xlfn.XLOOKUP($B57,[1]Billing!$Q$5:$Q$40,[1]Billing!$R$5:$R$40)</f>
        <v>126448</v>
      </c>
      <c r="D92" s="22">
        <f>_xlfn.XLOOKUP($B57,[1]Billing!$Q$5:$Q$40,[1]Billing!$S$5:$S$40)</f>
        <v>115625.45720555962</v>
      </c>
      <c r="E92" s="22">
        <f>_xlfn.XLOOKUP($B57,[1]Billing!$Q$5:$Q$40,[1]Billing!$T$5:$T$40)</f>
        <v>46132.955376737387</v>
      </c>
      <c r="F92" s="22">
        <f>_xlfn.XLOOKUP($B57,[1]Billing!$Q$5:$Q$40,[1]Billing!$U$5:$U$40)</f>
        <v>69492.501828822249</v>
      </c>
      <c r="G92" s="22">
        <f>_xlfn.XLOOKUP($B57,[1]Billing!$Q$5:$Q$40,[1]Billing!$V$5:$V$40)</f>
        <v>461329.5537673739</v>
      </c>
      <c r="H92" s="22">
        <f>_xlfn.XLOOKUP($B57,[1]Billing!$Q$5:$Q$40,[1]Billing!$W$5:$W$40)</f>
        <v>888407.09583028522</v>
      </c>
      <c r="I92" s="22">
        <f>_xlfn.XLOOKUP($B57,[1]Billing!$Q$5:$Q$40,[1]Billing!$X$5:$X$40)</f>
        <v>0</v>
      </c>
      <c r="J92" s="22">
        <f>_xlfn.XLOOKUP($B57,[1]Billing!$Q$5:$Q$40,[1]Billing!$Y$5:$Y$40)</f>
        <v>0</v>
      </c>
      <c r="K92">
        <f>_xlfn.XLOOKUP($B57,[1]Billing!$Q$5:$Q$40,[1]Billing!$Z$5:$Z$40)</f>
        <v>0</v>
      </c>
      <c r="L92">
        <f>_xlfn.XLOOKUP($B57,[1]Billing!$Q$5:$Q$40,[1]Billing!$AA$5:$AA$40)</f>
        <v>0</v>
      </c>
      <c r="M92">
        <f>_xlfn.XLOOKUP($B57,[1]Billing!$Q$5:$Q$40,[1]Billing!$AB$5:$AB$40)</f>
        <v>0</v>
      </c>
      <c r="N92" s="39">
        <f t="shared" si="8"/>
        <v>1349736.6495976592</v>
      </c>
      <c r="O92" s="22">
        <f>_xlfn.XLOOKUP($B57,[1]Billing!$Q$5:$Q$40,[1]Billing!$AD$5:$AD$40)</f>
        <v>1390190</v>
      </c>
      <c r="P92" s="37">
        <f t="shared" si="9"/>
        <v>-40453.350402340759</v>
      </c>
      <c r="Q92" s="21">
        <v>10</v>
      </c>
      <c r="R92" s="21">
        <v>13</v>
      </c>
    </row>
    <row r="93" spans="2:18" x14ac:dyDescent="0.3">
      <c r="B93" s="24" t="str">
        <v>Ashraf Zia</v>
      </c>
      <c r="C93" s="22">
        <f>_xlfn.XLOOKUP($B58,[1]Billing!$Q$5:$Q$40,[1]Billing!$R$5:$R$40)</f>
        <v>23305</v>
      </c>
      <c r="D93" s="22">
        <f>_xlfn.XLOOKUP($B58,[1]Billing!$Q$5:$Q$40,[1]Billing!$S$5:$S$40)</f>
        <v>21310.35113386979</v>
      </c>
      <c r="E93" s="22">
        <f>_xlfn.XLOOKUP($B58,[1]Billing!$Q$5:$Q$40,[1]Billing!$T$5:$T$40)</f>
        <v>21310.35113386979</v>
      </c>
      <c r="F93" s="22">
        <f>_xlfn.XLOOKUP($B58,[1]Billing!$Q$5:$Q$40,[1]Billing!$U$5:$U$40)</f>
        <v>0</v>
      </c>
      <c r="G93" s="22">
        <f>_xlfn.XLOOKUP($B58,[1]Billing!$Q$5:$Q$40,[1]Billing!$V$5:$V$40)</f>
        <v>255724.21360643749</v>
      </c>
      <c r="H93" s="22">
        <f>_xlfn.XLOOKUP($B58,[1]Billing!$Q$5:$Q$40,[1]Billing!$W$5:$W$40)</f>
        <v>0</v>
      </c>
      <c r="I93" s="22">
        <f>_xlfn.XLOOKUP($B58,[1]Billing!$Q$5:$Q$40,[1]Billing!$X$5:$X$40)</f>
        <v>0</v>
      </c>
      <c r="J93" s="22">
        <f>_xlfn.XLOOKUP($B58,[1]Billing!$Q$5:$Q$40,[1]Billing!$Y$5:$Y$40)</f>
        <v>0</v>
      </c>
      <c r="K93">
        <f>_xlfn.XLOOKUP($B58,[1]Billing!$Q$5:$Q$40,[1]Billing!$Z$5:$Z$40)</f>
        <v>0</v>
      </c>
      <c r="L93">
        <f>_xlfn.XLOOKUP($B58,[1]Billing!$Q$5:$Q$40,[1]Billing!$AA$5:$AA$40)</f>
        <v>0</v>
      </c>
      <c r="M93">
        <f>_xlfn.XLOOKUP($B58,[1]Billing!$Q$5:$Q$40,[1]Billing!$AB$5:$AB$40)</f>
        <v>0</v>
      </c>
      <c r="N93" s="39">
        <f t="shared" si="8"/>
        <v>255724.21360643749</v>
      </c>
      <c r="O93" s="22">
        <f>_xlfn.XLOOKUP($B58,[1]Billing!$Q$5:$Q$40,[1]Billing!$AD$5:$AD$40)</f>
        <v>130000</v>
      </c>
      <c r="P93" s="37">
        <f t="shared" si="9"/>
        <v>125724.21360643749</v>
      </c>
      <c r="Q93" s="21">
        <v>12</v>
      </c>
      <c r="R93" s="21">
        <v>13</v>
      </c>
    </row>
    <row r="94" spans="2:18" x14ac:dyDescent="0.3">
      <c r="B94" s="24" t="str">
        <v>Hafiz Qureshi</v>
      </c>
      <c r="C94" s="22">
        <f>_xlfn.XLOOKUP($B59,[1]Billing!$Q$5:$Q$40,[1]Billing!$R$5:$R$40)</f>
        <v>314924</v>
      </c>
      <c r="D94" s="22">
        <f>_xlfn.XLOOKUP($B59,[1]Billing!$Q$5:$Q$40,[1]Billing!$S$5:$S$40)</f>
        <v>287970.007315289</v>
      </c>
      <c r="E94" s="22">
        <f>_xlfn.XLOOKUP($B59,[1]Billing!$Q$5:$Q$40,[1]Billing!$T$5:$T$40)</f>
        <v>287970.007315289</v>
      </c>
      <c r="F94" s="22">
        <f>_xlfn.XLOOKUP($B59,[1]Billing!$Q$5:$Q$40,[1]Billing!$U$5:$U$40)</f>
        <v>0</v>
      </c>
      <c r="G94" s="22">
        <f>_xlfn.XLOOKUP($B59,[1]Billing!$Q$5:$Q$40,[1]Billing!$V$5:$V$40)</f>
        <v>2879700.07315289</v>
      </c>
      <c r="H94" s="22">
        <f>_xlfn.XLOOKUP($B59,[1]Billing!$Q$5:$Q$40,[1]Billing!$W$5:$W$40)</f>
        <v>0</v>
      </c>
      <c r="I94" s="22">
        <f>_xlfn.XLOOKUP($B59,[1]Billing!$Q$5:$Q$40,[1]Billing!$X$5:$X$40)</f>
        <v>0</v>
      </c>
      <c r="J94" s="22">
        <f>_xlfn.XLOOKUP($B59,[1]Billing!$Q$5:$Q$40,[1]Billing!$Y$5:$Y$40)</f>
        <v>0</v>
      </c>
      <c r="K94">
        <f>_xlfn.XLOOKUP($B59,[1]Billing!$Q$5:$Q$40,[1]Billing!$Z$5:$Z$40)</f>
        <v>0</v>
      </c>
      <c r="L94">
        <f>_xlfn.XLOOKUP($B59,[1]Billing!$Q$5:$Q$40,[1]Billing!$AA$5:$AA$40)</f>
        <v>0</v>
      </c>
      <c r="M94">
        <f>_xlfn.XLOOKUP($B59,[1]Billing!$Q$5:$Q$40,[1]Billing!$AB$5:$AB$40)</f>
        <v>0</v>
      </c>
      <c r="N94" s="39">
        <f t="shared" si="8"/>
        <v>2879700.07315289</v>
      </c>
      <c r="O94" s="22">
        <f>_xlfn.XLOOKUP($B59,[1]Billing!$Q$5:$Q$40,[1]Billing!$AD$5:$AD$40)</f>
        <v>2869679</v>
      </c>
      <c r="P94" s="37">
        <f t="shared" si="9"/>
        <v>10021.073152889963</v>
      </c>
      <c r="Q94" s="21">
        <v>10</v>
      </c>
      <c r="R94" s="21">
        <v>13</v>
      </c>
    </row>
    <row r="95" spans="2:18" x14ac:dyDescent="0.3">
      <c r="B95" s="24" t="str">
        <v>Badshah Fabrics</v>
      </c>
      <c r="C95" s="22">
        <f>_xlfn.XLOOKUP($B60,[1]Billing!$Q$5:$Q$40,[1]Billing!$R$5:$R$40)</f>
        <v>681314</v>
      </c>
      <c r="D95" s="22">
        <f>_xlfn.XLOOKUP($B60,[1]Billing!$Q$5:$Q$40,[1]Billing!$S$5:$S$40)</f>
        <v>623001.09729334316</v>
      </c>
      <c r="E95" s="22">
        <f>_xlfn.XLOOKUP($B60,[1]Billing!$Q$5:$Q$40,[1]Billing!$T$5:$T$40)</f>
        <v>481526.15215801029</v>
      </c>
      <c r="F95" s="22">
        <f>_xlfn.XLOOKUP($B60,[1]Billing!$Q$5:$Q$40,[1]Billing!$U$5:$U$40)</f>
        <v>141474.94513533285</v>
      </c>
      <c r="G95" s="22">
        <f>_xlfn.XLOOKUP($B60,[1]Billing!$Q$5:$Q$40,[1]Billing!$V$5:$V$40)</f>
        <v>4861679.7732260432</v>
      </c>
      <c r="H95" s="22">
        <f>_xlfn.XLOOKUP($B60,[1]Billing!$Q$5:$Q$40,[1]Billing!$W$5:$W$40)</f>
        <v>1776019.5683979518</v>
      </c>
      <c r="I95" s="22">
        <f>_xlfn.XLOOKUP($B60,[1]Billing!$Q$5:$Q$40,[1]Billing!$X$5:$X$40)</f>
        <v>0</v>
      </c>
      <c r="J95" s="22">
        <f>_xlfn.XLOOKUP($B60,[1]Billing!$Q$5:$Q$40,[1]Billing!$Y$5:$Y$40)</f>
        <v>0</v>
      </c>
      <c r="K95">
        <f>_xlfn.XLOOKUP($B60,[1]Billing!$Q$5:$Q$40,[1]Billing!$Z$5:$Z$40)</f>
        <v>0</v>
      </c>
      <c r="L95">
        <f>_xlfn.XLOOKUP($B60,[1]Billing!$Q$5:$Q$40,[1]Billing!$AA$5:$AA$40)</f>
        <v>0</v>
      </c>
      <c r="M95">
        <f>_xlfn.XLOOKUP($B60,[1]Billing!$Q$5:$Q$40,[1]Billing!$AB$5:$AB$40)</f>
        <v>0</v>
      </c>
      <c r="N95" s="39">
        <f t="shared" si="8"/>
        <v>6637699.3416239955</v>
      </c>
      <c r="O95" s="22">
        <f>_xlfn.XLOOKUP($B60,[1]Billing!$Q$5:$Q$40,[1]Billing!$AD$5:$AD$40)</f>
        <v>6545761</v>
      </c>
      <c r="P95" s="37">
        <f t="shared" si="9"/>
        <v>91938.341623995453</v>
      </c>
      <c r="Q95" s="21">
        <v>10</v>
      </c>
      <c r="R95" s="21">
        <v>13</v>
      </c>
    </row>
    <row r="96" spans="2:18" x14ac:dyDescent="0.3">
      <c r="B96" s="24" t="str">
        <v>Gauhar Kashif</v>
      </c>
      <c r="C96" s="22">
        <f>_xlfn.XLOOKUP($B61,[1]Billing!$Q$5:$Q$40,[1]Billing!$R$5:$R$40)</f>
        <v>55125</v>
      </c>
      <c r="D96" s="22">
        <f>_xlfn.XLOOKUP($B61,[1]Billing!$Q$5:$Q$40,[1]Billing!$S$5:$S$40)</f>
        <v>50406.91294806145</v>
      </c>
      <c r="E96" s="22">
        <f>_xlfn.XLOOKUP($B61,[1]Billing!$Q$5:$Q$40,[1]Billing!$T$5:$T$40)</f>
        <v>50406.91294806145</v>
      </c>
      <c r="F96" s="22">
        <f>_xlfn.XLOOKUP($B61,[1]Billing!$Q$5:$Q$40,[1]Billing!$U$5:$U$40)</f>
        <v>0</v>
      </c>
      <c r="G96" s="22">
        <f>_xlfn.XLOOKUP($B61,[1]Billing!$Q$5:$Q$40,[1]Billing!$V$5:$V$40)</f>
        <v>504069.1294806145</v>
      </c>
      <c r="H96" s="22">
        <f>_xlfn.XLOOKUP($B61,[1]Billing!$Q$5:$Q$40,[1]Billing!$W$5:$W$40)</f>
        <v>0</v>
      </c>
      <c r="I96" s="22">
        <f>_xlfn.XLOOKUP($B61,[1]Billing!$Q$5:$Q$40,[1]Billing!$X$5:$X$40)</f>
        <v>0</v>
      </c>
      <c r="J96" s="22">
        <f>_xlfn.XLOOKUP($B61,[1]Billing!$Q$5:$Q$40,[1]Billing!$Y$5:$Y$40)</f>
        <v>0</v>
      </c>
      <c r="K96">
        <f>_xlfn.XLOOKUP($B61,[1]Billing!$Q$5:$Q$40,[1]Billing!$Z$5:$Z$40)</f>
        <v>0</v>
      </c>
      <c r="L96">
        <f>_xlfn.XLOOKUP($B61,[1]Billing!$Q$5:$Q$40,[1]Billing!$AA$5:$AA$40)</f>
        <v>0</v>
      </c>
      <c r="M96">
        <f>_xlfn.XLOOKUP($B61,[1]Billing!$Q$5:$Q$40,[1]Billing!$AB$5:$AB$40)</f>
        <v>0</v>
      </c>
      <c r="N96" s="39">
        <f t="shared" si="8"/>
        <v>504069.1294806145</v>
      </c>
      <c r="O96" s="22">
        <f>_xlfn.XLOOKUP($B61,[1]Billing!$Q$5:$Q$40,[1]Billing!$AD$5:$AD$40)</f>
        <v>485800</v>
      </c>
      <c r="P96" s="37">
        <f t="shared" si="9"/>
        <v>18269.129480614502</v>
      </c>
      <c r="Q96" s="21">
        <v>10</v>
      </c>
      <c r="R96" s="21">
        <v>13</v>
      </c>
    </row>
    <row r="97" spans="2:18" x14ac:dyDescent="0.3">
      <c r="B97" s="24" t="str">
        <v>Amjad 7up</v>
      </c>
      <c r="C97" s="22">
        <f>_xlfn.XLOOKUP($B62,[1]Billing!$Q$5:$Q$40,[1]Billing!$R$5:$R$40)</f>
        <v>52914</v>
      </c>
      <c r="D97" s="22">
        <f>_xlfn.XLOOKUP($B62,[1]Billing!$Q$5:$Q$40,[1]Billing!$S$5:$S$40)</f>
        <v>48385.149963423559</v>
      </c>
      <c r="E97" s="22">
        <f>_xlfn.XLOOKUP($B62,[1]Billing!$Q$5:$Q$40,[1]Billing!$T$5:$T$40)</f>
        <v>48385.149963423559</v>
      </c>
      <c r="F97" s="22">
        <f>_xlfn.XLOOKUP($B62,[1]Billing!$Q$5:$Q$40,[1]Billing!$U$5:$U$40)</f>
        <v>0</v>
      </c>
      <c r="G97" s="22">
        <f>_xlfn.XLOOKUP($B62,[1]Billing!$Q$5:$Q$40,[1]Billing!$V$5:$V$40)</f>
        <v>483851.49963423557</v>
      </c>
      <c r="H97" s="22">
        <f>_xlfn.XLOOKUP($B62,[1]Billing!$Q$5:$Q$40,[1]Billing!$W$5:$W$40)</f>
        <v>0</v>
      </c>
      <c r="I97" s="22">
        <f>_xlfn.XLOOKUP($B62,[1]Billing!$Q$5:$Q$40,[1]Billing!$X$5:$X$40)</f>
        <v>0</v>
      </c>
      <c r="J97" s="22">
        <f>_xlfn.XLOOKUP($B62,[1]Billing!$Q$5:$Q$40,[1]Billing!$Y$5:$Y$40)</f>
        <v>0</v>
      </c>
      <c r="K97">
        <f>_xlfn.XLOOKUP($B62,[1]Billing!$Q$5:$Q$40,[1]Billing!$Z$5:$Z$40)</f>
        <v>0</v>
      </c>
      <c r="L97">
        <f>_xlfn.XLOOKUP($B62,[1]Billing!$Q$5:$Q$40,[1]Billing!$AA$5:$AA$40)</f>
        <v>0</v>
      </c>
      <c r="M97">
        <f>_xlfn.XLOOKUP($B62,[1]Billing!$Q$5:$Q$40,[1]Billing!$AB$5:$AB$40)</f>
        <v>0</v>
      </c>
      <c r="N97" s="39">
        <f t="shared" si="8"/>
        <v>483851.49963423557</v>
      </c>
      <c r="O97" s="22">
        <f>_xlfn.XLOOKUP($B62,[1]Billing!$Q$5:$Q$40,[1]Billing!$AD$5:$AD$40)</f>
        <v>480000</v>
      </c>
      <c r="P97" s="37">
        <f t="shared" si="9"/>
        <v>3851.4996342355735</v>
      </c>
      <c r="Q97" s="21">
        <v>10</v>
      </c>
      <c r="R97" s="21">
        <v>13</v>
      </c>
    </row>
    <row r="98" spans="2:18" x14ac:dyDescent="0.3">
      <c r="B98" s="24" t="str">
        <v>Hazrat Khan</v>
      </c>
      <c r="C98" s="22">
        <f>_xlfn.XLOOKUP($B63,[1]Billing!$Q$5:$Q$40,[1]Billing!$R$5:$R$40)</f>
        <v>9750</v>
      </c>
      <c r="D98" s="22">
        <f>_xlfn.XLOOKUP($B63,[1]Billing!$Q$5:$Q$40,[1]Billing!$S$5:$S$40)</f>
        <v>8915.5084125822978</v>
      </c>
      <c r="E98" s="22">
        <f>_xlfn.XLOOKUP($B63,[1]Billing!$Q$5:$Q$40,[1]Billing!$T$5:$T$40)</f>
        <v>8915.5084125822978</v>
      </c>
      <c r="F98" s="22">
        <f>_xlfn.XLOOKUP($B63,[1]Billing!$Q$5:$Q$40,[1]Billing!$U$5:$U$40)</f>
        <v>0</v>
      </c>
      <c r="G98" s="22">
        <f>_xlfn.XLOOKUP($B63,[1]Billing!$Q$5:$Q$40,[1]Billing!$V$5:$V$40)</f>
        <v>89155.084125822978</v>
      </c>
      <c r="H98" s="22">
        <f>_xlfn.XLOOKUP($B63,[1]Billing!$Q$5:$Q$40,[1]Billing!$W$5:$W$40)</f>
        <v>0</v>
      </c>
      <c r="I98" s="22">
        <f>_xlfn.XLOOKUP($B63,[1]Billing!$Q$5:$Q$40,[1]Billing!$X$5:$X$40)</f>
        <v>0</v>
      </c>
      <c r="J98" s="22">
        <f>_xlfn.XLOOKUP($B63,[1]Billing!$Q$5:$Q$40,[1]Billing!$Y$5:$Y$40)</f>
        <v>0</v>
      </c>
      <c r="K98">
        <f>_xlfn.XLOOKUP($B63,[1]Billing!$Q$5:$Q$40,[1]Billing!$Z$5:$Z$40)</f>
        <v>0</v>
      </c>
      <c r="L98">
        <f>_xlfn.XLOOKUP($B63,[1]Billing!$Q$5:$Q$40,[1]Billing!$AA$5:$AA$40)</f>
        <v>0</v>
      </c>
      <c r="M98">
        <f>_xlfn.XLOOKUP($B63,[1]Billing!$Q$5:$Q$40,[1]Billing!$AB$5:$AB$40)</f>
        <v>0</v>
      </c>
      <c r="N98" s="39">
        <f t="shared" si="8"/>
        <v>89155.084125822978</v>
      </c>
      <c r="O98" s="22">
        <f>_xlfn.XLOOKUP($B63,[1]Billing!$Q$5:$Q$40,[1]Billing!$AD$5:$AD$40)</f>
        <v>95000</v>
      </c>
      <c r="P98" s="37">
        <f t="shared" si="9"/>
        <v>-5844.9158741770225</v>
      </c>
      <c r="Q98" s="21">
        <v>10</v>
      </c>
      <c r="R98" s="21">
        <v>13</v>
      </c>
    </row>
    <row r="99" spans="2:18" x14ac:dyDescent="0.3">
      <c r="B99" s="24" t="str">
        <v>Haseeb Shamsi</v>
      </c>
      <c r="C99" s="22">
        <f>_xlfn.XLOOKUP($B64,[1]Billing!$Q$5:$Q$40,[1]Billing!$R$5:$R$40)</f>
        <v>61975</v>
      </c>
      <c r="D99" s="22">
        <f>_xlfn.XLOOKUP($B64,[1]Billing!$Q$5:$Q$40,[1]Billing!$S$5:$S$40)</f>
        <v>56670.629114850046</v>
      </c>
      <c r="E99" s="22">
        <f>_xlfn.XLOOKUP($B64,[1]Billing!$Q$5:$Q$40,[1]Billing!$T$5:$T$40)</f>
        <v>47437.820043891741</v>
      </c>
      <c r="F99" s="22">
        <f>_xlfn.XLOOKUP($B64,[1]Billing!$Q$5:$Q$40,[1]Billing!$U$5:$U$40)</f>
        <v>9232.809070958303</v>
      </c>
      <c r="G99" s="22">
        <f>_xlfn.XLOOKUP($B64,[1]Billing!$Q$5:$Q$40,[1]Billing!$V$5:$V$40)</f>
        <v>474378.20043891744</v>
      </c>
      <c r="H99" s="22">
        <f>_xlfn.XLOOKUP($B64,[1]Billing!$Q$5:$Q$40,[1]Billing!$W$5:$W$40)</f>
        <v>120026.51792245793</v>
      </c>
      <c r="I99" s="22">
        <f>_xlfn.XLOOKUP($B64,[1]Billing!$Q$5:$Q$40,[1]Billing!$X$5:$X$40)</f>
        <v>0</v>
      </c>
      <c r="J99" s="22">
        <f>_xlfn.XLOOKUP($B64,[1]Billing!$Q$5:$Q$40,[1]Billing!$Y$5:$Y$40)</f>
        <v>0</v>
      </c>
      <c r="K99">
        <f>_xlfn.XLOOKUP($B64,[1]Billing!$Q$5:$Q$40,[1]Billing!$Z$5:$Z$40)</f>
        <v>0</v>
      </c>
      <c r="L99">
        <f>_xlfn.XLOOKUP($B64,[1]Billing!$Q$5:$Q$40,[1]Billing!$AA$5:$AA$40)</f>
        <v>0</v>
      </c>
      <c r="M99">
        <f>_xlfn.XLOOKUP($B64,[1]Billing!$Q$5:$Q$40,[1]Billing!$AB$5:$AB$40)</f>
        <v>0</v>
      </c>
      <c r="N99" s="39">
        <f t="shared" si="8"/>
        <v>594404.71836137539</v>
      </c>
      <c r="O99" s="22">
        <f>_xlfn.XLOOKUP($B64,[1]Billing!$Q$5:$Q$40,[1]Billing!$AD$5:$AD$40)</f>
        <v>594405</v>
      </c>
      <c r="P99" s="37">
        <f t="shared" si="9"/>
        <v>-0.28163862461224198</v>
      </c>
      <c r="Q99" s="21">
        <v>10</v>
      </c>
      <c r="R99" s="21">
        <v>13</v>
      </c>
    </row>
    <row r="100" spans="2:18" x14ac:dyDescent="0.3">
      <c r="B100" s="80" t="str">
        <v>Faizan</v>
      </c>
      <c r="C100" s="22">
        <f>_xlfn.XLOOKUP($B65,[1]Billing!$Q$5:$Q$40,[1]Billing!$R$5:$R$40)</f>
        <v>438975</v>
      </c>
      <c r="D100" s="22">
        <f>_xlfn.XLOOKUP($B65,[1]Billing!$Q$5:$Q$40,[1]Billing!$S$5:$S$40)</f>
        <v>401403.62106803223</v>
      </c>
      <c r="E100" s="22">
        <f>_xlfn.XLOOKUP($B65,[1]Billing!$Q$5:$Q$40,[1]Billing!$T$5:$T$40)</f>
        <v>0</v>
      </c>
      <c r="F100" s="22">
        <f>_xlfn.XLOOKUP($B65,[1]Billing!$Q$5:$Q$40,[1]Billing!$U$5:$U$40)</f>
        <v>398433.61375274323</v>
      </c>
      <c r="G100" s="22">
        <f>_xlfn.XLOOKUP($B65,[1]Billing!$Q$5:$Q$40,[1]Billing!$V$5:$V$40)</f>
        <v>0</v>
      </c>
      <c r="H100" s="22">
        <f>_xlfn.XLOOKUP($B65,[1]Billing!$Q$5:$Q$40,[1]Billing!$W$5:$W$40)</f>
        <v>5179636.9787856629</v>
      </c>
      <c r="I100" s="22">
        <f>_xlfn.XLOOKUP($B65,[1]Billing!$Q$5:$Q$40,[1]Billing!$X$5:$X$40)</f>
        <v>44550.109729334312</v>
      </c>
      <c r="J100" s="22">
        <f>_xlfn.XLOOKUP($B65,[1]Billing!$Q$5:$Q$40,[1]Billing!$Y$5:$Y$40)</f>
        <v>0</v>
      </c>
      <c r="K100">
        <f>_xlfn.XLOOKUP($B65,[1]Billing!$Q$5:$Q$40,[1]Billing!$Z$5:$Z$40)</f>
        <v>0</v>
      </c>
      <c r="L100">
        <f>_xlfn.XLOOKUP($B65,[1]Billing!$Q$5:$Q$40,[1]Billing!$AA$5:$AA$40)</f>
        <v>0</v>
      </c>
      <c r="M100">
        <f>_xlfn.XLOOKUP($B65,[1]Billing!$Q$5:$Q$40,[1]Billing!$AB$5:$AB$40)</f>
        <v>0</v>
      </c>
      <c r="N100" s="39">
        <f t="shared" si="8"/>
        <v>5224187.0885149976</v>
      </c>
      <c r="O100" s="22">
        <f>_xlfn.XLOOKUP($B65,[1]Billing!$Q$5:$Q$40,[1]Billing!$AD$5:$AD$40)</f>
        <v>4915571</v>
      </c>
      <c r="P100" s="37">
        <f t="shared" si="9"/>
        <v>308616.08851499762</v>
      </c>
      <c r="Q100" s="21">
        <v>10</v>
      </c>
      <c r="R100" s="21">
        <v>13</v>
      </c>
    </row>
    <row r="101" spans="2:18" x14ac:dyDescent="0.3">
      <c r="B101" s="80" t="str">
        <v>Shafique Ansari</v>
      </c>
      <c r="C101" s="22">
        <f>_xlfn.XLOOKUP($B66,[1]Billing!$Q$5:$Q$40,[1]Billing!$R$5:$R$40)</f>
        <v>82290</v>
      </c>
      <c r="D101" s="22">
        <f>_xlfn.XLOOKUP($B66,[1]Billing!$Q$5:$Q$40,[1]Billing!$S$5:$S$40)</f>
        <v>75246.891002194592</v>
      </c>
      <c r="E101" s="22">
        <f>_xlfn.XLOOKUP($B66,[1]Billing!$Q$5:$Q$40,[1]Billing!$T$5:$T$40)</f>
        <v>64300.475493782011</v>
      </c>
      <c r="F101" s="22">
        <f>_xlfn.XLOOKUP($B66,[1]Billing!$Q$5:$Q$40,[1]Billing!$U$5:$U$40)</f>
        <v>7565.8376005852242</v>
      </c>
      <c r="G101" s="22">
        <f>_xlfn.XLOOKUP($B66,[1]Billing!$Q$5:$Q$40,[1]Billing!$V$5:$V$40)</f>
        <v>643004.75493782014</v>
      </c>
      <c r="H101" s="22">
        <f>_xlfn.XLOOKUP($B66,[1]Billing!$Q$5:$Q$40,[1]Billing!$W$5:$W$40)</f>
        <v>98355.888807607917</v>
      </c>
      <c r="I101" s="22">
        <f>_xlfn.XLOOKUP($B66,[1]Billing!$Q$5:$Q$40,[1]Billing!$X$5:$X$40)</f>
        <v>0</v>
      </c>
      <c r="J101" s="22">
        <f>_xlfn.XLOOKUP($B66,[1]Billing!$Q$5:$Q$40,[1]Billing!$Y$5:$Y$40)</f>
        <v>94656.181419166067</v>
      </c>
      <c r="K101">
        <f>_xlfn.XLOOKUP($B66,[1]Billing!$Q$5:$Q$40,[1]Billing!$Z$5:$Z$40)</f>
        <v>0</v>
      </c>
      <c r="L101">
        <f>_xlfn.XLOOKUP($B66,[1]Billing!$Q$5:$Q$40,[1]Billing!$AA$5:$AA$40)</f>
        <v>0</v>
      </c>
      <c r="M101">
        <f>_xlfn.XLOOKUP($B66,[1]Billing!$Q$5:$Q$40,[1]Billing!$AB$5:$AB$40)</f>
        <v>0</v>
      </c>
      <c r="N101" s="39">
        <f t="shared" si="8"/>
        <v>836016.82516459411</v>
      </c>
      <c r="O101" s="22">
        <f>_xlfn.XLOOKUP($B66,[1]Billing!$Q$5:$Q$40,[1]Billing!$AD$5:$AD$40)</f>
        <v>835660</v>
      </c>
      <c r="P101" s="37">
        <f t="shared" si="9"/>
        <v>356.82516459410544</v>
      </c>
      <c r="Q101" s="21">
        <v>10</v>
      </c>
      <c r="R101" s="21">
        <v>13</v>
      </c>
    </row>
    <row r="102" spans="2:18" x14ac:dyDescent="0.3">
      <c r="B102" s="80" t="str">
        <v>Amjad sohail</v>
      </c>
      <c r="C102" s="22">
        <f>_xlfn.XLOOKUP($B67,[1]Billing!$Q$5:$Q$40,[1]Billing!$R$5:$R$40)</f>
        <v>320608</v>
      </c>
      <c r="D102" s="22">
        <f>_xlfn.XLOOKUP($B67,[1]Billing!$Q$5:$Q$40,[1]Billing!$S$5:$S$40)</f>
        <v>293167.52011704462</v>
      </c>
      <c r="E102" s="22">
        <f>_xlfn.XLOOKUP($B67,[1]Billing!$Q$5:$Q$40,[1]Billing!$T$5:$T$40)</f>
        <v>249333.39429407462</v>
      </c>
      <c r="F102" s="22">
        <f>_xlfn.XLOOKUP($B67,[1]Billing!$Q$5:$Q$40,[1]Billing!$U$5:$U$40)</f>
        <v>43834.125822970011</v>
      </c>
      <c r="G102" s="22">
        <f>_xlfn.XLOOKUP($B67,[1]Billing!$Q$5:$Q$40,[1]Billing!$V$5:$V$40)</f>
        <v>2493333.9429407464</v>
      </c>
      <c r="H102" s="22">
        <f>_xlfn.XLOOKUP($B67,[1]Billing!$Q$5:$Q$40,[1]Billing!$W$5:$W$40)</f>
        <v>569843.63569861022</v>
      </c>
      <c r="I102" s="22">
        <f>_xlfn.XLOOKUP($B67,[1]Billing!$Q$5:$Q$40,[1]Billing!$X$5:$X$40)</f>
        <v>0</v>
      </c>
      <c r="J102" s="22">
        <f>_xlfn.XLOOKUP($B67,[1]Billing!$Q$5:$Q$40,[1]Billing!$Y$5:$Y$40)</f>
        <v>0</v>
      </c>
      <c r="K102">
        <f>_xlfn.XLOOKUP($B67,[1]Billing!$Q$5:$Q$40,[1]Billing!$Z$5:$Z$40)</f>
        <v>0</v>
      </c>
      <c r="L102">
        <f>_xlfn.XLOOKUP($B67,[1]Billing!$Q$5:$Q$40,[1]Billing!$AA$5:$AA$40)</f>
        <v>0</v>
      </c>
      <c r="M102">
        <f>_xlfn.XLOOKUP($B67,[1]Billing!$Q$5:$Q$40,[1]Billing!$AB$5:$AB$40)</f>
        <v>0</v>
      </c>
      <c r="N102" s="39">
        <f t="shared" si="8"/>
        <v>3063177.5786393564</v>
      </c>
      <c r="O102" s="22">
        <f>_xlfn.XLOOKUP($B67,[1]Billing!$Q$5:$Q$40,[1]Billing!$AD$5:$AD$40)</f>
        <v>2909310</v>
      </c>
      <c r="P102" s="37">
        <f t="shared" si="9"/>
        <v>153867.57863935642</v>
      </c>
      <c r="Q102" s="21">
        <v>10</v>
      </c>
      <c r="R102" s="21">
        <v>13</v>
      </c>
    </row>
    <row r="103" spans="2:18" x14ac:dyDescent="0.3">
      <c r="B103" s="80" t="str">
        <v>Salman Zaffar</v>
      </c>
      <c r="C103" s="22">
        <f>_xlfn.XLOOKUP($B68,[1]Billing!$Q$5:$Q$40,[1]Billing!$R$5:$R$40)</f>
        <v>275656</v>
      </c>
      <c r="D103" s="22">
        <f>_xlfn.XLOOKUP($B68,[1]Billing!$Q$5:$Q$40,[1]Billing!$S$5:$S$40)</f>
        <v>252062.91148500369</v>
      </c>
      <c r="E103" s="22">
        <f>_xlfn.XLOOKUP($B68,[1]Billing!$Q$5:$Q$40,[1]Billing!$T$5:$T$40)</f>
        <v>52616.130212143384</v>
      </c>
      <c r="F103" s="22">
        <f>_xlfn.XLOOKUP($B68,[1]Billing!$Q$5:$Q$40,[1]Billing!$U$5:$U$40)</f>
        <v>31409.107534747625</v>
      </c>
      <c r="G103" s="22">
        <f>_xlfn.XLOOKUP($B68,[1]Billing!$Q$5:$Q$40,[1]Billing!$V$5:$V$40)</f>
        <v>526161.30212143378</v>
      </c>
      <c r="H103" s="22">
        <f>_xlfn.XLOOKUP($B68,[1]Billing!$Q$5:$Q$40,[1]Billing!$W$5:$W$40)</f>
        <v>408318.39795171918</v>
      </c>
      <c r="I103" s="22">
        <f>_xlfn.XLOOKUP($B68,[1]Billing!$Q$5:$Q$40,[1]Billing!$X$5:$X$40)</f>
        <v>0</v>
      </c>
      <c r="J103" s="22">
        <f>_xlfn.XLOOKUP($B68,[1]Billing!$Q$5:$Q$40,[1]Billing!$Y$5:$Y$40)</f>
        <v>0</v>
      </c>
      <c r="K103">
        <f>_xlfn.XLOOKUP($B68,[1]Billing!$Q$5:$Q$40,[1]Billing!$Z$5:$Z$40)</f>
        <v>161653.2553035845</v>
      </c>
      <c r="L103">
        <f>_xlfn.XLOOKUP($B68,[1]Billing!$Q$5:$Q$40,[1]Billing!$AA$5:$AA$40)</f>
        <v>1545665.6912948061</v>
      </c>
      <c r="M103">
        <f>_xlfn.XLOOKUP($B68,[1]Billing!$Q$5:$Q$40,[1]Billing!$AB$5:$AB$40)</f>
        <v>0</v>
      </c>
      <c r="N103" s="39">
        <f t="shared" si="8"/>
        <v>2641798.6466715438</v>
      </c>
      <c r="O103" s="22">
        <f>_xlfn.XLOOKUP($B68,[1]Billing!$Q$5:$Q$40,[1]Billing!$AD$5:$AD$40)</f>
        <v>2146025</v>
      </c>
      <c r="P103" s="37">
        <f t="shared" si="9"/>
        <v>495773.64667154383</v>
      </c>
      <c r="Q103" s="21">
        <v>10</v>
      </c>
      <c r="R103" s="21">
        <v>13</v>
      </c>
    </row>
    <row r="104" spans="2:18" x14ac:dyDescent="0.3">
      <c r="B104" s="80" t="str">
        <v>Shahid Qasayi</v>
      </c>
      <c r="C104" s="22">
        <f>_xlfn.XLOOKUP($B69,[1]Billing!$Q$5:$Q$40,[1]Billing!$R$5:$R$40)</f>
        <v>315508</v>
      </c>
      <c r="D104" s="22">
        <f>_xlfn.XLOOKUP($B69,[1]Billing!$Q$5:$Q$40,[1]Billing!$S$5:$S$40)</f>
        <v>288504.0234089247</v>
      </c>
      <c r="E104" s="22">
        <f>_xlfn.XLOOKUP($B69,[1]Billing!$Q$5:$Q$40,[1]Billing!$T$5:$T$40)</f>
        <v>238964.88661302123</v>
      </c>
      <c r="F104" s="22">
        <f>_xlfn.XLOOKUP($B69,[1]Billing!$Q$5:$Q$40,[1]Billing!$U$5:$U$40)</f>
        <v>0</v>
      </c>
      <c r="G104" s="22">
        <f>_xlfn.XLOOKUP($B69,[1]Billing!$Q$5:$Q$40,[1]Billing!$V$5:$V$40)</f>
        <v>2389648.8661302123</v>
      </c>
      <c r="H104" s="22">
        <f>_xlfn.XLOOKUP($B69,[1]Billing!$Q$5:$Q$40,[1]Billing!$W$5:$W$40)</f>
        <v>0</v>
      </c>
      <c r="I104" s="22">
        <f>_xlfn.XLOOKUP($B69,[1]Billing!$Q$5:$Q$40,[1]Billing!$X$5:$X$40)</f>
        <v>0</v>
      </c>
      <c r="J104" s="22">
        <f>_xlfn.XLOOKUP($B69,[1]Billing!$Q$5:$Q$40,[1]Billing!$Y$5:$Y$40)</f>
        <v>0</v>
      </c>
      <c r="K104">
        <f>_xlfn.XLOOKUP($B69,[1]Billing!$Q$5:$Q$40,[1]Billing!$Z$5:$Z$40)</f>
        <v>23767.373811265548</v>
      </c>
      <c r="L104">
        <f>_xlfn.XLOOKUP($B69,[1]Billing!$Q$5:$Q$40,[1]Billing!$AA$5:$AA$40)</f>
        <v>523143.74542794435</v>
      </c>
      <c r="M104">
        <f>_xlfn.XLOOKUP($B69,[1]Billing!$Q$5:$Q$40,[1]Billing!$AB$5:$AB$40)</f>
        <v>0</v>
      </c>
      <c r="N104" s="39">
        <f t="shared" si="8"/>
        <v>2936559.985369422</v>
      </c>
      <c r="O104" s="22">
        <f>_xlfn.XLOOKUP($B69,[1]Billing!$Q$5:$Q$40,[1]Billing!$AD$5:$AD$40)</f>
        <v>2761895</v>
      </c>
      <c r="P104" s="37">
        <f t="shared" si="9"/>
        <v>174664.98536942201</v>
      </c>
    </row>
    <row r="105" spans="2:18" x14ac:dyDescent="0.3">
      <c r="B105" s="80" t="str">
        <v>Hameed corporation</v>
      </c>
      <c r="C105" s="22">
        <f>_xlfn.XLOOKUP($B70,[1]Billing!$Q$5:$Q$40,[1]Billing!$R$5:$R$40)</f>
        <v>46404</v>
      </c>
      <c r="D105" s="22">
        <f>_xlfn.XLOOKUP($B70,[1]Billing!$Q$5:$Q$40,[1]Billing!$S$5:$S$40)</f>
        <v>42432.333577176301</v>
      </c>
      <c r="E105" s="22">
        <f>_xlfn.XLOOKUP($B70,[1]Billing!$Q$5:$Q$40,[1]Billing!$T$5:$T$40)</f>
        <v>42432.333577176301</v>
      </c>
      <c r="F105" s="22">
        <f>_xlfn.XLOOKUP($B70,[1]Billing!$Q$5:$Q$40,[1]Billing!$U$5:$U$40)</f>
        <v>0</v>
      </c>
      <c r="G105" s="22">
        <f>_xlfn.XLOOKUP($B70,[1]Billing!$Q$5:$Q$40,[1]Billing!$V$5:$V$40)</f>
        <v>424323.335771763</v>
      </c>
      <c r="H105" s="22">
        <f>_xlfn.XLOOKUP($B70,[1]Billing!$Q$5:$Q$40,[1]Billing!$W$5:$W$40)</f>
        <v>0</v>
      </c>
      <c r="I105" s="22">
        <f>_xlfn.XLOOKUP($B70,[1]Billing!$Q$5:$Q$40,[1]Billing!$X$5:$X$40)</f>
        <v>0</v>
      </c>
      <c r="J105" s="22">
        <f>_xlfn.XLOOKUP($B70,[1]Billing!$Q$5:$Q$40,[1]Billing!$Y$5:$Y$40)</f>
        <v>0</v>
      </c>
      <c r="K105">
        <f>_xlfn.XLOOKUP($B70,[1]Billing!$Q$5:$Q$40,[1]Billing!$Z$5:$Z$40)</f>
        <v>0</v>
      </c>
      <c r="L105">
        <f>_xlfn.XLOOKUP($B70,[1]Billing!$Q$5:$Q$40,[1]Billing!$AA$5:$AA$40)</f>
        <v>0</v>
      </c>
      <c r="M105">
        <f>_xlfn.XLOOKUP($B70,[1]Billing!$Q$5:$Q$40,[1]Billing!$AB$5:$AB$40)</f>
        <v>0</v>
      </c>
      <c r="N105" s="39">
        <f t="shared" si="8"/>
        <v>424323.335771763</v>
      </c>
      <c r="O105" s="22">
        <f>_xlfn.XLOOKUP($B70,[1]Billing!$Q$5:$Q$40,[1]Billing!$AD$5:$AD$40)</f>
        <v>424323</v>
      </c>
      <c r="P105" s="37">
        <f t="shared" si="9"/>
        <v>0.33577176299877465</v>
      </c>
    </row>
    <row r="106" spans="2:18" x14ac:dyDescent="0.3">
      <c r="B106" s="80" t="str">
        <v>ibraheem behraam</v>
      </c>
      <c r="C106" s="22">
        <f>_xlfn.XLOOKUP($B71,[1]Billing!$Q$5:$Q$40,[1]Billing!$R$5:$R$40)</f>
        <v>66705</v>
      </c>
      <c r="D106" s="22">
        <f>_xlfn.XLOOKUP($B71,[1]Billing!$Q$5:$Q$40,[1]Billing!$S$5:$S$40)</f>
        <v>60995.793708851503</v>
      </c>
      <c r="E106" s="22">
        <f>_xlfn.XLOOKUP($B71,[1]Billing!$Q$5:$Q$40,[1]Billing!$T$5:$T$40)</f>
        <v>0</v>
      </c>
      <c r="F106" s="22">
        <f>_xlfn.XLOOKUP($B71,[1]Billing!$Q$5:$Q$40,[1]Billing!$U$5:$U$40)</f>
        <v>60995.793708851503</v>
      </c>
      <c r="G106" s="22">
        <f>_xlfn.XLOOKUP($B71,[1]Billing!$Q$5:$Q$40,[1]Billing!$V$5:$V$40)</f>
        <v>0</v>
      </c>
      <c r="H106" s="22">
        <f>_xlfn.XLOOKUP($B71,[1]Billing!$Q$5:$Q$40,[1]Billing!$W$5:$W$40)</f>
        <v>792945.31821506959</v>
      </c>
      <c r="I106" s="22">
        <f>_xlfn.XLOOKUP($B71,[1]Billing!$Q$5:$Q$40,[1]Billing!$X$5:$X$40)</f>
        <v>0</v>
      </c>
      <c r="J106" s="22">
        <f>_xlfn.XLOOKUP($B71,[1]Billing!$Q$5:$Q$40,[1]Billing!$Y$5:$Y$40)</f>
        <v>0</v>
      </c>
      <c r="K106">
        <f>_xlfn.XLOOKUP($B71,[1]Billing!$Q$5:$Q$40,[1]Billing!$Z$5:$Z$40)</f>
        <v>0</v>
      </c>
      <c r="L106">
        <f>_xlfn.XLOOKUP($B71,[1]Billing!$Q$5:$Q$40,[1]Billing!$AA$5:$AA$40)</f>
        <v>0</v>
      </c>
      <c r="M106">
        <f>_xlfn.XLOOKUP($B71,[1]Billing!$Q$5:$Q$40,[1]Billing!$AB$5:$AB$40)</f>
        <v>0</v>
      </c>
      <c r="N106" s="39">
        <f t="shared" si="8"/>
        <v>792945.31821506959</v>
      </c>
      <c r="O106" s="22">
        <f>_xlfn.XLOOKUP($B71,[1]Billing!$Q$5:$Q$40,[1]Billing!$AD$5:$AD$40)</f>
        <v>790500</v>
      </c>
      <c r="P106" s="37">
        <f t="shared" si="9"/>
        <v>2445.3182150695939</v>
      </c>
    </row>
    <row r="107" spans="2:18" x14ac:dyDescent="0.3">
      <c r="B107" s="80" t="str">
        <v>Zia-ullah karachi</v>
      </c>
      <c r="C107" s="22">
        <f>_xlfn.XLOOKUP($B72,[1]Billing!$Q$5:$Q$40,[1]Billing!$R$5:$R$40)</f>
        <v>13622</v>
      </c>
      <c r="D107" s="22">
        <f>_xlfn.XLOOKUP($B72,[1]Billing!$Q$5:$Q$40,[1]Billing!$S$5:$S$40)</f>
        <v>12456.108266276518</v>
      </c>
      <c r="E107" s="22">
        <f>_xlfn.XLOOKUP($B72,[1]Billing!$Q$5:$Q$40,[1]Billing!$T$5:$T$40)</f>
        <v>12456.108266276518</v>
      </c>
      <c r="F107" s="22">
        <f>_xlfn.XLOOKUP($B72,[1]Billing!$Q$5:$Q$40,[1]Billing!$U$5:$U$40)</f>
        <v>0</v>
      </c>
      <c r="G107" s="22">
        <f>_xlfn.XLOOKUP($B72,[1]Billing!$Q$5:$Q$40,[1]Billing!$V$5:$V$40)</f>
        <v>124561.08266276518</v>
      </c>
      <c r="H107" s="22">
        <f>_xlfn.XLOOKUP($B72,[1]Billing!$Q$5:$Q$40,[1]Billing!$W$5:$W$40)</f>
        <v>0</v>
      </c>
      <c r="I107" s="22">
        <f>_xlfn.XLOOKUP($B72,[1]Billing!$Q$5:$Q$40,[1]Billing!$X$5:$X$40)</f>
        <v>0</v>
      </c>
      <c r="J107" s="22">
        <f>_xlfn.XLOOKUP($B72,[1]Billing!$Q$5:$Q$40,[1]Billing!$Y$5:$Y$40)</f>
        <v>0</v>
      </c>
      <c r="K107">
        <f>_xlfn.XLOOKUP($B72,[1]Billing!$Q$5:$Q$40,[1]Billing!$Z$5:$Z$40)</f>
        <v>0</v>
      </c>
      <c r="L107">
        <f>_xlfn.XLOOKUP($B72,[1]Billing!$Q$5:$Q$40,[1]Billing!$AA$5:$AA$40)</f>
        <v>0</v>
      </c>
      <c r="M107">
        <f>_xlfn.XLOOKUP($B72,[1]Billing!$Q$5:$Q$40,[1]Billing!$AB$5:$AB$40)</f>
        <v>0</v>
      </c>
      <c r="N107" s="39">
        <f t="shared" si="8"/>
        <v>124561.08266276518</v>
      </c>
      <c r="O107" s="22">
        <f>_xlfn.XLOOKUP($B72,[1]Billing!$Q$5:$Q$40,[1]Billing!$AD$5:$AD$40)</f>
        <v>124560</v>
      </c>
      <c r="P107" s="37">
        <f t="shared" si="9"/>
        <v>1.0826627651840681</v>
      </c>
    </row>
    <row r="108" spans="2:18" x14ac:dyDescent="0.3">
      <c r="B108" s="80" t="str">
        <v>ZA</v>
      </c>
      <c r="C108" s="22">
        <f>_xlfn.XLOOKUP($B73,[1]Billing!$Q$5:$Q$40,[1]Billing!$R$5:$R$40)</f>
        <v>32399</v>
      </c>
      <c r="D108" s="22">
        <f>_xlfn.XLOOKUP($B73,[1]Billing!$Q$5:$Q$40,[1]Billing!$S$5:$S$40)</f>
        <v>29626.005852231167</v>
      </c>
      <c r="E108" s="22">
        <f>_xlfn.XLOOKUP($B73,[1]Billing!$Q$5:$Q$40,[1]Billing!$T$5:$T$40)</f>
        <v>0</v>
      </c>
      <c r="F108" s="22">
        <f>_xlfn.XLOOKUP($B73,[1]Billing!$Q$5:$Q$40,[1]Billing!$U$5:$U$40)</f>
        <v>29626.005852231167</v>
      </c>
      <c r="G108" s="22">
        <f>_xlfn.XLOOKUP($B73,[1]Billing!$Q$5:$Q$40,[1]Billing!$V$5:$V$40)</f>
        <v>0</v>
      </c>
      <c r="H108" s="22">
        <f>_xlfn.XLOOKUP($B73,[1]Billing!$Q$5:$Q$40,[1]Billing!$W$5:$W$40)</f>
        <v>385138.07607900514</v>
      </c>
      <c r="I108" s="22">
        <f>_xlfn.XLOOKUP($B73,[1]Billing!$Q$5:$Q$40,[1]Billing!$X$5:$X$40)</f>
        <v>0</v>
      </c>
      <c r="J108" s="22">
        <f>_xlfn.XLOOKUP($B73,[1]Billing!$Q$5:$Q$40,[1]Billing!$Y$5:$Y$40)</f>
        <v>0</v>
      </c>
      <c r="K108">
        <f>_xlfn.XLOOKUP($B73,[1]Billing!$Q$5:$Q$40,[1]Billing!$Z$5:$Z$40)</f>
        <v>0</v>
      </c>
      <c r="L108">
        <f>_xlfn.XLOOKUP($B73,[1]Billing!$Q$5:$Q$40,[1]Billing!$AA$5:$AA$40)</f>
        <v>0</v>
      </c>
      <c r="M108">
        <f>_xlfn.XLOOKUP($B73,[1]Billing!$Q$5:$Q$40,[1]Billing!$AB$5:$AB$40)</f>
        <v>0</v>
      </c>
      <c r="N108" s="39">
        <f t="shared" si="8"/>
        <v>385138.07607900514</v>
      </c>
      <c r="O108" s="22">
        <f>_xlfn.XLOOKUP($B73,[1]Billing!$Q$5:$Q$40,[1]Billing!$AD$5:$AD$40)</f>
        <v>250000</v>
      </c>
      <c r="P108" s="37">
        <f t="shared" si="9"/>
        <v>135138.07607900514</v>
      </c>
    </row>
    <row r="109" spans="2:18" x14ac:dyDescent="0.3">
      <c r="B109" s="80" t="str">
        <v>Ahmad Javaid</v>
      </c>
      <c r="C109" s="22">
        <f>_xlfn.XLOOKUP($B74,[1]Billing!$Q$5:$Q$40,[1]Billing!$R$5:$R$40)</f>
        <v>12745</v>
      </c>
      <c r="D109" s="22">
        <f>_xlfn.XLOOKUP($B74,[1]Billing!$Q$5:$Q$40,[1]Billing!$S$5:$S$40)</f>
        <v>11654.16971470373</v>
      </c>
      <c r="E109" s="22">
        <f>_xlfn.XLOOKUP($B74,[1]Billing!$Q$5:$Q$40,[1]Billing!$T$5:$T$40)</f>
        <v>0</v>
      </c>
      <c r="F109" s="22">
        <f>_xlfn.XLOOKUP($B74,[1]Billing!$Q$5:$Q$40,[1]Billing!$U$5:$U$40)</f>
        <v>0</v>
      </c>
      <c r="G109" s="22">
        <f>_xlfn.XLOOKUP($B74,[1]Billing!$Q$5:$Q$40,[1]Billing!$V$5:$V$40)</f>
        <v>0</v>
      </c>
      <c r="H109" s="22">
        <f>_xlfn.XLOOKUP($B74,[1]Billing!$Q$5:$Q$40,[1]Billing!$W$5:$W$40)</f>
        <v>0</v>
      </c>
      <c r="I109" s="22">
        <f>_xlfn.XLOOKUP($B74,[1]Billing!$Q$5:$Q$40,[1]Billing!$X$5:$X$40)</f>
        <v>0</v>
      </c>
      <c r="J109" s="22">
        <f>_xlfn.XLOOKUP($B74,[1]Billing!$Q$5:$Q$40,[1]Billing!$Y$5:$Y$40)</f>
        <v>0</v>
      </c>
      <c r="K109">
        <f>_xlfn.XLOOKUP($B74,[1]Billing!$Q$5:$Q$40,[1]Billing!$Z$5:$Z$40)</f>
        <v>0</v>
      </c>
      <c r="L109">
        <f>_xlfn.XLOOKUP($B74,[1]Billing!$Q$5:$Q$40,[1]Billing!$AA$5:$AA$40)</f>
        <v>0</v>
      </c>
      <c r="M109">
        <f>_xlfn.XLOOKUP($B74,[1]Billing!$Q$5:$Q$40,[1]Billing!$AB$5:$AB$40)</f>
        <v>151504.2062911485</v>
      </c>
      <c r="N109" s="39">
        <f t="shared" si="8"/>
        <v>151504.2062911485</v>
      </c>
      <c r="O109" s="22">
        <f>_xlfn.XLOOKUP($B74,[1]Billing!$Q$5:$Q$40,[1]Billing!$AD$5:$AD$40)</f>
        <v>0</v>
      </c>
      <c r="P109" s="37">
        <f t="shared" si="9"/>
        <v>151504.2062911485</v>
      </c>
    </row>
    <row r="110" spans="2:18" x14ac:dyDescent="0.3">
      <c r="B110" s="80" t="str">
        <v>Rehman Ali</v>
      </c>
      <c r="C110" s="22" t="e">
        <f>_xlfn.XLOOKUP($B75,[1]Billing!$Q$5:$Q$40,[1]Billing!$R$5:$R$40)</f>
        <v>#N/A</v>
      </c>
      <c r="D110" s="22" t="e">
        <f>_xlfn.XLOOKUP($B75,[1]Billing!$Q$5:$Q$40,[1]Billing!$S$5:$S$40)</f>
        <v>#N/A</v>
      </c>
      <c r="E110" s="22" t="e">
        <f>_xlfn.XLOOKUP($B75,[1]Billing!$Q$5:$Q$40,[1]Billing!$T$5:$T$40)</f>
        <v>#N/A</v>
      </c>
      <c r="F110" s="22" t="e">
        <f>_xlfn.XLOOKUP($B75,[1]Billing!$Q$5:$Q$40,[1]Billing!$U$5:$U$40)</f>
        <v>#N/A</v>
      </c>
      <c r="G110" s="22" t="e">
        <f>_xlfn.XLOOKUP($B75,[1]Billing!$Q$5:$Q$40,[1]Billing!$V$5:$V$40)</f>
        <v>#N/A</v>
      </c>
      <c r="H110" s="22" t="e">
        <f>_xlfn.XLOOKUP($B75,[1]Billing!$Q$5:$Q$40,[1]Billing!$W$5:$W$40)</f>
        <v>#N/A</v>
      </c>
      <c r="I110" s="22" t="e">
        <f>_xlfn.XLOOKUP($B75,[1]Billing!$Q$5:$Q$40,[1]Billing!$X$5:$X$40)</f>
        <v>#N/A</v>
      </c>
      <c r="J110" s="22" t="e">
        <f>_xlfn.XLOOKUP($B75,[1]Billing!$Q$5:$Q$40,[1]Billing!$Y$5:$Y$40)</f>
        <v>#N/A</v>
      </c>
      <c r="K110" t="e">
        <f>_xlfn.XLOOKUP($B75,[1]Billing!$Q$5:$Q$40,[1]Billing!$Z$5:$Z$40)</f>
        <v>#N/A</v>
      </c>
      <c r="L110" t="e">
        <f>_xlfn.XLOOKUP($B75,[1]Billing!$Q$5:$Q$40,[1]Billing!$AA$5:$AA$40)</f>
        <v>#N/A</v>
      </c>
      <c r="M110" t="e">
        <f>_xlfn.XLOOKUP($B75,[1]Billing!$Q$5:$Q$40,[1]Billing!$AB$5:$AB$40)</f>
        <v>#N/A</v>
      </c>
      <c r="N110" s="39" t="e">
        <f t="shared" si="8"/>
        <v>#N/A</v>
      </c>
      <c r="O110" s="22" t="e">
        <f>_xlfn.XLOOKUP($B75,[1]Billing!$Q$5:$Q$40,[1]Billing!$AD$5:$AD$40)</f>
        <v>#N/A</v>
      </c>
      <c r="P110" s="37" t="e">
        <f t="shared" si="9"/>
        <v>#N/A</v>
      </c>
    </row>
    <row r="111" spans="2:18" x14ac:dyDescent="0.3">
      <c r="B111" t="str">
        <v>Shani Badshah</v>
      </c>
      <c r="C111" s="22" t="e">
        <f>_xlfn.XLOOKUP($B76,[1]Billing!$Q$5:$Q$40,[1]Billing!$R$5:$R$40)</f>
        <v>#N/A</v>
      </c>
      <c r="D111" s="22" t="e">
        <f>_xlfn.XLOOKUP($B76,[1]Billing!$Q$5:$Q$40,[1]Billing!$S$5:$S$40)</f>
        <v>#N/A</v>
      </c>
      <c r="E111" s="22" t="e">
        <f>_xlfn.XLOOKUP($B76,[1]Billing!$Q$5:$Q$40,[1]Billing!$T$5:$T$40)</f>
        <v>#N/A</v>
      </c>
      <c r="F111" s="22" t="e">
        <f>_xlfn.XLOOKUP($B76,[1]Billing!$Q$5:$Q$40,[1]Billing!$U$5:$U$40)</f>
        <v>#N/A</v>
      </c>
      <c r="G111" s="22" t="e">
        <f>_xlfn.XLOOKUP($B76,[1]Billing!$Q$5:$Q$40,[1]Billing!$V$5:$V$40)</f>
        <v>#N/A</v>
      </c>
      <c r="H111" s="22" t="e">
        <f>_xlfn.XLOOKUP($B76,[1]Billing!$Q$5:$Q$40,[1]Billing!$W$5:$W$40)</f>
        <v>#N/A</v>
      </c>
      <c r="I111" s="22" t="e">
        <f>_xlfn.XLOOKUP($B76,[1]Billing!$Q$5:$Q$40,[1]Billing!$X$5:$X$40)</f>
        <v>#N/A</v>
      </c>
      <c r="J111" s="22" t="e">
        <f>_xlfn.XLOOKUP($B76,[1]Billing!$Q$5:$Q$40,[1]Billing!$Y$5:$Y$40)</f>
        <v>#N/A</v>
      </c>
      <c r="K111" t="e">
        <f>_xlfn.XLOOKUP($B76,[1]Billing!$Q$5:$Q$40,[1]Billing!$Z$5:$Z$40)</f>
        <v>#N/A</v>
      </c>
      <c r="L111" t="e">
        <f>_xlfn.XLOOKUP($B76,[1]Billing!$Q$5:$Q$40,[1]Billing!$AA$5:$AA$40)</f>
        <v>#N/A</v>
      </c>
      <c r="M111" t="e">
        <f>_xlfn.XLOOKUP($B76,[1]Billing!$Q$5:$Q$40,[1]Billing!$AB$5:$AB$40)</f>
        <v>#N/A</v>
      </c>
      <c r="N111" s="39" t="e">
        <f t="shared" si="8"/>
        <v>#N/A</v>
      </c>
      <c r="O111" s="22" t="e">
        <f>_xlfn.XLOOKUP($B76,[1]Billing!$Q$5:$Q$40,[1]Billing!$AD$5:$AD$40)</f>
        <v>#N/A</v>
      </c>
      <c r="P111" s="37" t="e">
        <f t="shared" si="9"/>
        <v>#N/A</v>
      </c>
    </row>
    <row r="112" spans="2:18" x14ac:dyDescent="0.3">
      <c r="B112" t="str">
        <v>Ahmad Shafique</v>
      </c>
      <c r="C112" s="22" t="e">
        <f>_xlfn.XLOOKUP($B77,[1]Billing!$Q$5:$Q$40,[1]Billing!$R$5:$R$40)</f>
        <v>#N/A</v>
      </c>
      <c r="D112" s="22" t="e">
        <f>_xlfn.XLOOKUP($B77,[1]Billing!$Q$5:$Q$40,[1]Billing!$S$5:$S$40)</f>
        <v>#N/A</v>
      </c>
      <c r="E112" s="22" t="e">
        <f>_xlfn.XLOOKUP($B77,[1]Billing!$Q$5:$Q$40,[1]Billing!$T$5:$T$40)</f>
        <v>#N/A</v>
      </c>
      <c r="F112" s="22" t="e">
        <f>_xlfn.XLOOKUP($B77,[1]Billing!$Q$5:$Q$40,[1]Billing!$U$5:$U$40)</f>
        <v>#N/A</v>
      </c>
      <c r="G112" s="22" t="e">
        <f>_xlfn.XLOOKUP($B77,[1]Billing!$Q$5:$Q$40,[1]Billing!$V$5:$V$40)</f>
        <v>#N/A</v>
      </c>
      <c r="H112" s="22" t="e">
        <f>_xlfn.XLOOKUP($B77,[1]Billing!$Q$5:$Q$40,[1]Billing!$W$5:$W$40)</f>
        <v>#N/A</v>
      </c>
      <c r="I112" s="22" t="e">
        <f>_xlfn.XLOOKUP($B77,[1]Billing!$Q$5:$Q$40,[1]Billing!$X$5:$X$40)</f>
        <v>#N/A</v>
      </c>
      <c r="J112" s="22" t="e">
        <f>_xlfn.XLOOKUP($B77,[1]Billing!$Q$5:$Q$40,[1]Billing!$Y$5:$Y$40)</f>
        <v>#N/A</v>
      </c>
      <c r="K112" t="e">
        <f>_xlfn.XLOOKUP($B77,[1]Billing!$Q$5:$Q$40,[1]Billing!$Z$5:$Z$40)</f>
        <v>#N/A</v>
      </c>
      <c r="L112" t="e">
        <f>_xlfn.XLOOKUP($B77,[1]Billing!$Q$5:$Q$40,[1]Billing!$AA$5:$AA$40)</f>
        <v>#N/A</v>
      </c>
      <c r="M112" t="e">
        <f>_xlfn.XLOOKUP($B77,[1]Billing!$Q$5:$Q$40,[1]Billing!$AB$5:$AB$40)</f>
        <v>#N/A</v>
      </c>
      <c r="N112" s="39" t="e">
        <f t="shared" si="8"/>
        <v>#N/A</v>
      </c>
      <c r="O112" s="22" t="e">
        <f>_xlfn.XLOOKUP($B77,[1]Billing!$Q$5:$Q$40,[1]Billing!$AD$5:$AD$40)</f>
        <v>#N/A</v>
      </c>
      <c r="P112" s="37" t="e">
        <f t="shared" si="9"/>
        <v>#N/A</v>
      </c>
    </row>
    <row r="113" spans="2:16" x14ac:dyDescent="0.3">
      <c r="B113" t="str">
        <v>Hafiz Shawl</v>
      </c>
      <c r="C113" s="22" t="e">
        <f>_xlfn.XLOOKUP($B78,[1]Billing!$Q$5:$Q$40,[1]Billing!$R$5:$R$40)</f>
        <v>#N/A</v>
      </c>
      <c r="D113" s="22" t="e">
        <f>_xlfn.XLOOKUP($B78,[1]Billing!$Q$5:$Q$40,[1]Billing!$S$5:$S$40)</f>
        <v>#N/A</v>
      </c>
      <c r="E113" s="22" t="e">
        <f>_xlfn.XLOOKUP($B78,[1]Billing!$Q$5:$Q$40,[1]Billing!$T$5:$T$40)</f>
        <v>#N/A</v>
      </c>
      <c r="F113" s="22" t="e">
        <f>_xlfn.XLOOKUP($B78,[1]Billing!$Q$5:$Q$40,[1]Billing!$U$5:$U$40)</f>
        <v>#N/A</v>
      </c>
      <c r="G113" s="22" t="e">
        <f>_xlfn.XLOOKUP($B78,[1]Billing!$Q$5:$Q$40,[1]Billing!$V$5:$V$40)</f>
        <v>#N/A</v>
      </c>
      <c r="H113" s="22" t="e">
        <f>_xlfn.XLOOKUP($B78,[1]Billing!$Q$5:$Q$40,[1]Billing!$W$5:$W$40)</f>
        <v>#N/A</v>
      </c>
      <c r="I113" s="22" t="e">
        <f>_xlfn.XLOOKUP($B78,[1]Billing!$Q$5:$Q$40,[1]Billing!$X$5:$X$40)</f>
        <v>#N/A</v>
      </c>
      <c r="J113" s="22" t="e">
        <f>_xlfn.XLOOKUP($B78,[1]Billing!$Q$5:$Q$40,[1]Billing!$Y$5:$Y$40)</f>
        <v>#N/A</v>
      </c>
      <c r="K113" t="e">
        <f>_xlfn.XLOOKUP($B78,[1]Billing!$Q$5:$Q$40,[1]Billing!$Z$5:$Z$40)</f>
        <v>#N/A</v>
      </c>
      <c r="L113" t="e">
        <f>_xlfn.XLOOKUP($B78,[1]Billing!$Q$5:$Q$40,[1]Billing!$AA$5:$AA$40)</f>
        <v>#N/A</v>
      </c>
      <c r="M113" t="e">
        <f>_xlfn.XLOOKUP($B78,[1]Billing!$Q$5:$Q$40,[1]Billing!$AB$5:$AB$40)</f>
        <v>#N/A</v>
      </c>
      <c r="N113" s="39" t="e">
        <f t="shared" si="8"/>
        <v>#N/A</v>
      </c>
      <c r="O113" s="22" t="e">
        <f>_xlfn.XLOOKUP($B78,[1]Billing!$Q$5:$Q$40,[1]Billing!$AD$5:$AD$40)</f>
        <v>#N/A</v>
      </c>
      <c r="P113" s="37" t="e">
        <f t="shared" si="9"/>
        <v>#N/A</v>
      </c>
    </row>
    <row r="114" spans="2:16" x14ac:dyDescent="0.3">
      <c r="C114" s="22">
        <f>_xlfn.XLOOKUP($B79,[1]Billing!$Q$5:$Q$40,[1]Billing!$R$5:$R$40)</f>
        <v>0</v>
      </c>
      <c r="D114" s="22">
        <f>_xlfn.XLOOKUP($B79,[1]Billing!$Q$5:$Q$40,[1]Billing!$S$5:$S$40)</f>
        <v>0</v>
      </c>
      <c r="E114" s="22">
        <f>_xlfn.XLOOKUP($B79,[1]Billing!$Q$5:$Q$40,[1]Billing!$T$5:$T$40)</f>
        <v>0</v>
      </c>
      <c r="F114" s="22">
        <f>_xlfn.XLOOKUP($B79,[1]Billing!$Q$5:$Q$40,[1]Billing!$U$5:$U$40)</f>
        <v>0</v>
      </c>
      <c r="G114" s="22">
        <f>_xlfn.XLOOKUP($B79,[1]Billing!$Q$5:$Q$40,[1]Billing!$V$5:$V$40)</f>
        <v>0</v>
      </c>
      <c r="H114" s="22">
        <f>_xlfn.XLOOKUP($B79,[1]Billing!$Q$5:$Q$40,[1]Billing!$W$5:$W$40)</f>
        <v>0</v>
      </c>
      <c r="I114" s="22">
        <f>_xlfn.XLOOKUP($B79,[1]Billing!$Q$5:$Q$40,[1]Billing!$X$5:$X$40)</f>
        <v>0</v>
      </c>
      <c r="J114" s="22">
        <f>_xlfn.XLOOKUP($B79,[1]Billing!$Q$5:$Q$40,[1]Billing!$Y$5:$Y$40)</f>
        <v>0</v>
      </c>
      <c r="K114">
        <f>_xlfn.XLOOKUP($B79,[1]Billing!$Q$5:$Q$40,[1]Billing!$Z$5:$Z$40)</f>
        <v>0</v>
      </c>
      <c r="L114">
        <f>_xlfn.XLOOKUP($B79,[1]Billing!$Q$5:$Q$40,[1]Billing!$AA$5:$AA$40)</f>
        <v>0</v>
      </c>
      <c r="M114">
        <f>_xlfn.XLOOKUP($B79,[1]Billing!$Q$5:$Q$40,[1]Billing!$AB$5:$AB$40)</f>
        <v>0</v>
      </c>
      <c r="N114" s="39">
        <f t="shared" si="8"/>
        <v>0</v>
      </c>
      <c r="O114" s="22">
        <f>_xlfn.XLOOKUP($B79,[1]Billing!$Q$5:$Q$40,[1]Billing!$AD$5:$AD$40)</f>
        <v>0</v>
      </c>
      <c r="P114" s="37">
        <f t="shared" si="9"/>
        <v>0</v>
      </c>
    </row>
    <row r="115" spans="2:16" x14ac:dyDescent="0.3">
      <c r="C115" s="22">
        <f>_xlfn.XLOOKUP($B80,[1]Billing!$Q$5:$Q$40,[1]Billing!$R$5:$R$40)</f>
        <v>0</v>
      </c>
      <c r="D115" s="22">
        <f>_xlfn.XLOOKUP($B80,[1]Billing!$Q$5:$Q$40,[1]Billing!$S$5:$S$40)</f>
        <v>0</v>
      </c>
      <c r="E115" s="22">
        <f>_xlfn.XLOOKUP($B80,[1]Billing!$Q$5:$Q$40,[1]Billing!$T$5:$T$40)</f>
        <v>0</v>
      </c>
      <c r="F115" s="22">
        <f>_xlfn.XLOOKUP($B80,[1]Billing!$Q$5:$Q$40,[1]Billing!$U$5:$U$40)</f>
        <v>0</v>
      </c>
      <c r="G115" s="22">
        <f>_xlfn.XLOOKUP($B80,[1]Billing!$Q$5:$Q$40,[1]Billing!$V$5:$V$40)</f>
        <v>0</v>
      </c>
      <c r="H115" s="22">
        <f>_xlfn.XLOOKUP($B80,[1]Billing!$Q$5:$Q$40,[1]Billing!$W$5:$W$40)</f>
        <v>0</v>
      </c>
      <c r="I115" s="22">
        <f>_xlfn.XLOOKUP($B80,[1]Billing!$Q$5:$Q$40,[1]Billing!$X$5:$X$40)</f>
        <v>0</v>
      </c>
      <c r="J115" s="22">
        <f>_xlfn.XLOOKUP($B80,[1]Billing!$Q$5:$Q$40,[1]Billing!$Y$5:$Y$40)</f>
        <v>0</v>
      </c>
      <c r="K115">
        <f>_xlfn.XLOOKUP($B80,[1]Billing!$Q$5:$Q$40,[1]Billing!$Z$5:$Z$40)</f>
        <v>0</v>
      </c>
      <c r="L115">
        <f>_xlfn.XLOOKUP($B80,[1]Billing!$Q$5:$Q$40,[1]Billing!$AA$5:$AA$40)</f>
        <v>0</v>
      </c>
      <c r="M115">
        <f>_xlfn.XLOOKUP($B80,[1]Billing!$Q$5:$Q$40,[1]Billing!$AB$5:$AB$40)</f>
        <v>0</v>
      </c>
      <c r="N115" s="39">
        <f t="shared" si="8"/>
        <v>0</v>
      </c>
      <c r="O115" s="22">
        <f>_xlfn.XLOOKUP($B80,[1]Billing!$Q$5:$Q$40,[1]Billing!$AD$5:$AD$40)</f>
        <v>0</v>
      </c>
      <c r="P115" s="37">
        <f t="shared" si="9"/>
        <v>0</v>
      </c>
    </row>
  </sheetData>
  <phoneticPr fontId="4" type="noConversion"/>
  <pageMargins left="0.7" right="0.7" top="0.75" bottom="0.75" header="0.3" footer="0.3"/>
  <pageSetup paperSize="121" orientation="landscape"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3AD-D664-44CF-A1E1-2DB6CE627410}">
  <dimension ref="B4:J33"/>
  <sheetViews>
    <sheetView topLeftCell="A10" zoomScale="105" workbookViewId="0">
      <selection activeCell="F11" sqref="F11"/>
    </sheetView>
  </sheetViews>
  <sheetFormatPr defaultRowHeight="14.4" x14ac:dyDescent="0.3"/>
  <cols>
    <col min="2" max="2" width="23.109375" customWidth="1"/>
    <col min="3" max="3" width="14.6640625" customWidth="1"/>
    <col min="4" max="4" width="16.6640625" bestFit="1" customWidth="1"/>
    <col min="5" max="5" width="20.33203125" customWidth="1"/>
    <col min="9" max="9" width="11.6640625" customWidth="1"/>
    <col min="10" max="10" width="12.88671875" customWidth="1"/>
  </cols>
  <sheetData>
    <row r="4" spans="2:10" ht="15.6" x14ac:dyDescent="0.3">
      <c r="C4" s="62"/>
      <c r="D4" s="62"/>
      <c r="I4" t="s">
        <v>34</v>
      </c>
      <c r="J4" t="str" cm="1">
        <f t="array" ref="J4:J33">_xlfn.UNIQUE(Table1[Party Name])</f>
        <v>BSC</v>
      </c>
    </row>
    <row r="5" spans="2:10" x14ac:dyDescent="0.3">
      <c r="J5" t="str">
        <v>Ejaz Sahab</v>
      </c>
    </row>
    <row r="6" spans="2:10" ht="21" x14ac:dyDescent="0.4">
      <c r="B6" s="64" t="s">
        <v>175</v>
      </c>
      <c r="J6" t="str">
        <v>Arshad</v>
      </c>
    </row>
    <row r="7" spans="2:10" ht="15.6" x14ac:dyDescent="0.3">
      <c r="B7" s="62" t="s">
        <v>36</v>
      </c>
      <c r="C7" s="62" t="s">
        <v>4</v>
      </c>
      <c r="D7" s="62" t="s">
        <v>150</v>
      </c>
      <c r="E7" s="62" t="s">
        <v>151</v>
      </c>
      <c r="J7" t="str">
        <v>Shehzad Kamoki</v>
      </c>
    </row>
    <row r="8" spans="2:10" ht="18" x14ac:dyDescent="0.35">
      <c r="B8" s="55" t="s">
        <v>37</v>
      </c>
      <c r="C8" s="66"/>
      <c r="D8" s="68" cm="1">
        <f t="array" ref="D8">_xlfn.XLOOKUP($B$6,_xlfn.ANCHORARRAY( Billing!Q5), INDEX(Billing!R5:R25, _xlfn.SEQUENCE(ROWS(_xlfn.ANCHORARRAY(Billing!$Q$5)))), "Not Found")</f>
        <v>509411</v>
      </c>
      <c r="E8" s="66"/>
      <c r="J8" t="str">
        <v>Sufi Nawaz Sahab</v>
      </c>
    </row>
    <row r="9" spans="2:10" ht="18" x14ac:dyDescent="0.35">
      <c r="B9" s="55"/>
      <c r="C9" s="66"/>
      <c r="D9" s="66"/>
      <c r="E9" s="66"/>
      <c r="J9" t="str">
        <v>Sajad Khan</v>
      </c>
    </row>
    <row r="10" spans="2:10" ht="18" x14ac:dyDescent="0.35">
      <c r="B10" s="55" t="s">
        <v>38</v>
      </c>
      <c r="C10" s="66"/>
      <c r="D10" s="68" cm="1">
        <f t="array" ref="D10">_xlfn.XLOOKUP($B$6,_xlfn.ANCHORARRAY( Billing!$Q$5), INDEX(Billing!S5:S25, _xlfn.SEQUENCE(ROWS(_xlfn.ANCHORARRAY(Billing!$Q$5)))), "Not Found")</f>
        <v>465811.08266276523</v>
      </c>
      <c r="E10" s="66"/>
      <c r="J10" t="str">
        <v>Raaz Fabrics</v>
      </c>
    </row>
    <row r="11" spans="2:10" ht="18.600000000000001" thickBot="1" x14ac:dyDescent="0.4">
      <c r="B11" s="55"/>
      <c r="C11" s="66"/>
      <c r="D11" s="66"/>
      <c r="E11" s="66"/>
      <c r="J11" t="str">
        <v>Azam</v>
      </c>
    </row>
    <row r="12" spans="2:10" ht="18.600000000000001" thickBot="1" x14ac:dyDescent="0.4">
      <c r="B12" s="55" t="s">
        <v>39</v>
      </c>
      <c r="C12" s="66" cm="1">
        <f t="array" aca="1" ref="C12" ca="1">_xlfn.XLOOKUP($B$6,_xlfn.ANCHORARRAY( Billing!$B$49), OFFSET(Billing!Q49, 0, 0, ROWS(_xlfn.ANCHORARRAY(Billing!$B$49))), "Not Found")</f>
        <v>10</v>
      </c>
      <c r="D12" s="66" cm="1">
        <f t="array" ref="D12">_xlfn.XLOOKUP($B$6,_xlfn.ANCHORARRAY( Billing!$Q$5), INDEX(Billing!T5:T25, _xlfn.SEQUENCE(ROWS(_xlfn.ANCHORARRAY(Billing!$Q$5)))), "Not Found")</f>
        <v>0</v>
      </c>
      <c r="E12" s="91">
        <f ca="1">Table21[[#This Row],[gazana]]*Table21[[#This Row],[Rate]]</f>
        <v>0</v>
      </c>
      <c r="J12" t="str">
        <v>Ubaidullah</v>
      </c>
    </row>
    <row r="13" spans="2:10" ht="18" x14ac:dyDescent="0.35">
      <c r="B13" s="65"/>
      <c r="C13" s="67"/>
      <c r="D13" s="67"/>
      <c r="E13" s="66"/>
      <c r="J13" t="str">
        <v>Ashraf Zia</v>
      </c>
    </row>
    <row r="14" spans="2:10" ht="18" x14ac:dyDescent="0.35">
      <c r="B14" s="55" t="s">
        <v>40</v>
      </c>
      <c r="C14" s="66">
        <v>13</v>
      </c>
      <c r="D14" s="66" cm="1">
        <f t="array" ref="D14">_xlfn.XLOOKUP($B$6,_xlfn.ANCHORARRAY( Billing!$Q$5), INDEX(Billing!U5:U25, _xlfn.SEQUENCE(ROWS(_xlfn.ANCHORARRAY(Billing!$Q$5)))), "Not Found")</f>
        <v>462841.07534747623</v>
      </c>
      <c r="E14" s="66">
        <f>Table21[[#This Row],[gazana]]*Table21[[#This Row],[Rate]]</f>
        <v>6016933.9795171907</v>
      </c>
      <c r="J14" t="str">
        <v>Hafiz Qureshi</v>
      </c>
    </row>
    <row r="15" spans="2:10" ht="18.600000000000001" thickBot="1" x14ac:dyDescent="0.4">
      <c r="B15" s="65"/>
      <c r="C15" s="67"/>
      <c r="D15" s="67"/>
      <c r="E15" s="66"/>
      <c r="J15" t="str">
        <v>Badshah Fabrics</v>
      </c>
    </row>
    <row r="16" spans="2:10" ht="18.600000000000001" thickBot="1" x14ac:dyDescent="0.4">
      <c r="B16" s="55" t="s">
        <v>41</v>
      </c>
      <c r="C16" s="66"/>
      <c r="D16" s="90"/>
      <c r="E16" s="92">
        <f ca="1">E12+E14</f>
        <v>6016933.9795171907</v>
      </c>
      <c r="H16" s="14"/>
      <c r="J16" t="str">
        <v>Gauhar Kashif</v>
      </c>
    </row>
    <row r="17" spans="2:10" ht="18.600000000000001" thickBot="1" x14ac:dyDescent="0.4">
      <c r="B17" s="65"/>
      <c r="C17" s="67"/>
      <c r="D17" s="69"/>
      <c r="E17" s="66"/>
      <c r="J17" t="str">
        <v>Amjad 7up</v>
      </c>
    </row>
    <row r="18" spans="2:10" ht="18.600000000000001" thickBot="1" x14ac:dyDescent="0.4">
      <c r="B18" s="55" t="s">
        <v>42</v>
      </c>
      <c r="C18" s="66"/>
      <c r="D18" s="90"/>
      <c r="E18" s="92" cm="1">
        <f t="array" aca="1" ref="E18" ca="1">_xlfn.XLOOKUP($B$6,_xlfn.ANCHORARRAY( Billing!Q5), OFFSET(Billing!AD5, 0, 0, ROWS(_xlfn.ANCHORARRAY(Billing!Q5))), "Not Found")</f>
        <v>6024187</v>
      </c>
      <c r="J18" t="str">
        <v>Hazrat Khan</v>
      </c>
    </row>
    <row r="19" spans="2:10" ht="18.600000000000001" thickBot="1" x14ac:dyDescent="0.4">
      <c r="B19" s="55"/>
      <c r="C19" s="66"/>
      <c r="D19" s="68"/>
      <c r="E19" s="66"/>
      <c r="J19" t="str">
        <v>Haseeb Shamsi</v>
      </c>
    </row>
    <row r="20" spans="2:10" ht="18.600000000000001" thickBot="1" x14ac:dyDescent="0.4">
      <c r="B20" s="55" t="s">
        <v>43</v>
      </c>
      <c r="C20" s="66"/>
      <c r="D20" s="90"/>
      <c r="E20" s="100" cm="1">
        <f t="array" aca="1" ref="E20" ca="1">_xlfn.XLOOKUP($B$6,_xlfn.ANCHORARRAY( Billing!Q5), OFFSET(Billing!AE5, 0, 0, ROWS(_xlfn.ANCHORARRAY(Billing!Q5))), "Not Found")</f>
        <v>67297.089246526361</v>
      </c>
      <c r="J20" t="str">
        <v>Faizan</v>
      </c>
    </row>
    <row r="21" spans="2:10" x14ac:dyDescent="0.3">
      <c r="J21" t="str">
        <v>Shafique Ansari</v>
      </c>
    </row>
    <row r="22" spans="2:10" x14ac:dyDescent="0.3">
      <c r="J22" t="str">
        <v>Amjad sohail</v>
      </c>
    </row>
    <row r="23" spans="2:10" x14ac:dyDescent="0.3">
      <c r="J23" t="str">
        <v>Salman Zaffar</v>
      </c>
    </row>
    <row r="24" spans="2:10" x14ac:dyDescent="0.3">
      <c r="J24" t="str">
        <v>Shahid Qasayi</v>
      </c>
    </row>
    <row r="25" spans="2:10" x14ac:dyDescent="0.3">
      <c r="J25" t="str">
        <v>Hameed corporation</v>
      </c>
    </row>
    <row r="26" spans="2:10" x14ac:dyDescent="0.3">
      <c r="J26" t="str">
        <v>ibraheem behraam</v>
      </c>
    </row>
    <row r="27" spans="2:10" x14ac:dyDescent="0.3">
      <c r="J27" t="str">
        <v>Zia-ullah karachi</v>
      </c>
    </row>
    <row r="28" spans="2:10" x14ac:dyDescent="0.3">
      <c r="J28" t="str">
        <v>ZA</v>
      </c>
    </row>
    <row r="29" spans="2:10" x14ac:dyDescent="0.3">
      <c r="J29" t="str">
        <v>Ahmad Javaid</v>
      </c>
    </row>
    <row r="30" spans="2:10" x14ac:dyDescent="0.3">
      <c r="J30" t="str">
        <v>Rehman Ali</v>
      </c>
    </row>
    <row r="31" spans="2:10" x14ac:dyDescent="0.3">
      <c r="J31" t="str">
        <v>Shani Badshah</v>
      </c>
    </row>
    <row r="32" spans="2:10" x14ac:dyDescent="0.3">
      <c r="J32" t="str">
        <v>Ahmad Shafique</v>
      </c>
    </row>
    <row r="33" spans="10:10" x14ac:dyDescent="0.3">
      <c r="J33" t="str">
        <v>Hafiz Shawl</v>
      </c>
    </row>
  </sheetData>
  <conditionalFormatting sqref="E20">
    <cfRule type="cellIs" dxfId="8" priority="1" operator="lessThan">
      <formula>20000</formula>
    </cfRule>
    <cfRule type="cellIs" dxfId="7" priority="2" operator="greaterThan">
      <formula>20000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7F4A-599E-4FA7-83B0-FA30D9237F09}">
  <dimension ref="A1:E22"/>
  <sheetViews>
    <sheetView topLeftCell="A3" zoomScale="150" workbookViewId="0">
      <selection activeCell="G12" sqref="G12"/>
    </sheetView>
  </sheetViews>
  <sheetFormatPr defaultRowHeight="14.4" x14ac:dyDescent="0.3"/>
  <cols>
    <col min="2" max="2" width="12.5546875" customWidth="1"/>
    <col min="3" max="3" width="14.5546875" customWidth="1"/>
    <col min="4" max="4" width="28.6640625" customWidth="1"/>
    <col min="5" max="5" width="23.21875" customWidth="1"/>
    <col min="7" max="7" width="14.6640625" bestFit="1" customWidth="1"/>
    <col min="8" max="8" width="12.33203125" bestFit="1" customWidth="1"/>
    <col min="9" max="9" width="13.5546875" bestFit="1" customWidth="1"/>
    <col min="10" max="11" width="7.88671875" bestFit="1" customWidth="1"/>
    <col min="12" max="12" width="1.6640625" bestFit="1" customWidth="1"/>
    <col min="13" max="13" width="10.33203125" bestFit="1" customWidth="1"/>
    <col min="14" max="14" width="5.6640625" bestFit="1" customWidth="1"/>
    <col min="15" max="15" width="10.33203125" bestFit="1" customWidth="1"/>
    <col min="16" max="16" width="5" bestFit="1" customWidth="1"/>
    <col min="17" max="19" width="6" bestFit="1" customWidth="1"/>
    <col min="20" max="21" width="7" bestFit="1" customWidth="1"/>
    <col min="22" max="22" width="1.6640625" bestFit="1" customWidth="1"/>
    <col min="23" max="23" width="10.33203125" bestFit="1" customWidth="1"/>
  </cols>
  <sheetData>
    <row r="1" spans="1:5" ht="25.8" x14ac:dyDescent="0.5">
      <c r="A1" s="6"/>
      <c r="B1" s="7" t="s">
        <v>44</v>
      </c>
    </row>
    <row r="3" spans="1:5" x14ac:dyDescent="0.3">
      <c r="B3" t="s">
        <v>45</v>
      </c>
      <c r="C3" t="s">
        <v>46</v>
      </c>
      <c r="D3" t="s">
        <v>36</v>
      </c>
      <c r="E3" t="s">
        <v>215</v>
      </c>
    </row>
    <row r="4" spans="1:5" x14ac:dyDescent="0.3">
      <c r="B4" t="s">
        <v>47</v>
      </c>
      <c r="C4" s="11">
        <f>Wood!K6+(2000*810)-(1000*800)</f>
        <v>7632370</v>
      </c>
      <c r="E4" s="43">
        <f ca="1">Table12[[#This Row],[Amount]]/Table1[[#Totals],[tiyar/meters]]</f>
        <v>4.1162910750797188</v>
      </c>
    </row>
    <row r="5" spans="1:5" x14ac:dyDescent="0.3">
      <c r="B5" t="s">
        <v>48</v>
      </c>
      <c r="C5" s="11">
        <f>SUM(Table8[Price])+(291000)-301660</f>
        <v>1899865</v>
      </c>
      <c r="E5" s="43">
        <f ca="1">Table12[[#This Row],[Amount]]/Table1[[#Totals],[tiyar/meters]]</f>
        <v>1.0246355120829218</v>
      </c>
    </row>
    <row r="6" spans="1:5" x14ac:dyDescent="0.3">
      <c r="B6" t="s">
        <v>49</v>
      </c>
      <c r="C6" s="11">
        <f>SUM(Table2[Price])+38750</f>
        <v>777350</v>
      </c>
      <c r="E6" s="43">
        <f ca="1">Table12[[#This Row],[Amount]]/Table1[[#Totals],[tiyar/meters]]</f>
        <v>0.4192405330471688</v>
      </c>
    </row>
    <row r="7" spans="1:5" x14ac:dyDescent="0.3">
      <c r="B7" t="s">
        <v>50</v>
      </c>
      <c r="C7" s="11">
        <f>SUMIFS(Table14[Debit], Table14[Party],Table12[[#This Row],[Type]])</f>
        <v>234395</v>
      </c>
      <c r="E7" s="43">
        <f ca="1">Table12[[#This Row],[Amount]]/Table1[[#Totals],[tiyar/meters]]</f>
        <v>0.12641395091476315</v>
      </c>
    </row>
    <row r="8" spans="1:5" x14ac:dyDescent="0.3">
      <c r="B8" t="s">
        <v>51</v>
      </c>
      <c r="C8" s="11">
        <f>Electricity!E3</f>
        <v>2222081</v>
      </c>
      <c r="E8" s="43">
        <f ca="1">Table12[[#This Row],[Amount]]/Table1[[#Totals],[tiyar/meters]]</f>
        <v>1.1984130995227193</v>
      </c>
    </row>
    <row r="9" spans="1:5" x14ac:dyDescent="0.3">
      <c r="B9" t="s">
        <v>52</v>
      </c>
      <c r="C9" s="11">
        <f>SUMIFS(Table14[Debit], Table14[Party],Table12[[#This Row],[Type]])+SUMIFS(Table14[Debit], Table14[Party],"Advance Salary")</f>
        <v>3699533</v>
      </c>
      <c r="E9" s="43">
        <f ca="1">Table12[[#This Row],[Amount]]/Table1[[#Totals],[tiyar/meters]]</f>
        <v>1.9952327612344394</v>
      </c>
    </row>
    <row r="10" spans="1:5" x14ac:dyDescent="0.3">
      <c r="B10" t="s">
        <v>53</v>
      </c>
      <c r="C10" s="11">
        <f>Table5[[#Totals],[Amount]]</f>
        <v>142730</v>
      </c>
      <c r="E10" s="43">
        <f ca="1">Table12[[#This Row],[Amount]]/Table1[[#Totals],[tiyar/meters]]</f>
        <v>7.6977167661699875E-2</v>
      </c>
    </row>
    <row r="11" spans="1:5" x14ac:dyDescent="0.3">
      <c r="B11" t="s">
        <v>54</v>
      </c>
      <c r="C11" s="11">
        <f>Table13[[#Totals],[Debit]]</f>
        <v>151730</v>
      </c>
      <c r="E11" s="43">
        <f ca="1">Table12[[#This Row],[Amount]]/Table1[[#Totals],[tiyar/meters]]</f>
        <v>8.1831049178937312E-2</v>
      </c>
    </row>
    <row r="12" spans="1:5" x14ac:dyDescent="0.3">
      <c r="B12" t="s">
        <v>55</v>
      </c>
      <c r="C12" s="11">
        <f>Table15[[#Totals],[Amount]]</f>
        <v>307771</v>
      </c>
      <c r="E12" s="43">
        <f ca="1">Table12[[#This Row],[Amount]]/Table1[[#Totals],[tiyar/meters]]</f>
        <v>0.16598710760463134</v>
      </c>
    </row>
    <row r="13" spans="1:5" x14ac:dyDescent="0.3">
      <c r="C13" s="11"/>
      <c r="E13" s="43">
        <f ca="1">Table12[[#This Row],[Amount]]/Table1[[#Totals],[tiyar/meters]]</f>
        <v>0</v>
      </c>
    </row>
    <row r="14" spans="1:5" x14ac:dyDescent="0.3">
      <c r="C14" s="14">
        <f>SUM(Table12[Amount])</f>
        <v>17067825</v>
      </c>
      <c r="E14" s="43">
        <f ca="1">SUM(Table12[cost per meter])</f>
        <v>9.2050222563270001</v>
      </c>
    </row>
    <row r="17" spans="2:4" x14ac:dyDescent="0.3">
      <c r="B17" t="s">
        <v>56</v>
      </c>
    </row>
    <row r="18" spans="2:4" x14ac:dyDescent="0.3">
      <c r="B18" t="s">
        <v>57</v>
      </c>
      <c r="C18" t="s">
        <v>58</v>
      </c>
      <c r="D18" t="s">
        <v>59</v>
      </c>
    </row>
    <row r="19" spans="2:4" x14ac:dyDescent="0.3">
      <c r="B19" t="s">
        <v>47</v>
      </c>
      <c r="C19">
        <f>388+236+100+288</f>
        <v>1012</v>
      </c>
      <c r="D19" t="s">
        <v>60</v>
      </c>
    </row>
    <row r="20" spans="2:4" x14ac:dyDescent="0.3">
      <c r="B20" t="s">
        <v>61</v>
      </c>
      <c r="C20">
        <v>100</v>
      </c>
      <c r="D20" t="s">
        <v>62</v>
      </c>
    </row>
    <row r="21" spans="2:4" x14ac:dyDescent="0.3">
      <c r="B21" t="s">
        <v>63</v>
      </c>
      <c r="C21">
        <v>75</v>
      </c>
      <c r="D21" t="s">
        <v>62</v>
      </c>
    </row>
    <row r="22" spans="2:4" x14ac:dyDescent="0.3">
      <c r="B22" t="s">
        <v>64</v>
      </c>
      <c r="C22" t="s">
        <v>65</v>
      </c>
    </row>
  </sheetData>
  <phoneticPr fontId="4"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9B88-176D-4283-9F20-7A53851A72BB}">
  <dimension ref="A2:F21"/>
  <sheetViews>
    <sheetView tabSelected="1" topLeftCell="A9" zoomScale="111" workbookViewId="0">
      <selection activeCell="F21" sqref="F21"/>
    </sheetView>
  </sheetViews>
  <sheetFormatPr defaultRowHeight="14.4" x14ac:dyDescent="0.3"/>
  <cols>
    <col min="2" max="2" width="11.6640625" customWidth="1"/>
    <col min="3" max="3" width="13" bestFit="1" customWidth="1"/>
    <col min="6" max="6" width="11.109375" customWidth="1"/>
    <col min="8" max="8" width="10.33203125" bestFit="1" customWidth="1"/>
  </cols>
  <sheetData>
    <row r="2" spans="1:3" x14ac:dyDescent="0.3">
      <c r="B2" s="11" t="s">
        <v>66</v>
      </c>
      <c r="C2" s="11" t="s">
        <v>67</v>
      </c>
    </row>
    <row r="3" spans="1:3" x14ac:dyDescent="0.3">
      <c r="B3" s="11" t="s">
        <v>0</v>
      </c>
      <c r="C3" s="11">
        <f>Billing!C23 + SUMIFS(Table14[Credit], Table14[Party], "Transport")</f>
        <v>20808859.729334313</v>
      </c>
    </row>
    <row r="4" spans="1:3" x14ac:dyDescent="0.3">
      <c r="B4" s="11" t="s">
        <v>44</v>
      </c>
      <c r="C4" s="11">
        <f>Table12[[#Totals],[Amount]]</f>
        <v>17067825</v>
      </c>
    </row>
    <row r="5" spans="1:3" x14ac:dyDescent="0.3">
      <c r="A5" s="6"/>
      <c r="B5" s="15" t="s">
        <v>68</v>
      </c>
      <c r="C5" s="15">
        <f>C3-C4</f>
        <v>3741034.7293343134</v>
      </c>
    </row>
    <row r="10" spans="1:3" ht="15" thickBot="1" x14ac:dyDescent="0.35">
      <c r="B10" t="s">
        <v>66</v>
      </c>
      <c r="C10" s="14" t="s">
        <v>67</v>
      </c>
    </row>
    <row r="11" spans="1:3" x14ac:dyDescent="0.3">
      <c r="B11" s="56" t="s">
        <v>0</v>
      </c>
      <c r="C11" s="57">
        <f>C3</f>
        <v>20808859.729334313</v>
      </c>
    </row>
    <row r="12" spans="1:3" x14ac:dyDescent="0.3">
      <c r="B12" s="58" t="s">
        <v>69</v>
      </c>
      <c r="C12" s="59">
        <f>SUM(Table14[Credit])</f>
        <v>31270241.203986831</v>
      </c>
    </row>
    <row r="13" spans="1:3" ht="15" thickBot="1" x14ac:dyDescent="0.35">
      <c r="B13" s="74" t="s">
        <v>93</v>
      </c>
      <c r="C13" s="73">
        <f>(C11-C12)</f>
        <v>-10461381.474652518</v>
      </c>
    </row>
    <row r="14" spans="1:3" ht="15" thickBot="1" x14ac:dyDescent="0.35">
      <c r="B14" s="58"/>
      <c r="C14" s="59"/>
    </row>
    <row r="15" spans="1:3" x14ac:dyDescent="0.3">
      <c r="B15" s="56" t="s">
        <v>44</v>
      </c>
      <c r="C15" s="57">
        <f>C4</f>
        <v>17067825</v>
      </c>
    </row>
    <row r="16" spans="1:3" x14ac:dyDescent="0.3">
      <c r="B16" s="58" t="s">
        <v>70</v>
      </c>
      <c r="C16" s="59">
        <f>SUM(Table14[Debit])</f>
        <v>25988515.203986831</v>
      </c>
    </row>
    <row r="17" spans="2:6" ht="15" thickBot="1" x14ac:dyDescent="0.35">
      <c r="B17" s="74" t="s">
        <v>71</v>
      </c>
      <c r="C17" s="73">
        <f>C15-C16</f>
        <v>-8920690.203986831</v>
      </c>
    </row>
    <row r="18" spans="2:6" ht="15" thickBot="1" x14ac:dyDescent="0.35">
      <c r="B18" s="58"/>
      <c r="C18" s="59"/>
    </row>
    <row r="19" spans="2:6" ht="15" thickBot="1" x14ac:dyDescent="0.35">
      <c r="B19" s="75" t="s">
        <v>72</v>
      </c>
      <c r="C19" s="76">
        <f>Table18[[#Totals],[amount]]</f>
        <v>5281726</v>
      </c>
    </row>
    <row r="20" spans="2:6" ht="15" thickBot="1" x14ac:dyDescent="0.35">
      <c r="B20" s="71"/>
      <c r="C20" s="72"/>
    </row>
    <row r="21" spans="2:6" ht="15" thickBot="1" x14ac:dyDescent="0.35">
      <c r="B21" s="60" t="s">
        <v>73</v>
      </c>
      <c r="C21" s="61">
        <f>(C13-C17)+C19</f>
        <v>3741034.7293343134</v>
      </c>
      <c r="E21" s="79" t="s">
        <v>74</v>
      </c>
      <c r="F21" s="141">
        <f>C5*0.05</f>
        <v>187051.73646671569</v>
      </c>
    </row>
  </sheetData>
  <phoneticPr fontId="4" type="noConversion"/>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CE7E-0ED4-4A4C-A825-11433EC34268}">
  <dimension ref="B2:F44"/>
  <sheetViews>
    <sheetView topLeftCell="A13" workbookViewId="0">
      <selection activeCell="J32" sqref="J32"/>
    </sheetView>
  </sheetViews>
  <sheetFormatPr defaultRowHeight="14.4" x14ac:dyDescent="0.3"/>
  <cols>
    <col min="2" max="2" width="10.33203125" bestFit="1" customWidth="1"/>
    <col min="4" max="4" width="9.33203125" customWidth="1"/>
  </cols>
  <sheetData>
    <row r="2" spans="2:6" x14ac:dyDescent="0.3">
      <c r="B2" t="s">
        <v>75</v>
      </c>
      <c r="C2" t="s">
        <v>45</v>
      </c>
      <c r="D2" t="s">
        <v>70</v>
      </c>
      <c r="E2" t="s">
        <v>69</v>
      </c>
      <c r="F2" t="s">
        <v>76</v>
      </c>
    </row>
    <row r="3" spans="2:6" x14ac:dyDescent="0.3">
      <c r="B3" s="1">
        <v>46040</v>
      </c>
      <c r="D3">
        <f>SUMIFS(Table14[Debit], Table14[Date], Table13[[#This Row],[Date]], Table14[Party], "Transport")</f>
        <v>0</v>
      </c>
      <c r="E3">
        <f>SUMIFS(Table14[Credit], Table14[Date], Table13[[#This Row],[Date]], Table14[Party], "Transport")</f>
        <v>0</v>
      </c>
    </row>
    <row r="4" spans="2:6" x14ac:dyDescent="0.3">
      <c r="B4" s="1">
        <v>46041</v>
      </c>
      <c r="D4">
        <f>SUMIFS(Table14[Debit], Table14[Date], Table13[[#This Row],[Date]], Table14[Party], "Transport")</f>
        <v>0</v>
      </c>
      <c r="E4">
        <f>SUMIFS(Table14[Credit], Table14[Date], Table13[[#This Row],[Date]], Table14[Party], "Transport")</f>
        <v>0</v>
      </c>
    </row>
    <row r="5" spans="2:6" x14ac:dyDescent="0.3">
      <c r="B5" s="1">
        <v>46042</v>
      </c>
      <c r="D5">
        <f>SUMIFS(Table14[Debit], Table14[Date], Table13[[#This Row],[Date]], Table14[Party], "Transport")</f>
        <v>0</v>
      </c>
      <c r="E5">
        <f>SUMIFS(Table14[Credit], Table14[Date], Table13[[#This Row],[Date]], Table14[Party], "Transport")</f>
        <v>0</v>
      </c>
    </row>
    <row r="6" spans="2:6" x14ac:dyDescent="0.3">
      <c r="B6" s="1">
        <v>46043</v>
      </c>
      <c r="D6">
        <f>SUMIFS(Table14[Debit], Table14[Date], Table13[[#This Row],[Date]], Table14[Party], "Transport")</f>
        <v>3000</v>
      </c>
      <c r="E6">
        <f>SUMIFS(Table14[Credit], Table14[Date], Table13[[#This Row],[Date]], Table14[Party], "Transport")</f>
        <v>0</v>
      </c>
    </row>
    <row r="7" spans="2:6" x14ac:dyDescent="0.3">
      <c r="B7" s="1">
        <v>46044</v>
      </c>
      <c r="D7">
        <f>SUMIFS(Table14[Debit], Table14[Date], Table13[[#This Row],[Date]], Table14[Party], "Transport")</f>
        <v>11600</v>
      </c>
      <c r="E7">
        <f>SUMIFS(Table14[Credit], Table14[Date], Table13[[#This Row],[Date]], Table14[Party], "Transport")</f>
        <v>0</v>
      </c>
    </row>
    <row r="8" spans="2:6" x14ac:dyDescent="0.3">
      <c r="B8" s="1">
        <v>46045</v>
      </c>
      <c r="D8">
        <f>SUMIFS(Table14[Debit], Table14[Date], Table13[[#This Row],[Date]], Table14[Party], "Transport")</f>
        <v>5000</v>
      </c>
      <c r="E8">
        <f>SUMIFS(Table14[Credit], Table14[Date], Table13[[#This Row],[Date]], Table14[Party], "Transport")</f>
        <v>0</v>
      </c>
    </row>
    <row r="9" spans="2:6" x14ac:dyDescent="0.3">
      <c r="B9" s="1">
        <v>46046</v>
      </c>
      <c r="D9">
        <f>SUMIFS(Table14[Debit], Table14[Date], Table13[[#This Row],[Date]], Table14[Party], "Transport")</f>
        <v>5000</v>
      </c>
      <c r="E9">
        <f>SUMIFS(Table14[Credit], Table14[Date], Table13[[#This Row],[Date]], Table14[Party], "Transport")</f>
        <v>0</v>
      </c>
    </row>
    <row r="10" spans="2:6" x14ac:dyDescent="0.3">
      <c r="B10" s="1">
        <v>46047</v>
      </c>
      <c r="D10">
        <f>SUMIFS(Table14[Debit], Table14[Date], Table13[[#This Row],[Date]], Table14[Party], "Transport")</f>
        <v>3700</v>
      </c>
      <c r="E10">
        <f>SUMIFS(Table14[Credit], Table14[Date], Table13[[#This Row],[Date]], Table14[Party], "Transport")</f>
        <v>0</v>
      </c>
    </row>
    <row r="11" spans="2:6" x14ac:dyDescent="0.3">
      <c r="B11" s="1">
        <v>46048</v>
      </c>
      <c r="D11">
        <f>SUMIFS(Table14[Debit], Table14[Date], Table13[[#This Row],[Date]], Table14[Party], "Transport")</f>
        <v>3300</v>
      </c>
      <c r="E11">
        <f>SUMIFS(Table14[Credit], Table14[Date], Table13[[#This Row],[Date]], Table14[Party], "Transport")</f>
        <v>0</v>
      </c>
    </row>
    <row r="12" spans="2:6" x14ac:dyDescent="0.3">
      <c r="B12" s="1">
        <v>46049</v>
      </c>
      <c r="D12">
        <f>SUMIFS(Table14[Debit], Table14[Date], Table13[[#This Row],[Date]], Table14[Party], "Transport")</f>
        <v>500</v>
      </c>
      <c r="E12">
        <f>SUMIFS(Table14[Credit], Table14[Date], Table13[[#This Row],[Date]], Table14[Party], "Transport")</f>
        <v>0</v>
      </c>
    </row>
    <row r="13" spans="2:6" x14ac:dyDescent="0.3">
      <c r="B13" s="1">
        <v>46050</v>
      </c>
      <c r="D13">
        <f>SUMIFS(Table14[Debit], Table14[Date], Table13[[#This Row],[Date]], Table14[Party], "Transport")</f>
        <v>0</v>
      </c>
      <c r="E13">
        <f>SUMIFS(Table14[Credit], Table14[Date], Table13[[#This Row],[Date]], Table14[Party], "Transport")</f>
        <v>0</v>
      </c>
    </row>
    <row r="14" spans="2:6" x14ac:dyDescent="0.3">
      <c r="B14" s="1">
        <v>46051</v>
      </c>
      <c r="D14">
        <f>SUMIFS(Table14[Debit], Table14[Date], Table13[[#This Row],[Date]], Table14[Party], "Transport")</f>
        <v>11400</v>
      </c>
      <c r="E14">
        <f>SUMIFS(Table14[Credit], Table14[Date], Table13[[#This Row],[Date]], Table14[Party], "Transport")</f>
        <v>0</v>
      </c>
    </row>
    <row r="15" spans="2:6" x14ac:dyDescent="0.3">
      <c r="B15" s="1">
        <v>46052</v>
      </c>
      <c r="D15">
        <f>SUMIFS(Table14[Debit], Table14[Date], Table13[[#This Row],[Date]], Table14[Party], "Transport")</f>
        <v>2400</v>
      </c>
      <c r="E15">
        <f>SUMIFS(Table14[Credit], Table14[Date], Table13[[#This Row],[Date]], Table14[Party], "Transport")</f>
        <v>0</v>
      </c>
    </row>
    <row r="16" spans="2:6" x14ac:dyDescent="0.3">
      <c r="B16" s="1">
        <v>46053</v>
      </c>
      <c r="D16">
        <f>SUMIFS(Table14[Debit], Table14[Date], Table13[[#This Row],[Date]], Table14[Party], "Transport")</f>
        <v>0</v>
      </c>
      <c r="E16">
        <f>SUMIFS(Table14[Credit], Table14[Date], Table13[[#This Row],[Date]], Table14[Party], "Transport")</f>
        <v>0</v>
      </c>
    </row>
    <row r="17" spans="2:5" x14ac:dyDescent="0.3">
      <c r="B17" s="1">
        <v>46054</v>
      </c>
      <c r="D17">
        <f>SUMIFS(Table14[Debit], Table14[Date], Table13[[#This Row],[Date]], Table14[Party], "Transport")</f>
        <v>0</v>
      </c>
      <c r="E17">
        <f>SUMIFS(Table14[Credit], Table14[Date], Table13[[#This Row],[Date]], Table14[Party], "Transport")</f>
        <v>0</v>
      </c>
    </row>
    <row r="18" spans="2:5" x14ac:dyDescent="0.3">
      <c r="B18" s="1">
        <v>46055</v>
      </c>
      <c r="D18">
        <f>SUMIFS(Table14[Debit], Table14[Date], Table13[[#This Row],[Date]], Table14[Party], "Transport")</f>
        <v>7500</v>
      </c>
      <c r="E18">
        <f>SUMIFS(Table14[Credit], Table14[Date], Table13[[#This Row],[Date]], Table14[Party], "Transport")</f>
        <v>0</v>
      </c>
    </row>
    <row r="19" spans="2:5" x14ac:dyDescent="0.3">
      <c r="B19" s="1">
        <v>46056</v>
      </c>
      <c r="D19">
        <f>SUMIFS(Table14[Debit], Table14[Date], Table13[[#This Row],[Date]], Table14[Party], "Transport")</f>
        <v>6650</v>
      </c>
      <c r="E19">
        <f>SUMIFS(Table14[Credit], Table14[Date], Table13[[#This Row],[Date]], Table14[Party], "Transport")</f>
        <v>0</v>
      </c>
    </row>
    <row r="20" spans="2:5" x14ac:dyDescent="0.3">
      <c r="B20" s="1">
        <v>46057</v>
      </c>
      <c r="D20">
        <f>SUMIFS(Table14[Debit], Table14[Date], Table13[[#This Row],[Date]], Table14[Party], "Transport")</f>
        <v>4850</v>
      </c>
      <c r="E20">
        <f>SUMIFS(Table14[Credit], Table14[Date], Table13[[#This Row],[Date]], Table14[Party], "Transport")</f>
        <v>0</v>
      </c>
    </row>
    <row r="21" spans="2:5" x14ac:dyDescent="0.3">
      <c r="B21" s="1">
        <v>46058</v>
      </c>
      <c r="D21">
        <f>SUMIFS(Table14[Debit], Table14[Date], Table13[[#This Row],[Date]], Table14[Party], "Transport")</f>
        <v>8400</v>
      </c>
      <c r="E21">
        <f>SUMIFS(Table14[Credit], Table14[Date], Table13[[#This Row],[Date]], Table14[Party], "Transport")</f>
        <v>0</v>
      </c>
    </row>
    <row r="22" spans="2:5" x14ac:dyDescent="0.3">
      <c r="B22" s="1">
        <v>46059</v>
      </c>
      <c r="D22">
        <f>SUMIFS(Table14[Debit], Table14[Date], Table13[[#This Row],[Date]], Table14[Party], "Transport")</f>
        <v>5000</v>
      </c>
      <c r="E22">
        <f>SUMIFS(Table14[Credit], Table14[Date], Table13[[#This Row],[Date]], Table14[Party], "Transport")</f>
        <v>0</v>
      </c>
    </row>
    <row r="23" spans="2:5" x14ac:dyDescent="0.3">
      <c r="B23" s="1">
        <v>46060</v>
      </c>
      <c r="D23">
        <f>SUMIFS(Table14[Debit], Table14[Date], Table13[[#This Row],[Date]], Table14[Party], "Transport")</f>
        <v>0</v>
      </c>
      <c r="E23">
        <f>SUMIFS(Table14[Credit], Table14[Date], Table13[[#This Row],[Date]], Table14[Party], "Transport")</f>
        <v>0</v>
      </c>
    </row>
    <row r="24" spans="2:5" x14ac:dyDescent="0.3">
      <c r="B24" s="1">
        <v>46061</v>
      </c>
      <c r="D24">
        <f>SUMIFS(Table14[Debit], Table14[Date], Table13[[#This Row],[Date]], Table14[Party], "Transport")</f>
        <v>0</v>
      </c>
      <c r="E24">
        <f>SUMIFS(Table14[Credit], Table14[Date], Table13[[#This Row],[Date]], Table14[Party], "Transport")</f>
        <v>0</v>
      </c>
    </row>
    <row r="25" spans="2:5" x14ac:dyDescent="0.3">
      <c r="B25" s="1">
        <v>46062</v>
      </c>
      <c r="D25">
        <f>SUMIFS(Table14[Debit], Table14[Date], Table13[[#This Row],[Date]], Table14[Party], "Transport")</f>
        <v>9500</v>
      </c>
      <c r="E25">
        <f>SUMIFS(Table14[Credit], Table14[Date], Table13[[#This Row],[Date]], Table14[Party], "Transport")</f>
        <v>0</v>
      </c>
    </row>
    <row r="26" spans="2:5" x14ac:dyDescent="0.3">
      <c r="B26" s="1">
        <v>46063</v>
      </c>
      <c r="D26">
        <f>SUMIFS(Table14[Debit], Table14[Date], Table13[[#This Row],[Date]], Table14[Party], "Transport")</f>
        <v>6000</v>
      </c>
      <c r="E26">
        <f>SUMIFS(Table14[Credit], Table14[Date], Table13[[#This Row],[Date]], Table14[Party], "Transport")</f>
        <v>0</v>
      </c>
    </row>
    <row r="27" spans="2:5" x14ac:dyDescent="0.3">
      <c r="B27" s="1">
        <v>46064</v>
      </c>
      <c r="D27">
        <f>SUMIFS(Table14[Debit], Table14[Date], Table13[[#This Row],[Date]], Table14[Party], "Transport")</f>
        <v>8010</v>
      </c>
      <c r="E27">
        <f>SUMIFS(Table14[Credit], Table14[Date], Table13[[#This Row],[Date]], Table14[Party], "Transport")</f>
        <v>0</v>
      </c>
    </row>
    <row r="28" spans="2:5" x14ac:dyDescent="0.3">
      <c r="B28" s="1">
        <v>46065</v>
      </c>
      <c r="D28">
        <f>SUMIFS(Table14[Debit], Table14[Date], Table13[[#This Row],[Date]], Table14[Party], "Transport")</f>
        <v>11920</v>
      </c>
      <c r="E28">
        <f>SUMIFS(Table14[Credit], Table14[Date], Table13[[#This Row],[Date]], Table14[Party], "Transport")</f>
        <v>0</v>
      </c>
    </row>
    <row r="29" spans="2:5" x14ac:dyDescent="0.3">
      <c r="B29" s="1">
        <v>46066</v>
      </c>
      <c r="D29">
        <f>SUMIFS(Table14[Debit], Table14[Date], Table13[[#This Row],[Date]], Table14[Party], "Transport")</f>
        <v>0</v>
      </c>
      <c r="E29">
        <f>SUMIFS(Table14[Credit], Table14[Date], Table13[[#This Row],[Date]], Table14[Party], "Transport")</f>
        <v>0</v>
      </c>
    </row>
    <row r="30" spans="2:5" x14ac:dyDescent="0.3">
      <c r="B30" s="1">
        <v>46067</v>
      </c>
      <c r="D30">
        <f>SUMIFS(Table14[Debit], Table14[Date], Table13[[#This Row],[Date]], Table14[Party], "Transport")</f>
        <v>2000</v>
      </c>
      <c r="E30">
        <f>SUMIFS(Table14[Credit], Table14[Date], Table13[[#This Row],[Date]], Table14[Party], "Transport")</f>
        <v>0</v>
      </c>
    </row>
    <row r="31" spans="2:5" x14ac:dyDescent="0.3">
      <c r="B31" s="1">
        <v>46068</v>
      </c>
      <c r="D31">
        <f>SUMIFS(Table14[Debit], Table14[Date], Table13[[#This Row],[Date]], Table14[Party], "Transport")</f>
        <v>600</v>
      </c>
      <c r="E31">
        <f>SUMIFS(Table14[Credit], Table14[Date], Table13[[#This Row],[Date]], Table14[Party], "Transport")</f>
        <v>0</v>
      </c>
    </row>
    <row r="32" spans="2:5" x14ac:dyDescent="0.3">
      <c r="B32" s="1">
        <v>46069</v>
      </c>
      <c r="D32">
        <f>SUMIFS(Table14[Debit], Table14[Date], Table13[[#This Row],[Date]], Table14[Party], "Transport")</f>
        <v>200</v>
      </c>
      <c r="E32">
        <f>SUMIFS(Table14[Credit], Table14[Date], Table13[[#This Row],[Date]], Table14[Party], "Transport")</f>
        <v>0</v>
      </c>
    </row>
    <row r="33" spans="2:6" x14ac:dyDescent="0.3">
      <c r="B33" s="1">
        <v>46070</v>
      </c>
      <c r="D33">
        <f>SUMIFS(Table14[Debit], Table14[Date], Table13[[#This Row],[Date]], Table14[Party], "Transport")</f>
        <v>2200</v>
      </c>
      <c r="E33">
        <f>SUMIFS(Table14[Credit], Table14[Date], Table13[[#This Row],[Date]], Table14[Party], "Transport")</f>
        <v>0</v>
      </c>
    </row>
    <row r="34" spans="2:6" x14ac:dyDescent="0.3">
      <c r="B34" s="1">
        <v>46071</v>
      </c>
      <c r="D34">
        <f>SUMIFS(Table14[Debit], Table14[Date], Table13[[#This Row],[Date]], Table14[Party], "Transport")</f>
        <v>6000</v>
      </c>
      <c r="E34">
        <f>SUMIFS(Table14[Credit], Table14[Date], Table13[[#This Row],[Date]], Table14[Party], "Transport")</f>
        <v>0</v>
      </c>
    </row>
    <row r="35" spans="2:6" x14ac:dyDescent="0.3">
      <c r="B35" s="1">
        <v>46072</v>
      </c>
      <c r="D35">
        <f>SUMIFS(Table14[Debit], Table14[Date], Table13[[#This Row],[Date]], Table14[Party], "Transport")</f>
        <v>2400</v>
      </c>
      <c r="E35">
        <f>SUMIFS(Table14[Credit], Table14[Date], Table13[[#This Row],[Date]], Table14[Party], "Transport")</f>
        <v>0</v>
      </c>
    </row>
    <row r="36" spans="2:6" x14ac:dyDescent="0.3">
      <c r="B36" s="1">
        <v>46073</v>
      </c>
      <c r="D36">
        <f>SUMIFS(Table14[Debit], Table14[Date], Table13[[#This Row],[Date]], Table14[Party], "Transport")</f>
        <v>0</v>
      </c>
      <c r="E36">
        <f>SUMIFS(Table14[Credit], Table14[Date], Table13[[#This Row],[Date]], Table14[Party], "Transport")</f>
        <v>0</v>
      </c>
    </row>
    <row r="37" spans="2:6" x14ac:dyDescent="0.3">
      <c r="B37" s="1">
        <v>46074</v>
      </c>
      <c r="D37">
        <f>SUMIFS(Table14[Debit], Table14[Date], Table13[[#This Row],[Date]], Table14[Party], "Transport")</f>
        <v>0</v>
      </c>
      <c r="E37">
        <f>SUMIFS(Table14[Credit], Table14[Date], Table13[[#This Row],[Date]], Table14[Party], "Transport")</f>
        <v>0</v>
      </c>
    </row>
    <row r="38" spans="2:6" x14ac:dyDescent="0.3">
      <c r="B38" s="1">
        <v>46041</v>
      </c>
      <c r="D38">
        <f>SUMIFS(Table14[Debit], Table14[Date], Table13[[#This Row],[Date]], Table14[Party], "Transport")</f>
        <v>0</v>
      </c>
      <c r="E38">
        <f>SUMIFS(Table14[Credit], Table14[Date], Table13[[#This Row],[Date]], Table14[Party], "Transport")</f>
        <v>0</v>
      </c>
    </row>
    <row r="39" spans="2:6" x14ac:dyDescent="0.3">
      <c r="B39" s="1">
        <v>46042</v>
      </c>
      <c r="D39">
        <f>SUMIFS(Table14[Debit], Table14[Date], Table13[[#This Row],[Date]], Table14[Party], "Transport")</f>
        <v>0</v>
      </c>
      <c r="E39">
        <f>SUMIFS(Table14[Credit], Table14[Date], Table13[[#This Row],[Date]], Table14[Party], "Transport")</f>
        <v>0</v>
      </c>
    </row>
    <row r="40" spans="2:6" x14ac:dyDescent="0.3">
      <c r="B40" s="1">
        <v>46043</v>
      </c>
      <c r="D40">
        <f>SUMIFS(Table14[Debit], Table14[Date], Table13[[#This Row],[Date]], Table14[Party], "Transport")</f>
        <v>3000</v>
      </c>
      <c r="E40">
        <f>SUMIFS(Table14[Credit], Table14[Date], Table13[[#This Row],[Date]], Table14[Party], "Transport")</f>
        <v>0</v>
      </c>
    </row>
    <row r="41" spans="2:6" x14ac:dyDescent="0.3">
      <c r="B41" s="1">
        <v>46044</v>
      </c>
      <c r="D41">
        <f>SUMIFS(Table14[Debit], Table14[Date], Table13[[#This Row],[Date]], Table14[Party], "Transport")</f>
        <v>11600</v>
      </c>
      <c r="E41">
        <f>SUMIFS(Table14[Credit], Table14[Date], Table13[[#This Row],[Date]], Table14[Party], "Transport")</f>
        <v>0</v>
      </c>
    </row>
    <row r="42" spans="2:6" x14ac:dyDescent="0.3">
      <c r="B42" s="1">
        <v>46045</v>
      </c>
      <c r="D42">
        <f>SUMIFS(Table14[Debit], Table14[Date], Table13[[#This Row],[Date]], Table14[Party], "Transport")</f>
        <v>5000</v>
      </c>
      <c r="E42">
        <f>SUMIFS(Table14[Credit], Table14[Date], Table13[[#This Row],[Date]], Table14[Party], "Transport")</f>
        <v>0</v>
      </c>
    </row>
    <row r="43" spans="2:6" x14ac:dyDescent="0.3">
      <c r="B43" s="1">
        <v>46046</v>
      </c>
      <c r="D43">
        <f>SUMIFS(Table14[Debit], Table14[Date], Table13[[#This Row],[Date]], Table14[Party], "Transport")</f>
        <v>5000</v>
      </c>
      <c r="E43">
        <f>SUMIFS(Table14[Credit], Table14[Date], Table13[[#This Row],[Date]], Table14[Party], "Transport")</f>
        <v>0</v>
      </c>
    </row>
    <row r="44" spans="2:6" x14ac:dyDescent="0.3">
      <c r="B44" s="1"/>
      <c r="D44">
        <f>SUBTOTAL(109,Table13[Debit])</f>
        <v>151730</v>
      </c>
      <c r="E44">
        <f>SUBTOTAL(109,Table13[Credit])</f>
        <v>0</v>
      </c>
      <c r="F44">
        <f>Table13[[#Totals],[Debit]]-Table13[[#Totals],[Credit]]</f>
        <v>151730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BF55-86DF-4B9C-ABE1-54F1EB648833}">
  <sheetPr>
    <pageSetUpPr fitToPage="1"/>
  </sheetPr>
  <dimension ref="A1:AB199"/>
  <sheetViews>
    <sheetView topLeftCell="A55" zoomScale="107" zoomScaleNormal="107" workbookViewId="0">
      <selection activeCell="J203" sqref="J203"/>
    </sheetView>
  </sheetViews>
  <sheetFormatPr defaultColWidth="8.88671875" defaultRowHeight="14.4" x14ac:dyDescent="0.3"/>
  <cols>
    <col min="1" max="1" width="16.5546875" style="10" bestFit="1" customWidth="1"/>
    <col min="2" max="2" width="16.109375" style="10" bestFit="1" customWidth="1"/>
    <col min="3" max="3" width="20.6640625" style="10" customWidth="1"/>
    <col min="4" max="4" width="18.109375" style="10" bestFit="1" customWidth="1"/>
    <col min="5" max="5" width="15.77734375" style="10" bestFit="1" customWidth="1"/>
    <col min="6" max="6" width="18.109375" style="10" bestFit="1" customWidth="1"/>
    <col min="7" max="7" width="12.6640625" style="10" bestFit="1" customWidth="1"/>
    <col min="8" max="8" width="18.33203125" style="10" customWidth="1"/>
    <col min="9" max="9" width="13.21875" style="10" bestFit="1" customWidth="1"/>
    <col min="10" max="10" width="18.109375" style="10" bestFit="1" customWidth="1"/>
    <col min="11" max="11" width="12.6640625" style="10" bestFit="1" customWidth="1"/>
    <col min="12" max="12" width="15.5546875" style="10" bestFit="1" customWidth="1"/>
    <col min="13" max="13" width="15.88671875" style="10" bestFit="1" customWidth="1"/>
    <col min="14" max="15" width="15.5546875" style="10" bestFit="1" customWidth="1"/>
    <col min="16" max="16" width="16.5546875" style="10" bestFit="1" customWidth="1"/>
    <col min="17" max="17" width="16.109375" style="10" bestFit="1" customWidth="1"/>
    <col min="18" max="18" width="18" style="10" bestFit="1" customWidth="1"/>
    <col min="19" max="19" width="12.6640625" style="10" bestFit="1" customWidth="1"/>
    <col min="20" max="20" width="17.44140625" style="10" bestFit="1" customWidth="1"/>
    <col min="21" max="21" width="13" style="10" bestFit="1" customWidth="1"/>
    <col min="22" max="22" width="18" style="10" bestFit="1" customWidth="1"/>
    <col min="23" max="23" width="12.6640625" style="10" bestFit="1" customWidth="1"/>
    <col min="24" max="25" width="17.33203125" style="10" bestFit="1" customWidth="1"/>
    <col min="26" max="26" width="20.88671875" style="10" bestFit="1" customWidth="1"/>
    <col min="27" max="27" width="20.33203125" style="10" bestFit="1" customWidth="1"/>
    <col min="28" max="28" width="21.6640625" style="10" bestFit="1" customWidth="1"/>
    <col min="29" max="16384" width="8.88671875" style="10"/>
  </cols>
  <sheetData>
    <row r="1" spans="1:28" x14ac:dyDescent="0.3">
      <c r="A1" s="105" t="s">
        <v>75</v>
      </c>
      <c r="B1" s="105" t="s">
        <v>2</v>
      </c>
      <c r="C1" s="105" t="s">
        <v>77</v>
      </c>
      <c r="D1" s="105" t="s">
        <v>78</v>
      </c>
      <c r="E1" s="105" t="s">
        <v>79</v>
      </c>
      <c r="F1" s="105" t="s">
        <v>80</v>
      </c>
      <c r="G1" s="105" t="s">
        <v>81</v>
      </c>
      <c r="H1" s="27" t="s">
        <v>82</v>
      </c>
      <c r="I1" s="27" t="s">
        <v>83</v>
      </c>
      <c r="J1" s="27" t="s">
        <v>84</v>
      </c>
      <c r="K1" s="27" t="s">
        <v>41</v>
      </c>
    </row>
    <row r="2" spans="1:28" x14ac:dyDescent="0.3">
      <c r="A2" s="106">
        <v>46042</v>
      </c>
      <c r="B2" s="80" t="s">
        <v>21</v>
      </c>
      <c r="C2" s="107" t="s">
        <v>219</v>
      </c>
      <c r="D2" s="107" t="s">
        <v>85</v>
      </c>
      <c r="E2" s="108"/>
      <c r="F2" s="37"/>
      <c r="G2" s="37"/>
      <c r="H2" s="109" t="e">
        <f>_xlfn.XLOOKUP(Table1[[#This Row],[Shipment Number]], 'pivot '!A:A,'pivot '!G:G, "NF")</f>
        <v>#DIV/0!</v>
      </c>
      <c r="I2" s="109">
        <f>_xlfn.XLOOKUP(Table1[[#This Row],[Party Name]],
[1]Billing!$Q$5:$Q$40,
[1]Billing!$T$5:$T$40)</f>
        <v>2468066.8273591809</v>
      </c>
      <c r="J2" s="109">
        <f>_xlfn.XLOOKUP(Table1[[#This Row],[Party Name]],
[1]Billing!$Q$5:$Q$40,
[1]Billing!$V$5:$V$40)</f>
        <v>24680668.273591813</v>
      </c>
      <c r="K2" s="107"/>
      <c r="M2" s="10" t="str" cm="1">
        <f t="array" ref="M2:M31">_xlfn.UNIQUE(Table1[Party Name])</f>
        <v>BSC</v>
      </c>
    </row>
    <row r="3" spans="1:28" x14ac:dyDescent="0.3">
      <c r="A3" s="106">
        <v>46042</v>
      </c>
      <c r="B3" s="80" t="s">
        <v>22</v>
      </c>
      <c r="C3" s="107" t="s">
        <v>219</v>
      </c>
      <c r="D3" s="107" t="s">
        <v>85</v>
      </c>
      <c r="E3" s="108"/>
      <c r="F3" s="37"/>
      <c r="G3" s="37"/>
      <c r="H3" s="109" t="e">
        <f>_xlfn.XLOOKUP(Table1[[#This Row],[Shipment Number]], 'pivot '!A:A,'pivot '!G:G, "NF")</f>
        <v>#DIV/0!</v>
      </c>
      <c r="I3" s="109">
        <f>_xlfn.XLOOKUP(Table1[[#This Row],[Party Name]],
[1]Billing!$Q$5:$Q$40,
[1]Billing!$T$5:$T$40)</f>
        <v>148145.57425018289</v>
      </c>
      <c r="J3" s="109">
        <f>_xlfn.XLOOKUP(Table1[[#This Row],[Party Name]],
[1]Billing!$Q$5:$Q$40,
[1]Billing!$V$5:$V$40)</f>
        <v>1481455.7425018288</v>
      </c>
      <c r="K3" s="107"/>
      <c r="M3" s="10" t="str">
        <v>Ejaz Sahab</v>
      </c>
    </row>
    <row r="4" spans="1:28" x14ac:dyDescent="0.3">
      <c r="A4" s="106">
        <v>46042</v>
      </c>
      <c r="B4" s="80" t="s">
        <v>9</v>
      </c>
      <c r="C4" s="107" t="s">
        <v>219</v>
      </c>
      <c r="D4" s="107" t="s">
        <v>85</v>
      </c>
      <c r="E4" s="108"/>
      <c r="F4" s="37"/>
      <c r="G4" s="37"/>
      <c r="H4" s="109" t="e">
        <f>_xlfn.XLOOKUP(Table1[[#This Row],[Shipment Number]], 'pivot '!A:A,'pivot '!G:G, "NF")</f>
        <v>#DIV/0!</v>
      </c>
      <c r="I4" s="109">
        <f>_xlfn.XLOOKUP(Table1[[#This Row],[Party Name]],
[1]Billing!$Q$5:$Q$40,
[1]Billing!$T$5:$T$40)</f>
        <v>626388.07607900514</v>
      </c>
      <c r="J4" s="109">
        <f>_xlfn.XLOOKUP(Table1[[#This Row],[Party Name]],
[1]Billing!$Q$5:$Q$40,
[1]Billing!$V$5:$V$40)</f>
        <v>6263880.7607900519</v>
      </c>
      <c r="K4" s="107"/>
      <c r="M4" s="10" t="str">
        <v>Arshad</v>
      </c>
    </row>
    <row r="5" spans="1:28" x14ac:dyDescent="0.3">
      <c r="A5" s="106">
        <v>46042</v>
      </c>
      <c r="B5" s="80" t="s">
        <v>23</v>
      </c>
      <c r="C5" s="107" t="s">
        <v>219</v>
      </c>
      <c r="D5" s="107" t="s">
        <v>85</v>
      </c>
      <c r="E5" s="108"/>
      <c r="F5" s="37"/>
      <c r="G5" s="37"/>
      <c r="H5" s="109" t="e">
        <f>_xlfn.XLOOKUP(Table1[[#This Row],[Shipment Number]], 'pivot '!A:A,'pivot '!G:G, "NF")</f>
        <v>#DIV/0!</v>
      </c>
      <c r="I5" s="109">
        <f>_xlfn.XLOOKUP(Table1[[#This Row],[Party Name]],
[1]Billing!$Q$5:$Q$40,
[1]Billing!$T$5:$T$40)</f>
        <v>131178.67593269935</v>
      </c>
      <c r="J5" s="109">
        <f>_xlfn.XLOOKUP(Table1[[#This Row],[Party Name]],
[1]Billing!$Q$5:$Q$40,
[1]Billing!$V$5:$V$40)</f>
        <v>1354241.9972933433</v>
      </c>
      <c r="K5" s="107"/>
      <c r="M5" s="10" t="str">
        <v>Shehzad Kamoki</v>
      </c>
    </row>
    <row r="6" spans="1:28" x14ac:dyDescent="0.3">
      <c r="A6" s="106">
        <v>46042</v>
      </c>
      <c r="B6" s="80" t="s">
        <v>24</v>
      </c>
      <c r="C6" s="107" t="s">
        <v>219</v>
      </c>
      <c r="D6" s="107" t="s">
        <v>85</v>
      </c>
      <c r="E6" s="108"/>
      <c r="F6" s="37"/>
      <c r="G6" s="37"/>
      <c r="H6" s="109" t="e">
        <f>_xlfn.XLOOKUP(Table1[[#This Row],[Shipment Number]], 'pivot '!A:A,'pivot '!G:G, "NF")</f>
        <v>#DIV/0!</v>
      </c>
      <c r="I6" s="109">
        <f>_xlfn.XLOOKUP(Table1[[#This Row],[Party Name]],
[1]Billing!$Q$5:$Q$40,
[1]Billing!$T$5:$T$40)</f>
        <v>599330.65106071695</v>
      </c>
      <c r="J6" s="109">
        <f>_xlfn.XLOOKUP(Table1[[#This Row],[Party Name]],
[1]Billing!$Q$5:$Q$40,
[1]Billing!$V$5:$V$40)</f>
        <v>5408917.8595464528</v>
      </c>
      <c r="K6" s="107"/>
      <c r="M6" s="10" t="str">
        <v>Sufi Nawaz Sahab</v>
      </c>
      <c r="X6"/>
      <c r="Y6"/>
      <c r="Z6"/>
      <c r="AA6"/>
      <c r="AB6"/>
    </row>
    <row r="7" spans="1:28" x14ac:dyDescent="0.3">
      <c r="A7" s="106">
        <v>46042</v>
      </c>
      <c r="B7" s="80" t="s">
        <v>25</v>
      </c>
      <c r="C7" s="107" t="s">
        <v>219</v>
      </c>
      <c r="D7" s="107" t="s">
        <v>85</v>
      </c>
      <c r="E7" s="108"/>
      <c r="F7" s="37"/>
      <c r="G7" s="37"/>
      <c r="H7" s="109" t="e">
        <f>_xlfn.XLOOKUP(Table1[[#This Row],[Shipment Number]], 'pivot '!A:A,'pivot '!G:G, "NF")</f>
        <v>#DIV/0!</v>
      </c>
      <c r="I7" s="109">
        <f>_xlfn.XLOOKUP(Table1[[#This Row],[Party Name]],
[1]Billing!$Q$5:$Q$40,
[1]Billing!$T$5:$T$40)</f>
        <v>837856.62033650337</v>
      </c>
      <c r="J7" s="109">
        <f>_xlfn.XLOOKUP(Table1[[#This Row],[Party Name]],
[1]Billing!$Q$5:$Q$40,
[1]Billing!$V$5:$V$40)</f>
        <v>8378566.2033650335</v>
      </c>
      <c r="K7" s="107"/>
      <c r="M7" s="10" t="str">
        <v>Sajad Khan</v>
      </c>
      <c r="X7"/>
      <c r="Y7"/>
      <c r="Z7"/>
      <c r="AA7"/>
      <c r="AB7"/>
    </row>
    <row r="8" spans="1:28" x14ac:dyDescent="0.3">
      <c r="A8" s="106">
        <v>46042</v>
      </c>
      <c r="B8" s="80" t="s">
        <v>26</v>
      </c>
      <c r="C8" s="107" t="s">
        <v>219</v>
      </c>
      <c r="D8" s="107" t="s">
        <v>85</v>
      </c>
      <c r="E8" s="108"/>
      <c r="F8" s="37"/>
      <c r="G8" s="37"/>
      <c r="H8" s="109" t="e">
        <f>_xlfn.XLOOKUP(Table1[[#This Row],[Shipment Number]], 'pivot '!A:A,'pivot '!G:G, "NF")</f>
        <v>#DIV/0!</v>
      </c>
      <c r="I8" s="109">
        <f>_xlfn.XLOOKUP(Table1[[#This Row],[Party Name]],
[1]Billing!$Q$5:$Q$40,
[1]Billing!$T$5:$T$40)</f>
        <v>162638.07607900514</v>
      </c>
      <c r="J8" s="109">
        <f>_xlfn.XLOOKUP(Table1[[#This Row],[Party Name]],
[1]Billing!$Q$5:$Q$40,
[1]Billing!$V$5:$V$40)</f>
        <v>1626380.7607900514</v>
      </c>
      <c r="K8" s="107"/>
      <c r="M8" s="10" t="str">
        <v>Raaz Fabrics</v>
      </c>
      <c r="X8"/>
      <c r="Y8"/>
      <c r="Z8"/>
      <c r="AA8"/>
      <c r="AB8"/>
    </row>
    <row r="9" spans="1:28" x14ac:dyDescent="0.3">
      <c r="A9" s="106">
        <v>46042</v>
      </c>
      <c r="B9" s="80" t="s">
        <v>152</v>
      </c>
      <c r="C9" s="107" t="s">
        <v>219</v>
      </c>
      <c r="D9" s="107" t="s">
        <v>85</v>
      </c>
      <c r="E9" s="108"/>
      <c r="F9" s="37"/>
      <c r="G9" s="37"/>
      <c r="H9" s="109" t="e">
        <f>_xlfn.XLOOKUP(Table1[[#This Row],[Shipment Number]], 'pivot '!A:A,'pivot '!G:G, "NF")</f>
        <v>#DIV/0!</v>
      </c>
      <c r="I9" s="109">
        <f>_xlfn.XLOOKUP(Table1[[#This Row],[Party Name]],
[1]Billing!$Q$5:$Q$40,
[1]Billing!$T$5:$T$40)</f>
        <v>400309.07095830288</v>
      </c>
      <c r="J9" s="109">
        <f>_xlfn.XLOOKUP(Table1[[#This Row],[Party Name]],
[1]Billing!$Q$5:$Q$40,
[1]Billing!$V$5:$V$40)</f>
        <v>4003090.7095830292</v>
      </c>
      <c r="K9" s="107"/>
      <c r="M9" s="10" t="str">
        <v>Azam</v>
      </c>
      <c r="X9"/>
      <c r="Y9"/>
      <c r="Z9"/>
      <c r="AA9"/>
      <c r="AB9"/>
    </row>
    <row r="10" spans="1:28" x14ac:dyDescent="0.3">
      <c r="A10" s="106">
        <v>46042</v>
      </c>
      <c r="B10" s="80" t="s">
        <v>35</v>
      </c>
      <c r="C10" s="107" t="s">
        <v>219</v>
      </c>
      <c r="D10" s="107" t="s">
        <v>85</v>
      </c>
      <c r="E10" s="108"/>
      <c r="F10" s="37"/>
      <c r="G10" s="37"/>
      <c r="H10" s="109" t="e">
        <f>_xlfn.XLOOKUP(Table1[[#This Row],[Shipment Number]], 'pivot '!A:A,'pivot '!G:G, "NF")</f>
        <v>#DIV/0!</v>
      </c>
      <c r="I10" s="109">
        <f>_xlfn.XLOOKUP(Table1[[#This Row],[Party Name]],
[1]Billing!$Q$5:$Q$40,
[1]Billing!$T$5:$T$40)</f>
        <v>46132.955376737387</v>
      </c>
      <c r="J10" s="109">
        <f>_xlfn.XLOOKUP(Table1[[#This Row],[Party Name]],
[1]Billing!$Q$5:$Q$40,
[1]Billing!$V$5:$V$40)</f>
        <v>461329.5537673739</v>
      </c>
      <c r="K10" s="107"/>
      <c r="M10" s="10" t="str">
        <v>Ubaidullah</v>
      </c>
      <c r="X10"/>
      <c r="Y10"/>
    </row>
    <row r="11" spans="1:28" x14ac:dyDescent="0.3">
      <c r="A11" s="106">
        <v>46042</v>
      </c>
      <c r="B11" s="80" t="s">
        <v>148</v>
      </c>
      <c r="C11" s="107" t="s">
        <v>219</v>
      </c>
      <c r="D11" s="107" t="s">
        <v>85</v>
      </c>
      <c r="E11" s="108"/>
      <c r="F11" s="37"/>
      <c r="G11" s="37"/>
      <c r="H11" s="109" t="e">
        <f>_xlfn.XLOOKUP(Table1[[#This Row],[Shipment Number]], 'pivot '!A:A,'pivot '!G:G, "NF")</f>
        <v>#DIV/0!</v>
      </c>
      <c r="I11" s="109">
        <f>_xlfn.XLOOKUP(Table1[[#This Row],[Party Name]],
[1]Billing!$Q$5:$Q$40,
[1]Billing!$T$5:$T$40)</f>
        <v>21310.35113386979</v>
      </c>
      <c r="J11" s="109">
        <f>_xlfn.XLOOKUP(Table1[[#This Row],[Party Name]],
[1]Billing!$Q$5:$Q$40,
[1]Billing!$V$5:$V$40)</f>
        <v>255724.21360643749</v>
      </c>
      <c r="K11" s="107"/>
      <c r="M11" s="10" t="str">
        <v>Ashraf Zia</v>
      </c>
      <c r="P11"/>
      <c r="Q11"/>
      <c r="R11"/>
      <c r="S11"/>
      <c r="T11"/>
      <c r="U11"/>
      <c r="V11"/>
      <c r="W11"/>
      <c r="X11"/>
      <c r="Y11"/>
    </row>
    <row r="12" spans="1:28" x14ac:dyDescent="0.3">
      <c r="A12" s="106">
        <v>46042</v>
      </c>
      <c r="B12" s="80" t="s">
        <v>27</v>
      </c>
      <c r="C12" s="107" t="s">
        <v>219</v>
      </c>
      <c r="D12" s="107" t="s">
        <v>85</v>
      </c>
      <c r="E12" s="108"/>
      <c r="F12" s="37"/>
      <c r="G12" s="37"/>
      <c r="H12" s="109" t="e">
        <f>_xlfn.XLOOKUP(Table1[[#This Row],[Shipment Number]], 'pivot '!A:A,'pivot '!G:G, "NF")</f>
        <v>#DIV/0!</v>
      </c>
      <c r="I12" s="109">
        <f>_xlfn.XLOOKUP(Table1[[#This Row],[Party Name]],
[1]Billing!$Q$5:$Q$40,
[1]Billing!$T$5:$T$40)</f>
        <v>287970.007315289</v>
      </c>
      <c r="J12" s="109">
        <f>_xlfn.XLOOKUP(Table1[[#This Row],[Party Name]],
[1]Billing!$Q$5:$Q$40,
[1]Billing!$V$5:$V$40)</f>
        <v>2879700.07315289</v>
      </c>
      <c r="K12" s="107"/>
      <c r="M12" s="10" t="str">
        <v>Hafiz Qureshi</v>
      </c>
      <c r="P12"/>
      <c r="Q12"/>
      <c r="R12"/>
      <c r="S12"/>
      <c r="T12"/>
      <c r="U12"/>
      <c r="V12"/>
      <c r="W12"/>
      <c r="X12"/>
      <c r="Y12"/>
    </row>
    <row r="13" spans="1:28" x14ac:dyDescent="0.3">
      <c r="A13" s="106">
        <v>46042</v>
      </c>
      <c r="B13" s="80" t="s">
        <v>166</v>
      </c>
      <c r="C13" s="107" t="s">
        <v>219</v>
      </c>
      <c r="D13" s="107" t="s">
        <v>85</v>
      </c>
      <c r="E13" s="37"/>
      <c r="F13" s="37"/>
      <c r="G13" s="37"/>
      <c r="H13" s="109" t="e">
        <f>_xlfn.XLOOKUP(Table1[[#This Row],[Shipment Number]], 'pivot '!A:A,'pivot '!G:G, "NF")</f>
        <v>#DIV/0!</v>
      </c>
      <c r="I13" s="109">
        <f>_xlfn.XLOOKUP(Table1[[#This Row],[Party Name]],
[1]Billing!$Q$5:$Q$40,
[1]Billing!$T$5:$T$40)</f>
        <v>481526.15215801029</v>
      </c>
      <c r="J13" s="109">
        <f>_xlfn.XLOOKUP(Table1[[#This Row],[Party Name]],
[1]Billing!$Q$5:$Q$40,
[1]Billing!$V$5:$V$40)</f>
        <v>4861679.7732260432</v>
      </c>
      <c r="K13" s="107"/>
      <c r="M13" s="10" t="str">
        <v>Badshah Fabrics</v>
      </c>
      <c r="P13"/>
      <c r="Q13"/>
      <c r="R13"/>
      <c r="S13"/>
      <c r="T13"/>
      <c r="U13"/>
      <c r="V13"/>
      <c r="W13"/>
      <c r="X13"/>
      <c r="Y13"/>
    </row>
    <row r="14" spans="1:28" x14ac:dyDescent="0.3">
      <c r="A14" s="106">
        <v>46042</v>
      </c>
      <c r="B14" s="80" t="s">
        <v>217</v>
      </c>
      <c r="C14" s="107" t="s">
        <v>219</v>
      </c>
      <c r="D14" s="107" t="s">
        <v>85</v>
      </c>
      <c r="E14" s="37"/>
      <c r="F14" s="37"/>
      <c r="G14" s="37"/>
      <c r="H14" s="109" t="e">
        <f>_xlfn.XLOOKUP(Table1[[#This Row],[Shipment Number]], 'pivot '!A:A,'pivot '!G:G, "NF")</f>
        <v>#DIV/0!</v>
      </c>
      <c r="I14" s="109">
        <f>_xlfn.XLOOKUP(Table1[[#This Row],[Party Name]],
[1]Billing!$Q$5:$Q$40,
[1]Billing!$T$5:$T$40)</f>
        <v>50406.91294806145</v>
      </c>
      <c r="J14" s="109">
        <f>_xlfn.XLOOKUP(Table1[[#This Row],[Party Name]],
[1]Billing!$Q$5:$Q$40,
[1]Billing!$V$5:$V$40)</f>
        <v>504069.1294806145</v>
      </c>
      <c r="K14" s="107"/>
      <c r="M14" s="10" t="str">
        <v>Gauhar Kashif</v>
      </c>
      <c r="P14"/>
      <c r="Q14"/>
      <c r="R14"/>
      <c r="S14"/>
      <c r="T14"/>
      <c r="U14"/>
      <c r="V14"/>
      <c r="W14"/>
      <c r="X14"/>
      <c r="Y14"/>
    </row>
    <row r="15" spans="1:28" x14ac:dyDescent="0.3">
      <c r="A15" s="106">
        <v>46042</v>
      </c>
      <c r="B15" s="80" t="s">
        <v>170</v>
      </c>
      <c r="C15" s="107" t="s">
        <v>219</v>
      </c>
      <c r="D15" s="107" t="s">
        <v>85</v>
      </c>
      <c r="E15" s="37"/>
      <c r="F15" s="37"/>
      <c r="G15" s="37"/>
      <c r="H15" s="109" t="e">
        <f>_xlfn.XLOOKUP(Table1[[#This Row],[Shipment Number]], 'pivot '!A:A,'pivot '!G:G, "NF")</f>
        <v>#DIV/0!</v>
      </c>
      <c r="I15" s="109">
        <f>_xlfn.XLOOKUP(Table1[[#This Row],[Party Name]],
[1]Billing!$Q$5:$Q$40,
[1]Billing!$T$5:$T$40)</f>
        <v>48385.149963423559</v>
      </c>
      <c r="J15" s="109">
        <f>_xlfn.XLOOKUP(Table1[[#This Row],[Party Name]],
[1]Billing!$Q$5:$Q$40,
[1]Billing!$V$5:$V$40)</f>
        <v>483851.49963423557</v>
      </c>
      <c r="K15" s="107"/>
      <c r="M15" s="10" t="str">
        <v>Amjad 7up</v>
      </c>
      <c r="P15"/>
      <c r="Q15"/>
      <c r="R15"/>
      <c r="S15"/>
      <c r="T15"/>
      <c r="U15"/>
      <c r="V15"/>
      <c r="W15"/>
      <c r="X15"/>
      <c r="Y15"/>
    </row>
    <row r="16" spans="1:28" x14ac:dyDescent="0.3">
      <c r="A16" s="106">
        <v>46042</v>
      </c>
      <c r="B16" s="80" t="s">
        <v>171</v>
      </c>
      <c r="C16" s="107" t="s">
        <v>219</v>
      </c>
      <c r="D16" s="107" t="s">
        <v>85</v>
      </c>
      <c r="E16" s="37"/>
      <c r="F16" s="37"/>
      <c r="G16" s="37"/>
      <c r="H16" s="109" t="e">
        <f>_xlfn.XLOOKUP(Table1[[#This Row],[Shipment Number]], 'pivot '!A:A,'pivot '!G:G, "NF")</f>
        <v>#DIV/0!</v>
      </c>
      <c r="I16" s="109">
        <f>_xlfn.XLOOKUP(Table1[[#This Row],[Party Name]],
[1]Billing!$Q$5:$Q$40,
[1]Billing!$T$5:$T$40)</f>
        <v>8915.5084125822978</v>
      </c>
      <c r="J16" s="109">
        <f>_xlfn.XLOOKUP(Table1[[#This Row],[Party Name]],
[1]Billing!$Q$5:$Q$40,
[1]Billing!$V$5:$V$40)</f>
        <v>89155.084125822978</v>
      </c>
      <c r="K16" s="107"/>
      <c r="M16" s="10" t="str">
        <v>Hazrat Khan</v>
      </c>
      <c r="P16"/>
      <c r="Q16"/>
      <c r="R16"/>
      <c r="S16"/>
      <c r="T16"/>
      <c r="U16"/>
      <c r="V16"/>
      <c r="W16"/>
      <c r="X16"/>
      <c r="Y16"/>
    </row>
    <row r="17" spans="1:25" x14ac:dyDescent="0.3">
      <c r="A17" s="106">
        <v>46042</v>
      </c>
      <c r="B17" s="80" t="s">
        <v>173</v>
      </c>
      <c r="C17" s="107" t="s">
        <v>219</v>
      </c>
      <c r="D17" s="107" t="s">
        <v>85</v>
      </c>
      <c r="E17" s="37"/>
      <c r="F17" s="37"/>
      <c r="G17" s="37"/>
      <c r="H17" s="109" t="e">
        <f>_xlfn.XLOOKUP(Table1[[#This Row],[Shipment Number]], 'pivot '!A:A,'pivot '!G:G, "NF")</f>
        <v>#DIV/0!</v>
      </c>
      <c r="I17" s="109">
        <f>_xlfn.XLOOKUP(Table1[[#This Row],[Party Name]],
[1]Billing!$Q$5:$Q$40,
[1]Billing!$T$5:$T$40)</f>
        <v>47437.820043891741</v>
      </c>
      <c r="J17" s="109">
        <f>_xlfn.XLOOKUP(Table1[[#This Row],[Party Name]],
[1]Billing!$Q$5:$Q$40,
[1]Billing!$V$5:$V$40)</f>
        <v>474378.20043891744</v>
      </c>
      <c r="K17" s="107"/>
      <c r="M17" s="10" t="str">
        <v>Haseeb Shamsi</v>
      </c>
      <c r="P17"/>
      <c r="Q17"/>
      <c r="R17"/>
      <c r="S17"/>
      <c r="T17"/>
      <c r="U17"/>
      <c r="V17"/>
      <c r="W17"/>
      <c r="X17"/>
      <c r="Y17"/>
    </row>
    <row r="18" spans="1:25" x14ac:dyDescent="0.3">
      <c r="A18" s="106">
        <v>46042</v>
      </c>
      <c r="B18" s="80" t="s">
        <v>175</v>
      </c>
      <c r="C18" s="107" t="s">
        <v>219</v>
      </c>
      <c r="D18" s="107" t="s">
        <v>85</v>
      </c>
      <c r="E18" s="37"/>
      <c r="F18" s="37"/>
      <c r="G18" s="37"/>
      <c r="H18" s="109" t="e">
        <f>_xlfn.XLOOKUP(Table1[[#This Row],[Shipment Number]], 'pivot '!A:A,'pivot '!G:G, "NF")</f>
        <v>#DIV/0!</v>
      </c>
      <c r="I18" s="109">
        <f>_xlfn.XLOOKUP(Table1[[#This Row],[Party Name]],
[1]Billing!$Q$5:$Q$40,
[1]Billing!$T$5:$T$40)</f>
        <v>0</v>
      </c>
      <c r="J18" s="109">
        <f>_xlfn.XLOOKUP(Table1[[#This Row],[Party Name]],
[1]Billing!$Q$5:$Q$40,
[1]Billing!$V$5:$V$40)</f>
        <v>0</v>
      </c>
      <c r="K18" s="107"/>
      <c r="M18" s="10" t="str">
        <v>Faizan</v>
      </c>
      <c r="P18"/>
      <c r="Q18"/>
      <c r="R18"/>
      <c r="S18"/>
      <c r="T18"/>
      <c r="U18"/>
      <c r="V18"/>
      <c r="W18"/>
      <c r="X18"/>
      <c r="Y18"/>
    </row>
    <row r="19" spans="1:25" x14ac:dyDescent="0.3">
      <c r="A19" s="106">
        <v>46042</v>
      </c>
      <c r="B19" s="80" t="s">
        <v>177</v>
      </c>
      <c r="C19" s="107" t="s">
        <v>219</v>
      </c>
      <c r="D19" s="107" t="s">
        <v>85</v>
      </c>
      <c r="E19" s="37"/>
      <c r="F19" s="37"/>
      <c r="G19" s="37"/>
      <c r="H19" s="109" t="e">
        <f>_xlfn.XLOOKUP(Table1[[#This Row],[Shipment Number]], 'pivot '!A:A,'pivot '!G:G, "NF")</f>
        <v>#DIV/0!</v>
      </c>
      <c r="I19" s="109">
        <f>_xlfn.XLOOKUP(Table1[[#This Row],[Party Name]],
[1]Billing!$Q$5:$Q$40,
[1]Billing!$T$5:$T$40)</f>
        <v>64300.475493782011</v>
      </c>
      <c r="J19" s="109">
        <f>_xlfn.XLOOKUP(Table1[[#This Row],[Party Name]],
[1]Billing!$Q$5:$Q$40,
[1]Billing!$V$5:$V$40)</f>
        <v>643004.75493782014</v>
      </c>
      <c r="K19" s="107"/>
      <c r="M19" s="10" t="str">
        <v>Shafique Ansari</v>
      </c>
      <c r="P19"/>
      <c r="Q19"/>
      <c r="R19"/>
      <c r="S19"/>
      <c r="T19"/>
      <c r="U19"/>
      <c r="V19"/>
      <c r="W19"/>
      <c r="X19"/>
      <c r="Y19"/>
    </row>
    <row r="20" spans="1:25" x14ac:dyDescent="0.3">
      <c r="A20" s="106">
        <v>46042</v>
      </c>
      <c r="B20" s="80" t="s">
        <v>178</v>
      </c>
      <c r="C20" s="107" t="s">
        <v>219</v>
      </c>
      <c r="D20" s="107" t="s">
        <v>85</v>
      </c>
      <c r="E20" s="37"/>
      <c r="F20" s="37"/>
      <c r="G20" s="37"/>
      <c r="H20" s="109" t="e">
        <f>_xlfn.XLOOKUP(Table1[[#This Row],[Shipment Number]], 'pivot '!A:A,'pivot '!G:G, "NF")</f>
        <v>#DIV/0!</v>
      </c>
      <c r="I20" s="109">
        <f>_xlfn.XLOOKUP(Table1[[#This Row],[Party Name]],
[1]Billing!$Q$5:$Q$40,
[1]Billing!$T$5:$T$40)</f>
        <v>249333.39429407462</v>
      </c>
      <c r="J20" s="109">
        <f>_xlfn.XLOOKUP(Table1[[#This Row],[Party Name]],
[1]Billing!$Q$5:$Q$40,
[1]Billing!$V$5:$V$40)</f>
        <v>2493333.9429407464</v>
      </c>
      <c r="K20" s="107"/>
      <c r="M20" s="10" t="str">
        <v>Amjad sohail</v>
      </c>
      <c r="P20"/>
      <c r="Q20"/>
      <c r="R20"/>
      <c r="S20"/>
      <c r="T20"/>
      <c r="U20"/>
      <c r="V20"/>
      <c r="W20"/>
      <c r="X20"/>
      <c r="Y20"/>
    </row>
    <row r="21" spans="1:25" x14ac:dyDescent="0.3">
      <c r="A21" s="106">
        <v>46042</v>
      </c>
      <c r="B21" s="80" t="s">
        <v>183</v>
      </c>
      <c r="C21" s="107" t="s">
        <v>219</v>
      </c>
      <c r="D21" s="107" t="s">
        <v>85</v>
      </c>
      <c r="E21" s="37"/>
      <c r="F21" s="37"/>
      <c r="G21" s="37"/>
      <c r="H21" s="109" t="e">
        <f>_xlfn.XLOOKUP(Table1[[#This Row],[Shipment Number]], 'pivot '!A:A,'pivot '!G:G, "NF")</f>
        <v>#DIV/0!</v>
      </c>
      <c r="I21" s="109">
        <f>_xlfn.XLOOKUP(Table1[[#This Row],[Party Name]],
[1]Billing!$Q$5:$Q$40,
[1]Billing!$T$5:$T$40)</f>
        <v>52616.130212143384</v>
      </c>
      <c r="J21" s="109">
        <f>_xlfn.XLOOKUP(Table1[[#This Row],[Party Name]],
[1]Billing!$Q$5:$Q$40,
[1]Billing!$V$5:$V$40)</f>
        <v>526161.30212143378</v>
      </c>
      <c r="K21" s="107"/>
      <c r="M21" s="10" t="str">
        <v>Salman Zaffar</v>
      </c>
      <c r="P21"/>
      <c r="Q21"/>
      <c r="R21"/>
      <c r="S21"/>
      <c r="T21"/>
      <c r="U21"/>
      <c r="V21"/>
      <c r="W21"/>
      <c r="X21"/>
      <c r="Y21"/>
    </row>
    <row r="22" spans="1:25" x14ac:dyDescent="0.3">
      <c r="A22" s="106">
        <v>46042</v>
      </c>
      <c r="B22" s="80" t="s">
        <v>188</v>
      </c>
      <c r="C22" s="107" t="s">
        <v>219</v>
      </c>
      <c r="D22" s="107" t="s">
        <v>85</v>
      </c>
      <c r="E22" s="37"/>
      <c r="F22" s="37"/>
      <c r="G22" s="37"/>
      <c r="H22" s="109" t="e">
        <f>_xlfn.XLOOKUP(Table1[[#This Row],[Shipment Number]], 'pivot '!A:A,'pivot '!G:G, "NF")</f>
        <v>#DIV/0!</v>
      </c>
      <c r="I22" s="109">
        <f>_xlfn.XLOOKUP(Table1[[#This Row],[Party Name]],
[1]Billing!$Q$5:$Q$40,
[1]Billing!$T$5:$T$40)</f>
        <v>238964.88661302123</v>
      </c>
      <c r="J22" s="109">
        <f>_xlfn.XLOOKUP(Table1[[#This Row],[Party Name]],
[1]Billing!$Q$5:$Q$40,
[1]Billing!$V$5:$V$40)</f>
        <v>2389648.8661302123</v>
      </c>
      <c r="K22" s="107"/>
      <c r="M22" s="10" t="str">
        <v>Shahid Qasayi</v>
      </c>
      <c r="P22"/>
      <c r="Q22"/>
      <c r="R22"/>
      <c r="S22"/>
      <c r="T22"/>
      <c r="U22"/>
      <c r="V22"/>
      <c r="W22"/>
      <c r="X22"/>
      <c r="Y22"/>
    </row>
    <row r="23" spans="1:25" x14ac:dyDescent="0.3">
      <c r="A23" s="106">
        <v>46042</v>
      </c>
      <c r="B23" s="80" t="s">
        <v>191</v>
      </c>
      <c r="C23" s="107" t="s">
        <v>219</v>
      </c>
      <c r="D23" s="107" t="s">
        <v>85</v>
      </c>
      <c r="E23" s="37"/>
      <c r="F23" s="37"/>
      <c r="G23" s="37"/>
      <c r="H23" s="109" t="e">
        <f>_xlfn.XLOOKUP(Table1[[#This Row],[Shipment Number]], 'pivot '!A:A,'pivot '!G:G, "NF")</f>
        <v>#DIV/0!</v>
      </c>
      <c r="I23" s="109">
        <f>_xlfn.XLOOKUP(Table1[[#This Row],[Party Name]],
[1]Billing!$Q$5:$Q$40,
[1]Billing!$T$5:$T$40)</f>
        <v>42432.333577176301</v>
      </c>
      <c r="J23" s="109">
        <f>_xlfn.XLOOKUP(Table1[[#This Row],[Party Name]],
[1]Billing!$Q$5:$Q$40,
[1]Billing!$V$5:$V$40)</f>
        <v>424323.335771763</v>
      </c>
      <c r="K23" s="107"/>
      <c r="M23" s="10" t="str">
        <v>Hameed corporation</v>
      </c>
      <c r="P23"/>
      <c r="Q23"/>
      <c r="R23"/>
      <c r="S23"/>
      <c r="T23"/>
      <c r="U23"/>
      <c r="V23"/>
      <c r="W23"/>
      <c r="X23"/>
      <c r="Y23"/>
    </row>
    <row r="24" spans="1:25" x14ac:dyDescent="0.3">
      <c r="A24" s="106">
        <v>46042</v>
      </c>
      <c r="B24" s="80" t="s">
        <v>190</v>
      </c>
      <c r="C24" s="107" t="s">
        <v>219</v>
      </c>
      <c r="D24" s="107" t="s">
        <v>85</v>
      </c>
      <c r="E24" s="37"/>
      <c r="F24" s="37"/>
      <c r="G24" s="37"/>
      <c r="H24" s="109" t="e">
        <f>_xlfn.XLOOKUP(Table1[[#This Row],[Shipment Number]], 'pivot '!A:A,'pivot '!G:G, "NF")</f>
        <v>#DIV/0!</v>
      </c>
      <c r="I24" s="109">
        <f>_xlfn.XLOOKUP(Table1[[#This Row],[Party Name]],
[1]Billing!$Q$5:$Q$40,
[1]Billing!$T$5:$T$40)</f>
        <v>0</v>
      </c>
      <c r="J24" s="109">
        <f>_xlfn.XLOOKUP(Table1[[#This Row],[Party Name]],
[1]Billing!$Q$5:$Q$40,
[1]Billing!$V$5:$V$40)</f>
        <v>0</v>
      </c>
      <c r="K24" s="107"/>
      <c r="M24" s="10" t="str">
        <v>ibraheem behraam</v>
      </c>
      <c r="P24"/>
      <c r="Q24"/>
      <c r="R24"/>
      <c r="S24"/>
      <c r="T24"/>
      <c r="U24"/>
      <c r="V24"/>
      <c r="W24"/>
      <c r="X24"/>
      <c r="Y24"/>
    </row>
    <row r="25" spans="1:25" x14ac:dyDescent="0.3">
      <c r="A25" s="106">
        <v>46042</v>
      </c>
      <c r="B25" s="80" t="s">
        <v>195</v>
      </c>
      <c r="C25" s="107" t="s">
        <v>219</v>
      </c>
      <c r="D25" s="107" t="s">
        <v>85</v>
      </c>
      <c r="E25" s="37"/>
      <c r="F25" s="37"/>
      <c r="G25" s="37"/>
      <c r="H25" s="109" t="e">
        <f>_xlfn.XLOOKUP(Table1[[#This Row],[Shipment Number]], 'pivot '!A:A,'pivot '!G:G, "NF")</f>
        <v>#DIV/0!</v>
      </c>
      <c r="I25" s="109">
        <f>_xlfn.XLOOKUP(Table1[[#This Row],[Party Name]],
[1]Billing!$Q$5:$Q$40,
[1]Billing!$T$5:$T$40)</f>
        <v>12456.108266276518</v>
      </c>
      <c r="J25" s="109">
        <f>_xlfn.XLOOKUP(Table1[[#This Row],[Party Name]],
[1]Billing!$Q$5:$Q$40,
[1]Billing!$V$5:$V$40)</f>
        <v>124561.08266276518</v>
      </c>
      <c r="K25" s="107"/>
      <c r="M25" s="10" t="str">
        <v>Zia-ullah karachi</v>
      </c>
      <c r="P25"/>
      <c r="Q25"/>
      <c r="R25"/>
      <c r="S25"/>
      <c r="T25"/>
      <c r="U25"/>
      <c r="V25"/>
      <c r="W25"/>
      <c r="X25"/>
      <c r="Y25"/>
    </row>
    <row r="26" spans="1:25" x14ac:dyDescent="0.3">
      <c r="A26" s="106">
        <v>46042</v>
      </c>
      <c r="B26" s="80" t="s">
        <v>200</v>
      </c>
      <c r="C26" s="107" t="s">
        <v>219</v>
      </c>
      <c r="D26" s="107" t="s">
        <v>85</v>
      </c>
      <c r="E26" s="37"/>
      <c r="F26" s="37"/>
      <c r="G26" s="37"/>
      <c r="H26" s="109" t="e">
        <f>_xlfn.XLOOKUP(Table1[[#This Row],[Shipment Number]], 'pivot '!A:A,'pivot '!G:G, "NF")</f>
        <v>#DIV/0!</v>
      </c>
      <c r="I26" s="109">
        <f>_xlfn.XLOOKUP(Table1[[#This Row],[Party Name]],
[1]Billing!$Q$5:$Q$40,
[1]Billing!$T$5:$T$40)</f>
        <v>0</v>
      </c>
      <c r="J26" s="109">
        <f>_xlfn.XLOOKUP(Table1[[#This Row],[Party Name]],
[1]Billing!$Q$5:$Q$40,
[1]Billing!$V$5:$V$40)</f>
        <v>0</v>
      </c>
      <c r="K26" s="107"/>
      <c r="M26" s="10" t="str">
        <v>ZA</v>
      </c>
      <c r="P26"/>
      <c r="Q26"/>
      <c r="R26"/>
      <c r="S26"/>
      <c r="T26"/>
      <c r="U26"/>
      <c r="V26"/>
      <c r="W26"/>
      <c r="X26"/>
      <c r="Y26"/>
    </row>
    <row r="27" spans="1:25" x14ac:dyDescent="0.3">
      <c r="A27" s="106">
        <v>46042</v>
      </c>
      <c r="B27" s="116" t="s">
        <v>202</v>
      </c>
      <c r="C27" s="107" t="s">
        <v>219</v>
      </c>
      <c r="D27" s="107" t="s">
        <v>85</v>
      </c>
      <c r="E27" s="37"/>
      <c r="F27" s="37"/>
      <c r="G27" s="37"/>
      <c r="H27" s="109" t="e">
        <f>_xlfn.XLOOKUP(Table1[[#This Row],[Shipment Number]], 'pivot '!A:A,'pivot '!G:G, "NF")</f>
        <v>#DIV/0!</v>
      </c>
      <c r="I27" s="109">
        <f>_xlfn.XLOOKUP(Table1[[#This Row],[Party Name]],
[1]Billing!$Q$5:$Q$40,
[1]Billing!$T$5:$T$40)</f>
        <v>0</v>
      </c>
      <c r="J27" s="109">
        <f>_xlfn.XLOOKUP(Table1[[#This Row],[Party Name]],
[1]Billing!$Q$5:$Q$40,
[1]Billing!$V$5:$V$40)</f>
        <v>0</v>
      </c>
      <c r="K27" s="107"/>
      <c r="M27" s="10" t="str">
        <v>Ahmad Javaid</v>
      </c>
      <c r="P27"/>
      <c r="Q27"/>
      <c r="R27"/>
      <c r="S27"/>
      <c r="T27"/>
      <c r="U27"/>
      <c r="V27"/>
      <c r="W27"/>
      <c r="X27"/>
      <c r="Y27"/>
    </row>
    <row r="28" spans="1:25" x14ac:dyDescent="0.3">
      <c r="A28" s="106">
        <v>46042</v>
      </c>
      <c r="B28" s="80" t="s">
        <v>21</v>
      </c>
      <c r="C28" s="107" t="s">
        <v>219</v>
      </c>
      <c r="D28" s="111" t="s">
        <v>86</v>
      </c>
      <c r="E28" s="13"/>
      <c r="F28" s="13"/>
      <c r="G28" s="13"/>
      <c r="H28" s="112" t="e">
        <f>_xlfn.XLOOKUP(Table1[[#This Row],[Shipment Number]], 'pivot '!A:A,'pivot '!G:G, "NF")</f>
        <v>#DIV/0!</v>
      </c>
      <c r="I28" s="112">
        <f>_xlfn.XLOOKUP(Table1[[#This Row],[Party Name]],
[1]Billing!$Q$5:$Q$40,
[1]Billing!$U$5:$U$40)</f>
        <v>379933.24798829557</v>
      </c>
      <c r="J28" s="112">
        <f>_xlfn.XLOOKUP(Table1[[#This Row],[Party Name]],
[1]Billing!$Q$5:$Q$40,
[1]Billing!$W$5:$W$40)</f>
        <v>4850776.335040235</v>
      </c>
      <c r="K28" s="111"/>
      <c r="M28" s="10" t="str">
        <v>Rehman Ali</v>
      </c>
      <c r="P28"/>
      <c r="Q28"/>
      <c r="R28"/>
      <c r="S28"/>
      <c r="T28"/>
      <c r="U28"/>
      <c r="V28"/>
      <c r="W28"/>
      <c r="X28"/>
      <c r="Y28"/>
    </row>
    <row r="29" spans="1:25" x14ac:dyDescent="0.3">
      <c r="A29" s="106">
        <v>46042</v>
      </c>
      <c r="B29" s="80" t="s">
        <v>22</v>
      </c>
      <c r="C29" s="107" t="s">
        <v>219</v>
      </c>
      <c r="D29" s="107" t="s">
        <v>86</v>
      </c>
      <c r="E29" s="37"/>
      <c r="F29" s="37"/>
      <c r="G29" s="37"/>
      <c r="H29" s="109" t="e">
        <f>_xlfn.XLOOKUP(Table1[[#This Row],[Shipment Number]], 'pivot '!A:A,'pivot '!G:G, "NF")</f>
        <v>#DIV/0!</v>
      </c>
      <c r="I29" s="112">
        <f>_xlfn.XLOOKUP(Table1[[#This Row],[Party Name]],
[1]Billing!$Q$5:$Q$40,
[1]Billing!$U$5:$U$40)</f>
        <v>290231.34601316752</v>
      </c>
      <c r="J29" s="112">
        <f>_xlfn.XLOOKUP(Table1[[#This Row],[Party Name]],
[1]Billing!$Q$5:$Q$40,
[1]Billing!$W$5:$W$40)</f>
        <v>3713863.386978786</v>
      </c>
      <c r="K29" s="107"/>
      <c r="M29" s="10" t="str">
        <v>Shani Badshah</v>
      </c>
      <c r="P29"/>
      <c r="Q29"/>
      <c r="R29"/>
      <c r="S29"/>
      <c r="T29"/>
      <c r="U29"/>
      <c r="V29"/>
      <c r="W29"/>
      <c r="X29"/>
      <c r="Y29"/>
    </row>
    <row r="30" spans="1:25" x14ac:dyDescent="0.3">
      <c r="A30" s="106">
        <v>46042</v>
      </c>
      <c r="B30" s="80" t="s">
        <v>9</v>
      </c>
      <c r="C30" s="107" t="s">
        <v>219</v>
      </c>
      <c r="D30" s="111" t="s">
        <v>86</v>
      </c>
      <c r="E30" s="37"/>
      <c r="F30" s="37"/>
      <c r="G30" s="37"/>
      <c r="H30" s="109" t="e">
        <f>_xlfn.XLOOKUP(Table1[[#This Row],[Shipment Number]], 'pivot '!A:A,'pivot '!G:G, "NF")</f>
        <v>#DIV/0!</v>
      </c>
      <c r="I30" s="112">
        <f>_xlfn.XLOOKUP(Table1[[#This Row],[Party Name]],
[1]Billing!$Q$5:$Q$40,
[1]Billing!$U$5:$U$40)</f>
        <v>126699.8902706657</v>
      </c>
      <c r="J30" s="112">
        <f>_xlfn.XLOOKUP(Table1[[#This Row],[Party Name]],
[1]Billing!$Q$5:$Q$40,
[1]Billing!$W$5:$W$40)</f>
        <v>1632304.3160204829</v>
      </c>
      <c r="K30" s="107"/>
      <c r="M30" s="10" t="str">
        <v>Ahmad Shafique</v>
      </c>
      <c r="P30"/>
      <c r="Q30"/>
      <c r="R30"/>
      <c r="S30"/>
      <c r="T30"/>
      <c r="U30"/>
      <c r="V30"/>
      <c r="W30"/>
      <c r="X30"/>
      <c r="Y30"/>
    </row>
    <row r="31" spans="1:25" x14ac:dyDescent="0.3">
      <c r="A31" s="106">
        <v>46042</v>
      </c>
      <c r="B31" s="80" t="s">
        <v>23</v>
      </c>
      <c r="C31" s="107" t="s">
        <v>219</v>
      </c>
      <c r="D31" s="107" t="s">
        <v>86</v>
      </c>
      <c r="E31" s="37"/>
      <c r="F31" s="37"/>
      <c r="G31" s="37"/>
      <c r="H31" s="109" t="e">
        <f>_xlfn.XLOOKUP(Table1[[#This Row],[Shipment Number]], 'pivot '!A:A,'pivot '!G:G, "NF")</f>
        <v>#DIV/0!</v>
      </c>
      <c r="I31" s="112">
        <f>_xlfn.XLOOKUP(Table1[[#This Row],[Party Name]],
[1]Billing!$Q$5:$Q$40,
[1]Billing!$U$5:$U$40)</f>
        <v>0</v>
      </c>
      <c r="J31" s="112">
        <f>_xlfn.XLOOKUP(Table1[[#This Row],[Party Name]],
[1]Billing!$Q$5:$Q$40,
[1]Billing!$W$5:$W$40)</f>
        <v>0</v>
      </c>
      <c r="K31" s="107"/>
      <c r="M31" s="10" t="str">
        <v>Hafiz Shawl</v>
      </c>
      <c r="P31"/>
      <c r="Q31"/>
      <c r="R31"/>
      <c r="S31"/>
      <c r="T31"/>
      <c r="U31"/>
      <c r="V31"/>
      <c r="W31"/>
      <c r="X31"/>
      <c r="Y31"/>
    </row>
    <row r="32" spans="1:25" x14ac:dyDescent="0.3">
      <c r="A32" s="106">
        <v>46042</v>
      </c>
      <c r="B32" s="80" t="s">
        <v>24</v>
      </c>
      <c r="C32" s="107" t="s">
        <v>219</v>
      </c>
      <c r="D32" s="111" t="s">
        <v>86</v>
      </c>
      <c r="E32" s="37"/>
      <c r="F32" s="37"/>
      <c r="G32" s="37"/>
      <c r="H32" s="109" t="e">
        <f>_xlfn.XLOOKUP(Table1[[#This Row],[Shipment Number]], 'pivot '!A:A,'pivot '!G:G, "NF")</f>
        <v>#DIV/0!</v>
      </c>
      <c r="I32" s="112">
        <f>_xlfn.XLOOKUP(Table1[[#This Row],[Party Name]],
[1]Billing!$Q$5:$Q$40,
[1]Billing!$U$5:$U$40)</f>
        <v>485823.88441843458</v>
      </c>
      <c r="J32" s="112">
        <f>_xlfn.XLOOKUP(Table1[[#This Row],[Party Name]],
[1]Billing!$Q$5:$Q$40,
[1]Billing!$W$5:$W$40)</f>
        <v>5829886.6130212145</v>
      </c>
      <c r="K32" s="107"/>
      <c r="P32"/>
      <c r="Q32"/>
      <c r="R32"/>
      <c r="S32"/>
      <c r="T32"/>
      <c r="U32"/>
      <c r="V32"/>
      <c r="W32"/>
      <c r="X32"/>
      <c r="Y32"/>
    </row>
    <row r="33" spans="1:25" x14ac:dyDescent="0.3">
      <c r="A33" s="106">
        <v>46042</v>
      </c>
      <c r="B33" s="80" t="s">
        <v>25</v>
      </c>
      <c r="C33" s="107" t="s">
        <v>219</v>
      </c>
      <c r="D33" s="107" t="s">
        <v>86</v>
      </c>
      <c r="E33" s="37"/>
      <c r="F33" s="37"/>
      <c r="G33" s="37"/>
      <c r="H33" s="109" t="e">
        <f>_xlfn.XLOOKUP(Table1[[#This Row],[Shipment Number]], 'pivot '!A:A,'pivot '!G:G, "NF")</f>
        <v>#DIV/0!</v>
      </c>
      <c r="I33" s="112">
        <f>_xlfn.XLOOKUP(Table1[[#This Row],[Party Name]],
[1]Billing!$Q$5:$Q$40,
[1]Billing!$U$5:$U$40)</f>
        <v>0</v>
      </c>
      <c r="J33" s="112">
        <f>_xlfn.XLOOKUP(Table1[[#This Row],[Party Name]],
[1]Billing!$Q$5:$Q$40,
[1]Billing!$W$5:$W$40)</f>
        <v>0</v>
      </c>
      <c r="K33" s="107"/>
      <c r="P33"/>
      <c r="Q33"/>
      <c r="R33"/>
      <c r="S33"/>
      <c r="T33"/>
      <c r="U33"/>
      <c r="V33"/>
      <c r="W33"/>
      <c r="X33"/>
      <c r="Y33"/>
    </row>
    <row r="34" spans="1:25" x14ac:dyDescent="0.3">
      <c r="A34" s="106">
        <v>46042</v>
      </c>
      <c r="B34" s="80" t="s">
        <v>26</v>
      </c>
      <c r="C34" s="107" t="s">
        <v>219</v>
      </c>
      <c r="D34" s="111" t="s">
        <v>86</v>
      </c>
      <c r="E34" s="37"/>
      <c r="F34" s="37"/>
      <c r="G34" s="37"/>
      <c r="H34" s="109" t="e">
        <f>_xlfn.XLOOKUP(Table1[[#This Row],[Shipment Number]], 'pivot '!A:A,'pivot '!G:G, "NF")</f>
        <v>#DIV/0!</v>
      </c>
      <c r="I34" s="112">
        <f>_xlfn.XLOOKUP(Table1[[#This Row],[Party Name]],
[1]Billing!$Q$5:$Q$40,
[1]Billing!$U$5:$U$40)</f>
        <v>0</v>
      </c>
      <c r="J34" s="112">
        <f>_xlfn.XLOOKUP(Table1[[#This Row],[Party Name]],
[1]Billing!$Q$5:$Q$40,
[1]Billing!$W$5:$W$40)</f>
        <v>0</v>
      </c>
      <c r="K34" s="107"/>
      <c r="P34"/>
      <c r="Q34"/>
      <c r="R34"/>
      <c r="S34"/>
      <c r="T34"/>
      <c r="U34"/>
      <c r="V34"/>
      <c r="W34"/>
      <c r="X34"/>
      <c r="Y34"/>
    </row>
    <row r="35" spans="1:25" x14ac:dyDescent="0.3">
      <c r="A35" s="106">
        <v>46042</v>
      </c>
      <c r="B35" s="80" t="s">
        <v>152</v>
      </c>
      <c r="C35" s="107" t="s">
        <v>219</v>
      </c>
      <c r="D35" s="107" t="s">
        <v>86</v>
      </c>
      <c r="E35" s="37"/>
      <c r="F35" s="37"/>
      <c r="G35" s="37"/>
      <c r="H35" s="109" t="e">
        <f>_xlfn.XLOOKUP(Table1[[#This Row],[Shipment Number]], 'pivot '!A:A,'pivot '!G:G, "NF")</f>
        <v>#DIV/0!</v>
      </c>
      <c r="I35" s="112">
        <f>_xlfn.XLOOKUP(Table1[[#This Row],[Party Name]],
[1]Billing!$Q$5:$Q$40,
[1]Billing!$U$5:$U$40)</f>
        <v>96615.764447695692</v>
      </c>
      <c r="J35" s="112">
        <f>_xlfn.XLOOKUP(Table1[[#This Row],[Party Name]],
[1]Billing!$Q$5:$Q$40,
[1]Billing!$W$5:$W$40)</f>
        <v>1256004.9378200439</v>
      </c>
      <c r="K35" s="107"/>
      <c r="P35"/>
      <c r="Q35"/>
      <c r="R35"/>
      <c r="S35"/>
      <c r="T35"/>
      <c r="U35"/>
      <c r="V35"/>
      <c r="W35"/>
      <c r="X35"/>
      <c r="Y35"/>
    </row>
    <row r="36" spans="1:25" x14ac:dyDescent="0.3">
      <c r="A36" s="106">
        <v>46042</v>
      </c>
      <c r="B36" s="80" t="s">
        <v>35</v>
      </c>
      <c r="C36" s="107" t="s">
        <v>219</v>
      </c>
      <c r="D36" s="111" t="s">
        <v>86</v>
      </c>
      <c r="E36" s="37"/>
      <c r="F36" s="37"/>
      <c r="G36" s="37"/>
      <c r="H36" s="109" t="e">
        <f>_xlfn.XLOOKUP(Table1[[#This Row],[Shipment Number]], 'pivot '!A:A,'pivot '!G:G, "NF")</f>
        <v>#DIV/0!</v>
      </c>
      <c r="I36" s="112">
        <f>_xlfn.XLOOKUP(Table1[[#This Row],[Party Name]],
[1]Billing!$Q$5:$Q$40,
[1]Billing!$U$5:$U$40)</f>
        <v>69492.501828822249</v>
      </c>
      <c r="J36" s="112">
        <f>_xlfn.XLOOKUP(Table1[[#This Row],[Party Name]],
[1]Billing!$Q$5:$Q$40,
[1]Billing!$W$5:$W$40)</f>
        <v>888407.09583028522</v>
      </c>
      <c r="K36" s="107"/>
      <c r="P36"/>
      <c r="Q36"/>
      <c r="R36"/>
      <c r="S36"/>
      <c r="T36"/>
      <c r="U36"/>
      <c r="V36"/>
      <c r="W36"/>
      <c r="X36"/>
      <c r="Y36"/>
    </row>
    <row r="37" spans="1:25" x14ac:dyDescent="0.3">
      <c r="A37" s="106">
        <v>46042</v>
      </c>
      <c r="B37" s="80" t="s">
        <v>148</v>
      </c>
      <c r="C37" s="107" t="s">
        <v>219</v>
      </c>
      <c r="D37" s="107" t="s">
        <v>86</v>
      </c>
      <c r="E37" s="37"/>
      <c r="F37" s="37"/>
      <c r="G37" s="37"/>
      <c r="H37" s="109" t="e">
        <f>_xlfn.XLOOKUP(Table1[[#This Row],[Shipment Number]], 'pivot '!A:A,'pivot '!G:G, "NF")</f>
        <v>#DIV/0!</v>
      </c>
      <c r="I37" s="112">
        <f>_xlfn.XLOOKUP(Table1[[#This Row],[Party Name]],
[1]Billing!$Q$5:$Q$40,
[1]Billing!$U$5:$U$40)</f>
        <v>0</v>
      </c>
      <c r="J37" s="112">
        <f>_xlfn.XLOOKUP(Table1[[#This Row],[Party Name]],
[1]Billing!$Q$5:$Q$40,
[1]Billing!$W$5:$W$40)</f>
        <v>0</v>
      </c>
      <c r="K37" s="107"/>
      <c r="P37"/>
      <c r="Q37"/>
      <c r="R37"/>
      <c r="S37"/>
      <c r="T37"/>
      <c r="U37"/>
      <c r="V37"/>
      <c r="W37"/>
      <c r="X37"/>
      <c r="Y37"/>
    </row>
    <row r="38" spans="1:25" x14ac:dyDescent="0.3">
      <c r="A38" s="106">
        <v>46042</v>
      </c>
      <c r="B38" s="80" t="s">
        <v>27</v>
      </c>
      <c r="C38" s="107" t="s">
        <v>219</v>
      </c>
      <c r="D38" s="111" t="s">
        <v>86</v>
      </c>
      <c r="E38" s="37"/>
      <c r="F38" s="37"/>
      <c r="G38" s="37"/>
      <c r="H38" s="109" t="e">
        <f>_xlfn.XLOOKUP(Table1[[#This Row],[Shipment Number]], 'pivot '!A:A,'pivot '!G:G, "NF")</f>
        <v>#DIV/0!</v>
      </c>
      <c r="I38" s="112">
        <f>_xlfn.XLOOKUP(Table1[[#This Row],[Party Name]],
[1]Billing!$Q$5:$Q$40,
[1]Billing!$U$5:$U$40)</f>
        <v>0</v>
      </c>
      <c r="J38" s="112">
        <f>_xlfn.XLOOKUP(Table1[[#This Row],[Party Name]],
[1]Billing!$Q$5:$Q$40,
[1]Billing!$W$5:$W$40)</f>
        <v>0</v>
      </c>
      <c r="K38" s="107"/>
      <c r="P38"/>
      <c r="Q38"/>
      <c r="R38"/>
      <c r="S38"/>
      <c r="T38"/>
      <c r="U38"/>
      <c r="V38"/>
      <c r="W38"/>
      <c r="X38"/>
      <c r="Y38"/>
    </row>
    <row r="39" spans="1:25" x14ac:dyDescent="0.3">
      <c r="A39" s="106">
        <v>46042</v>
      </c>
      <c r="B39" s="80" t="s">
        <v>166</v>
      </c>
      <c r="C39" s="107" t="s">
        <v>219</v>
      </c>
      <c r="D39" s="107" t="s">
        <v>86</v>
      </c>
      <c r="E39" s="37"/>
      <c r="F39" s="37"/>
      <c r="G39" s="37"/>
      <c r="H39" s="109" t="e">
        <f>_xlfn.XLOOKUP(Table1[[#This Row],[Shipment Number]], 'pivot '!A:A,'pivot '!G:G, "NF")</f>
        <v>#DIV/0!</v>
      </c>
      <c r="I39" s="112">
        <f>_xlfn.XLOOKUP(Table1[[#This Row],[Party Name]],
[1]Billing!$Q$5:$Q$40,
[1]Billing!$U$5:$U$40)</f>
        <v>141474.94513533285</v>
      </c>
      <c r="J39" s="112">
        <f>_xlfn.XLOOKUP(Table1[[#This Row],[Party Name]],
[1]Billing!$Q$5:$Q$40,
[1]Billing!$W$5:$W$40)</f>
        <v>1776019.5683979518</v>
      </c>
      <c r="K39" s="107"/>
      <c r="P39"/>
      <c r="Q39"/>
      <c r="R39"/>
      <c r="S39"/>
      <c r="T39"/>
      <c r="U39"/>
      <c r="V39"/>
      <c r="W39"/>
      <c r="X39"/>
      <c r="Y39"/>
    </row>
    <row r="40" spans="1:25" x14ac:dyDescent="0.3">
      <c r="A40" s="106">
        <v>46042</v>
      </c>
      <c r="B40" s="80" t="s">
        <v>217</v>
      </c>
      <c r="C40" s="107" t="s">
        <v>219</v>
      </c>
      <c r="D40" s="111" t="s">
        <v>86</v>
      </c>
      <c r="E40" s="37"/>
      <c r="F40" s="37"/>
      <c r="G40" s="37"/>
      <c r="H40" s="109" t="e">
        <f>_xlfn.XLOOKUP(Table1[[#This Row],[Shipment Number]], 'pivot '!A:A,'pivot '!G:G, "NF")</f>
        <v>#DIV/0!</v>
      </c>
      <c r="I40" s="112">
        <f>_xlfn.XLOOKUP(Table1[[#This Row],[Party Name]],
[1]Billing!$Q$5:$Q$40,
[1]Billing!$U$5:$U$40)</f>
        <v>0</v>
      </c>
      <c r="J40" s="112">
        <f>_xlfn.XLOOKUP(Table1[[#This Row],[Party Name]],
[1]Billing!$Q$5:$Q$40,
[1]Billing!$W$5:$W$40)</f>
        <v>0</v>
      </c>
      <c r="K40" s="107"/>
      <c r="P40"/>
      <c r="Q40"/>
      <c r="R40"/>
      <c r="S40"/>
      <c r="T40"/>
      <c r="U40"/>
      <c r="V40"/>
      <c r="W40"/>
      <c r="X40"/>
      <c r="Y40"/>
    </row>
    <row r="41" spans="1:25" x14ac:dyDescent="0.3">
      <c r="A41" s="106">
        <v>46042</v>
      </c>
      <c r="B41" s="80" t="s">
        <v>170</v>
      </c>
      <c r="C41" s="107" t="s">
        <v>219</v>
      </c>
      <c r="D41" s="107" t="s">
        <v>86</v>
      </c>
      <c r="E41" s="37"/>
      <c r="F41" s="37"/>
      <c r="G41" s="37"/>
      <c r="H41" s="109" t="e">
        <f>_xlfn.XLOOKUP(Table1[[#This Row],[Shipment Number]], 'pivot '!A:A,'pivot '!G:G, "NF")</f>
        <v>#DIV/0!</v>
      </c>
      <c r="I41" s="112">
        <f>_xlfn.XLOOKUP(Table1[[#This Row],[Party Name]],
[1]Billing!$Q$5:$Q$40,
[1]Billing!$U$5:$U$40)</f>
        <v>0</v>
      </c>
      <c r="J41" s="112">
        <f>_xlfn.XLOOKUP(Table1[[#This Row],[Party Name]],
[1]Billing!$Q$5:$Q$40,
[1]Billing!$W$5:$W$40)</f>
        <v>0</v>
      </c>
      <c r="K41" s="107"/>
      <c r="P41"/>
      <c r="Q41"/>
      <c r="R41"/>
      <c r="S41"/>
      <c r="T41"/>
      <c r="U41"/>
      <c r="V41"/>
      <c r="W41"/>
      <c r="X41"/>
      <c r="Y41"/>
    </row>
    <row r="42" spans="1:25" x14ac:dyDescent="0.3">
      <c r="A42" s="106">
        <v>46042</v>
      </c>
      <c r="B42" s="80" t="s">
        <v>171</v>
      </c>
      <c r="C42" s="107" t="s">
        <v>219</v>
      </c>
      <c r="D42" s="111" t="s">
        <v>86</v>
      </c>
      <c r="E42" s="37"/>
      <c r="F42" s="37"/>
      <c r="G42" s="37"/>
      <c r="H42" s="109" t="e">
        <f>_xlfn.XLOOKUP(Table1[[#This Row],[Shipment Number]], 'pivot '!A:A,'pivot '!G:G, "NF")</f>
        <v>#DIV/0!</v>
      </c>
      <c r="I42" s="112">
        <f>_xlfn.XLOOKUP(Table1[[#This Row],[Party Name]],
[1]Billing!$Q$5:$Q$40,
[1]Billing!$U$5:$U$40)</f>
        <v>0</v>
      </c>
      <c r="J42" s="112">
        <f>_xlfn.XLOOKUP(Table1[[#This Row],[Party Name]],
[1]Billing!$Q$5:$Q$40,
[1]Billing!$W$5:$W$40)</f>
        <v>0</v>
      </c>
      <c r="K42" s="107"/>
      <c r="P42"/>
      <c r="Q42"/>
      <c r="R42"/>
      <c r="S42"/>
      <c r="T42"/>
      <c r="U42"/>
      <c r="V42"/>
      <c r="W42"/>
      <c r="X42"/>
      <c r="Y42"/>
    </row>
    <row r="43" spans="1:25" x14ac:dyDescent="0.3">
      <c r="A43" s="106">
        <v>46042</v>
      </c>
      <c r="B43" s="80" t="s">
        <v>173</v>
      </c>
      <c r="C43" s="107" t="s">
        <v>219</v>
      </c>
      <c r="D43" s="107" t="s">
        <v>86</v>
      </c>
      <c r="E43" s="37"/>
      <c r="F43" s="37"/>
      <c r="G43" s="37"/>
      <c r="H43" s="109" t="e">
        <f>_xlfn.XLOOKUP(Table1[[#This Row],[Shipment Number]], 'pivot '!A:A,'pivot '!G:G, "NF")</f>
        <v>#DIV/0!</v>
      </c>
      <c r="I43" s="112">
        <f>_xlfn.XLOOKUP(Table1[[#This Row],[Party Name]],
[1]Billing!$Q$5:$Q$40,
[1]Billing!$U$5:$U$40)</f>
        <v>9232.809070958303</v>
      </c>
      <c r="J43" s="112">
        <f>_xlfn.XLOOKUP(Table1[[#This Row],[Party Name]],
[1]Billing!$Q$5:$Q$40,
[1]Billing!$W$5:$W$40)</f>
        <v>120026.51792245793</v>
      </c>
      <c r="K43" s="107"/>
      <c r="P43"/>
      <c r="Q43"/>
      <c r="R43"/>
      <c r="S43"/>
      <c r="T43"/>
      <c r="U43"/>
      <c r="V43"/>
      <c r="W43"/>
      <c r="X43"/>
      <c r="Y43"/>
    </row>
    <row r="44" spans="1:25" x14ac:dyDescent="0.3">
      <c r="A44" s="106">
        <v>46042</v>
      </c>
      <c r="B44" s="80" t="s">
        <v>175</v>
      </c>
      <c r="C44" s="107" t="s">
        <v>219</v>
      </c>
      <c r="D44" s="111" t="s">
        <v>86</v>
      </c>
      <c r="E44" s="37"/>
      <c r="F44" s="37"/>
      <c r="G44" s="37"/>
      <c r="H44" s="109" t="e">
        <f>_xlfn.XLOOKUP(Table1[[#This Row],[Shipment Number]], 'pivot '!A:A,'pivot '!G:G, "NF")</f>
        <v>#DIV/0!</v>
      </c>
      <c r="I44" s="112">
        <f>_xlfn.XLOOKUP(Table1[[#This Row],[Party Name]],
[1]Billing!$Q$5:$Q$40,
[1]Billing!$U$5:$U$40)</f>
        <v>398433.61375274323</v>
      </c>
      <c r="J44" s="112">
        <f>_xlfn.XLOOKUP(Table1[[#This Row],[Party Name]],
[1]Billing!$Q$5:$Q$40,
[1]Billing!$W$5:$W$40)</f>
        <v>5179636.9787856629</v>
      </c>
      <c r="K44" s="107"/>
      <c r="P44"/>
      <c r="Q44"/>
      <c r="R44"/>
      <c r="S44"/>
      <c r="T44"/>
      <c r="U44"/>
      <c r="V44"/>
      <c r="W44"/>
      <c r="X44"/>
      <c r="Y44"/>
    </row>
    <row r="45" spans="1:25" x14ac:dyDescent="0.3">
      <c r="A45" s="106">
        <v>46042</v>
      </c>
      <c r="B45" s="80" t="s">
        <v>177</v>
      </c>
      <c r="C45" s="107" t="s">
        <v>219</v>
      </c>
      <c r="D45" s="107" t="s">
        <v>86</v>
      </c>
      <c r="E45" s="37"/>
      <c r="F45" s="37"/>
      <c r="G45" s="37"/>
      <c r="H45" s="109" t="e">
        <f>_xlfn.XLOOKUP(Table1[[#This Row],[Shipment Number]], 'pivot '!A:A,'pivot '!G:G, "NF")</f>
        <v>#DIV/0!</v>
      </c>
      <c r="I45" s="112">
        <f>_xlfn.XLOOKUP(Table1[[#This Row],[Party Name]],
[1]Billing!$Q$5:$Q$40,
[1]Billing!$U$5:$U$40)</f>
        <v>7565.8376005852242</v>
      </c>
      <c r="J45" s="112">
        <f>_xlfn.XLOOKUP(Table1[[#This Row],[Party Name]],
[1]Billing!$Q$5:$Q$40,
[1]Billing!$W$5:$W$40)</f>
        <v>98355.888807607917</v>
      </c>
      <c r="K45" s="107"/>
      <c r="P45"/>
      <c r="Q45"/>
      <c r="R45"/>
      <c r="S45"/>
      <c r="T45"/>
      <c r="U45"/>
      <c r="V45"/>
      <c r="W45"/>
      <c r="X45"/>
      <c r="Y45"/>
    </row>
    <row r="46" spans="1:25" x14ac:dyDescent="0.3">
      <c r="A46" s="106">
        <v>46042</v>
      </c>
      <c r="B46" s="80" t="s">
        <v>178</v>
      </c>
      <c r="C46" s="107" t="s">
        <v>219</v>
      </c>
      <c r="D46" s="111" t="s">
        <v>86</v>
      </c>
      <c r="E46" s="37"/>
      <c r="F46" s="37"/>
      <c r="G46" s="37"/>
      <c r="H46" s="109" t="e">
        <f>_xlfn.XLOOKUP(Table1[[#This Row],[Shipment Number]], 'pivot '!A:A,'pivot '!G:G, "NF")</f>
        <v>#DIV/0!</v>
      </c>
      <c r="I46" s="112">
        <f>_xlfn.XLOOKUP(Table1[[#This Row],[Party Name]],
[1]Billing!$Q$5:$Q$40,
[1]Billing!$U$5:$U$40)</f>
        <v>43834.125822970011</v>
      </c>
      <c r="J46" s="112">
        <f>_xlfn.XLOOKUP(Table1[[#This Row],[Party Name]],
[1]Billing!$Q$5:$Q$40,
[1]Billing!$W$5:$W$40)</f>
        <v>569843.63569861022</v>
      </c>
      <c r="K46" s="107"/>
      <c r="P46"/>
      <c r="Q46"/>
      <c r="R46"/>
      <c r="S46"/>
      <c r="T46"/>
      <c r="U46"/>
      <c r="V46"/>
      <c r="W46"/>
      <c r="X46"/>
      <c r="Y46"/>
    </row>
    <row r="47" spans="1:25" x14ac:dyDescent="0.3">
      <c r="A47" s="106">
        <v>46042</v>
      </c>
      <c r="B47" s="80" t="s">
        <v>183</v>
      </c>
      <c r="C47" s="107" t="s">
        <v>219</v>
      </c>
      <c r="D47" s="107" t="s">
        <v>86</v>
      </c>
      <c r="E47" s="37"/>
      <c r="F47" s="37"/>
      <c r="G47" s="37"/>
      <c r="H47" s="109" t="e">
        <f>_xlfn.XLOOKUP(Table1[[#This Row],[Shipment Number]], 'pivot '!A:A,'pivot '!G:G, "NF")</f>
        <v>#DIV/0!</v>
      </c>
      <c r="I47" s="112">
        <f>_xlfn.XLOOKUP(Table1[[#This Row],[Party Name]],
[1]Billing!$Q$5:$Q$40,
[1]Billing!$U$5:$U$40)</f>
        <v>31409.107534747625</v>
      </c>
      <c r="J47" s="112">
        <f>_xlfn.XLOOKUP(Table1[[#This Row],[Party Name]],
[1]Billing!$Q$5:$Q$40,
[1]Billing!$W$5:$W$40)</f>
        <v>408318.39795171918</v>
      </c>
      <c r="K47" s="107"/>
      <c r="P47"/>
      <c r="Q47"/>
      <c r="R47"/>
      <c r="S47"/>
      <c r="T47"/>
      <c r="U47"/>
      <c r="V47"/>
      <c r="W47"/>
      <c r="X47"/>
      <c r="Y47"/>
    </row>
    <row r="48" spans="1:25" x14ac:dyDescent="0.3">
      <c r="A48" s="106">
        <v>46042</v>
      </c>
      <c r="B48" s="80" t="s">
        <v>188</v>
      </c>
      <c r="C48" s="107" t="s">
        <v>219</v>
      </c>
      <c r="D48" s="111" t="s">
        <v>86</v>
      </c>
      <c r="E48" s="37"/>
      <c r="F48" s="37"/>
      <c r="G48" s="37"/>
      <c r="H48" s="109" t="e">
        <f>_xlfn.XLOOKUP(Table1[[#This Row],[Shipment Number]], 'pivot '!A:A,'pivot '!G:G, "NF")</f>
        <v>#DIV/0!</v>
      </c>
      <c r="I48" s="112">
        <f>_xlfn.XLOOKUP(Table1[[#This Row],[Party Name]],
[1]Billing!$Q$5:$Q$40,
[1]Billing!$U$5:$U$40)</f>
        <v>0</v>
      </c>
      <c r="J48" s="112">
        <f>_xlfn.XLOOKUP(Table1[[#This Row],[Party Name]],
[1]Billing!$Q$5:$Q$40,
[1]Billing!$W$5:$W$40)</f>
        <v>0</v>
      </c>
      <c r="K48" s="107"/>
      <c r="P48"/>
      <c r="Q48"/>
      <c r="R48"/>
      <c r="S48"/>
      <c r="T48"/>
      <c r="U48"/>
      <c r="V48"/>
      <c r="W48"/>
      <c r="X48"/>
      <c r="Y48"/>
    </row>
    <row r="49" spans="1:25" x14ac:dyDescent="0.3">
      <c r="A49" s="106">
        <v>46042</v>
      </c>
      <c r="B49" s="80" t="s">
        <v>191</v>
      </c>
      <c r="C49" s="107" t="s">
        <v>219</v>
      </c>
      <c r="D49" s="107" t="s">
        <v>86</v>
      </c>
      <c r="E49" s="37"/>
      <c r="F49" s="37"/>
      <c r="G49" s="37"/>
      <c r="H49" s="109" t="e">
        <f>_xlfn.XLOOKUP(Table1[[#This Row],[Shipment Number]], 'pivot '!A:A,'pivot '!G:G, "NF")</f>
        <v>#DIV/0!</v>
      </c>
      <c r="I49" s="112">
        <f>_xlfn.XLOOKUP(Table1[[#This Row],[Party Name]],
[1]Billing!$Q$5:$Q$40,
[1]Billing!$U$5:$U$40)</f>
        <v>0</v>
      </c>
      <c r="J49" s="112">
        <f>_xlfn.XLOOKUP(Table1[[#This Row],[Party Name]],
[1]Billing!$Q$5:$Q$40,
[1]Billing!$W$5:$W$40)</f>
        <v>0</v>
      </c>
      <c r="K49" s="107"/>
      <c r="P49"/>
      <c r="Q49"/>
      <c r="R49"/>
      <c r="S49"/>
      <c r="T49"/>
      <c r="U49"/>
      <c r="V49"/>
      <c r="W49"/>
      <c r="X49"/>
      <c r="Y49"/>
    </row>
    <row r="50" spans="1:25" x14ac:dyDescent="0.3">
      <c r="A50" s="106">
        <v>46042</v>
      </c>
      <c r="B50" s="80" t="s">
        <v>190</v>
      </c>
      <c r="C50" s="107" t="s">
        <v>219</v>
      </c>
      <c r="D50" s="111" t="s">
        <v>86</v>
      </c>
      <c r="E50" s="37"/>
      <c r="F50" s="37"/>
      <c r="G50" s="37"/>
      <c r="H50" s="109" t="e">
        <f>_xlfn.XLOOKUP(Table1[[#This Row],[Shipment Number]], 'pivot '!A:A,'pivot '!G:G, "NF")</f>
        <v>#DIV/0!</v>
      </c>
      <c r="I50" s="112">
        <f>_xlfn.XLOOKUP(Table1[[#This Row],[Party Name]],
[1]Billing!$Q$5:$Q$40,
[1]Billing!$U$5:$U$40)</f>
        <v>60995.793708851503</v>
      </c>
      <c r="J50" s="112">
        <f>_xlfn.XLOOKUP(Table1[[#This Row],[Party Name]],
[1]Billing!$Q$5:$Q$40,
[1]Billing!$W$5:$W$40)</f>
        <v>792945.31821506959</v>
      </c>
      <c r="K50" s="107"/>
      <c r="P50"/>
      <c r="Q50"/>
      <c r="R50"/>
      <c r="S50"/>
      <c r="T50"/>
      <c r="U50"/>
      <c r="V50"/>
      <c r="W50"/>
      <c r="X50"/>
      <c r="Y50"/>
    </row>
    <row r="51" spans="1:25" x14ac:dyDescent="0.3">
      <c r="A51" s="106">
        <v>46042</v>
      </c>
      <c r="B51" s="80" t="s">
        <v>195</v>
      </c>
      <c r="C51" s="107" t="s">
        <v>219</v>
      </c>
      <c r="D51" s="107" t="s">
        <v>86</v>
      </c>
      <c r="E51" s="37"/>
      <c r="F51" s="37"/>
      <c r="G51" s="37"/>
      <c r="H51" s="109" t="e">
        <f>_xlfn.XLOOKUP(Table1[[#This Row],[Shipment Number]], 'pivot '!A:A,'pivot '!G:G, "NF")</f>
        <v>#DIV/0!</v>
      </c>
      <c r="I51" s="112">
        <f>_xlfn.XLOOKUP(Table1[[#This Row],[Party Name]],
[1]Billing!$Q$5:$Q$40,
[1]Billing!$U$5:$U$40)</f>
        <v>0</v>
      </c>
      <c r="J51" s="112">
        <f>_xlfn.XLOOKUP(Table1[[#This Row],[Party Name]],
[1]Billing!$Q$5:$Q$40,
[1]Billing!$W$5:$W$40)</f>
        <v>0</v>
      </c>
      <c r="K51" s="107"/>
      <c r="P51"/>
      <c r="Q51"/>
      <c r="R51"/>
      <c r="S51"/>
      <c r="T51"/>
      <c r="U51"/>
      <c r="V51"/>
      <c r="W51"/>
      <c r="X51"/>
      <c r="Y51"/>
    </row>
    <row r="52" spans="1:25" x14ac:dyDescent="0.3">
      <c r="A52" s="106">
        <v>46042</v>
      </c>
      <c r="B52" s="80" t="s">
        <v>200</v>
      </c>
      <c r="C52" s="107" t="s">
        <v>219</v>
      </c>
      <c r="D52" s="111" t="s">
        <v>86</v>
      </c>
      <c r="E52" s="37"/>
      <c r="F52" s="37"/>
      <c r="G52" s="37"/>
      <c r="H52" s="109" t="e">
        <f>_xlfn.XLOOKUP(Table1[[#This Row],[Shipment Number]], 'pivot '!A:A,'pivot '!G:G, "NF")</f>
        <v>#DIV/0!</v>
      </c>
      <c r="I52" s="112">
        <f>_xlfn.XLOOKUP(Table1[[#This Row],[Party Name]],
[1]Billing!$Q$5:$Q$40,
[1]Billing!$U$5:$U$40)</f>
        <v>29626.005852231167</v>
      </c>
      <c r="J52" s="112">
        <f>_xlfn.XLOOKUP(Table1[[#This Row],[Party Name]],
[1]Billing!$Q$5:$Q$40,
[1]Billing!$W$5:$W$40)</f>
        <v>385138.07607900514</v>
      </c>
      <c r="K52" s="107"/>
      <c r="P52"/>
      <c r="Q52"/>
      <c r="R52"/>
      <c r="S52"/>
      <c r="T52"/>
      <c r="U52"/>
      <c r="V52"/>
      <c r="W52"/>
      <c r="X52"/>
      <c r="Y52"/>
    </row>
    <row r="53" spans="1:25" x14ac:dyDescent="0.3">
      <c r="A53" s="106">
        <v>46042</v>
      </c>
      <c r="B53" s="80" t="s">
        <v>202</v>
      </c>
      <c r="C53" s="107" t="s">
        <v>219</v>
      </c>
      <c r="D53" s="107" t="s">
        <v>86</v>
      </c>
      <c r="E53" s="37"/>
      <c r="F53" s="37"/>
      <c r="G53" s="37"/>
      <c r="H53" s="109" t="e">
        <f>_xlfn.XLOOKUP(Table1[[#This Row],[Shipment Number]], 'pivot '!A:A,'pivot '!G:G, "NF")</f>
        <v>#DIV/0!</v>
      </c>
      <c r="I53" s="112">
        <f>_xlfn.XLOOKUP(Table1[[#This Row],[Party Name]],
[1]Billing!$Q$5:$Q$40,
[1]Billing!$U$5:$U$40)</f>
        <v>0</v>
      </c>
      <c r="J53" s="112">
        <f>_xlfn.XLOOKUP(Table1[[#This Row],[Party Name]],
[1]Billing!$Q$5:$Q$40,
[1]Billing!$W$5:$W$40)</f>
        <v>0</v>
      </c>
      <c r="K53" s="107"/>
      <c r="P53"/>
      <c r="Q53"/>
      <c r="R53"/>
      <c r="S53"/>
      <c r="T53"/>
      <c r="U53"/>
      <c r="V53"/>
      <c r="W53"/>
      <c r="X53"/>
      <c r="Y53"/>
    </row>
    <row r="54" spans="1:25" x14ac:dyDescent="0.3">
      <c r="A54" s="106">
        <v>46042</v>
      </c>
      <c r="B54" s="24" t="s">
        <v>25</v>
      </c>
      <c r="C54" s="107" t="s">
        <v>219</v>
      </c>
      <c r="D54" s="107" t="s">
        <v>184</v>
      </c>
      <c r="E54" s="37"/>
      <c r="F54" s="37"/>
      <c r="G54" s="37"/>
      <c r="H54" s="109" t="e">
        <f>_xlfn.XLOOKUP(Table1[[#This Row],[Shipment Number]], 'pivot '!A:A,'pivot '!G:G, "NF")</f>
        <v>#DIV/0!</v>
      </c>
      <c r="I54" s="109"/>
      <c r="J54" s="109">
        <f>_xlfn.XLOOKUP(Table1[[#This Row],[Party Name]],
[1]Billing!$Q$5:$Q$40,
[1]Billing!$X$5:$X$40)</f>
        <v>71359.729334308722</v>
      </c>
      <c r="K54" s="107"/>
      <c r="P54"/>
      <c r="Q54"/>
      <c r="R54"/>
      <c r="S54"/>
      <c r="T54"/>
      <c r="U54"/>
      <c r="V54"/>
      <c r="W54"/>
      <c r="X54"/>
      <c r="Y54"/>
    </row>
    <row r="55" spans="1:25" x14ac:dyDescent="0.3">
      <c r="A55" s="106">
        <v>46042</v>
      </c>
      <c r="B55" s="24" t="s">
        <v>175</v>
      </c>
      <c r="C55" s="107" t="s">
        <v>219</v>
      </c>
      <c r="D55" s="107" t="s">
        <v>184</v>
      </c>
      <c r="E55" s="37"/>
      <c r="F55" s="37"/>
      <c r="G55" s="37"/>
      <c r="H55" s="109" t="e">
        <f>_xlfn.XLOOKUP(Table1[[#This Row],[Shipment Number]], 'pivot '!A:A,'pivot '!G:G, "NF")</f>
        <v>#DIV/0!</v>
      </c>
      <c r="I55" s="109"/>
      <c r="J55" s="109">
        <f>_xlfn.XLOOKUP(Table1[[#This Row],[Party Name]],
[1]Billing!$Q$5:$Q$40,
[1]Billing!$X$5:$X$40)</f>
        <v>44550.109729334312</v>
      </c>
      <c r="K55" s="107"/>
      <c r="P55"/>
      <c r="Q55"/>
      <c r="R55"/>
      <c r="S55"/>
      <c r="T55"/>
      <c r="U55"/>
      <c r="V55"/>
      <c r="W55"/>
      <c r="X55"/>
      <c r="Y55"/>
    </row>
    <row r="56" spans="1:25" x14ac:dyDescent="0.3">
      <c r="A56" s="106">
        <v>46042</v>
      </c>
      <c r="B56" s="24" t="s">
        <v>177</v>
      </c>
      <c r="C56" s="107" t="s">
        <v>219</v>
      </c>
      <c r="D56" s="107" t="s">
        <v>185</v>
      </c>
      <c r="E56" s="37"/>
      <c r="F56" s="37"/>
      <c r="G56" s="37"/>
      <c r="H56" s="109" t="e">
        <f>_xlfn.XLOOKUP(Table1[[#This Row],[Shipment Number]], 'pivot '!A:A,'pivot '!G:G, "NF")</f>
        <v>#DIV/0!</v>
      </c>
      <c r="I56" s="109"/>
      <c r="J56" s="109">
        <f>_xlfn.XLOOKUP(Table1[[#This Row],[Party Name]],
[1]Billing!$Q$5:$Q$40,
[1]Billing!$Y$5:$Y$40)</f>
        <v>94656.181419166067</v>
      </c>
      <c r="K56" s="107"/>
      <c r="P56"/>
      <c r="Q56"/>
      <c r="R56"/>
      <c r="S56"/>
      <c r="T56"/>
      <c r="U56"/>
      <c r="V56"/>
      <c r="W56"/>
      <c r="X56"/>
      <c r="Y56"/>
    </row>
    <row r="57" spans="1:25" x14ac:dyDescent="0.3">
      <c r="A57" s="106">
        <v>46042</v>
      </c>
      <c r="B57" s="107" t="s">
        <v>24</v>
      </c>
      <c r="C57" s="107" t="s">
        <v>219</v>
      </c>
      <c r="D57" s="107" t="s">
        <v>185</v>
      </c>
      <c r="E57" s="37"/>
      <c r="F57" s="37"/>
      <c r="G57" s="37"/>
      <c r="H57" s="109" t="e">
        <f>_xlfn.XLOOKUP(Table1[[#This Row],[Shipment Number]], 'pivot '!A:A,'pivot '!G:G, "NF")</f>
        <v>#DIV/0!</v>
      </c>
      <c r="I57" s="109"/>
      <c r="J57" s="109">
        <f>_xlfn.XLOOKUP(Table1[[#This Row],[Party Name]],
[1]Billing!$Q$5:$Q$40,
[1]Billing!$Y$5:$Y$40)</f>
        <v>239959.76591075349</v>
      </c>
      <c r="K57" s="107"/>
      <c r="P57"/>
      <c r="Q57"/>
      <c r="R57"/>
      <c r="S57"/>
      <c r="T57"/>
      <c r="U57"/>
      <c r="V57"/>
      <c r="W57"/>
      <c r="X57"/>
      <c r="Y57"/>
    </row>
    <row r="58" spans="1:25" x14ac:dyDescent="0.3">
      <c r="A58" s="106">
        <v>46042</v>
      </c>
      <c r="B58" s="24" t="s">
        <v>183</v>
      </c>
      <c r="C58" s="107" t="s">
        <v>219</v>
      </c>
      <c r="D58" s="107" t="s">
        <v>197</v>
      </c>
      <c r="E58" s="37"/>
      <c r="F58" s="37"/>
      <c r="G58" s="37"/>
      <c r="H58" s="109" t="e">
        <f>_xlfn.XLOOKUP(Table1[[#This Row],[Shipment Number]], 'pivot '!A:A,'pivot '!G:G, "NF")</f>
        <v>#DIV/0!</v>
      </c>
      <c r="I58" s="109"/>
      <c r="J58" s="109">
        <f>_xlfn.XLOOKUP(Table1[[#This Row],[Party Name]],
[1]Billing!$Q$5:$Q$40,
[1]Billing!$Z$5:$Z$40)</f>
        <v>161653.2553035845</v>
      </c>
      <c r="K58" s="107"/>
      <c r="P58"/>
      <c r="Q58"/>
      <c r="R58"/>
      <c r="S58"/>
      <c r="T58"/>
      <c r="U58"/>
      <c r="V58"/>
      <c r="W58"/>
    </row>
    <row r="59" spans="1:25" x14ac:dyDescent="0.3">
      <c r="A59" s="106">
        <v>46042</v>
      </c>
      <c r="B59" s="107" t="s">
        <v>183</v>
      </c>
      <c r="C59" s="107" t="s">
        <v>219</v>
      </c>
      <c r="D59" s="107" t="s">
        <v>205</v>
      </c>
      <c r="E59" s="37"/>
      <c r="F59" s="37"/>
      <c r="G59" s="37"/>
      <c r="H59" s="109" t="e">
        <f>_xlfn.XLOOKUP(Table1[[#This Row],[Shipment Number]], 'pivot '!A:A,'pivot '!G:G, "NF")</f>
        <v>#DIV/0!</v>
      </c>
      <c r="I59" s="109"/>
      <c r="J59" s="109">
        <f>_xlfn.XLOOKUP(Table1[[#This Row],[Party Name]],
[1]Billing!$Q$5:$Q$40,
[1]Billing!$AA$5:$AA$40)</f>
        <v>1545665.6912948061</v>
      </c>
      <c r="K59" s="107"/>
      <c r="P59"/>
      <c r="Q59"/>
      <c r="R59"/>
      <c r="S59"/>
      <c r="T59"/>
      <c r="U59"/>
    </row>
    <row r="60" spans="1:25" x14ac:dyDescent="0.3">
      <c r="A60" s="106">
        <v>46042</v>
      </c>
      <c r="B60" s="24" t="s">
        <v>188</v>
      </c>
      <c r="C60" s="107" t="s">
        <v>219</v>
      </c>
      <c r="D60" s="107" t="s">
        <v>205</v>
      </c>
      <c r="E60" s="37"/>
      <c r="F60" s="37"/>
      <c r="G60" s="37"/>
      <c r="H60" s="109" t="e">
        <f>_xlfn.XLOOKUP(Table1[[#This Row],[Shipment Number]], 'pivot '!A:A,'pivot '!G:G, "NF")</f>
        <v>#DIV/0!</v>
      </c>
      <c r="I60" s="109"/>
      <c r="J60" s="109">
        <f>_xlfn.XLOOKUP(Table1[[#This Row],[Party Name]],
[1]Billing!$Q$5:$Q$40,
[1]Billing!$AA$5:$AA$40)</f>
        <v>523143.74542794435</v>
      </c>
      <c r="K60" s="107"/>
      <c r="M60"/>
      <c r="P60"/>
      <c r="Q60"/>
      <c r="R60"/>
      <c r="S60"/>
      <c r="T60"/>
      <c r="U60"/>
    </row>
    <row r="61" spans="1:25" x14ac:dyDescent="0.3">
      <c r="A61" s="106">
        <v>46042</v>
      </c>
      <c r="B61" s="107" t="s">
        <v>188</v>
      </c>
      <c r="C61" s="107" t="s">
        <v>219</v>
      </c>
      <c r="D61" s="107" t="s">
        <v>197</v>
      </c>
      <c r="E61" s="37"/>
      <c r="F61" s="37"/>
      <c r="G61" s="37"/>
      <c r="H61" s="109" t="e">
        <f>_xlfn.XLOOKUP(Table1[[#This Row],[Shipment Number]], 'pivot '!A:A,'pivot '!G:G, "NF")</f>
        <v>#DIV/0!</v>
      </c>
      <c r="I61" s="109"/>
      <c r="J61" s="109">
        <f>_xlfn.XLOOKUP(Table1[[#This Row],[Party Name]],
[1]Billing!$Q$5:$Q$40,
[1]Billing!$Z$5:$Z$40)</f>
        <v>23767.373811265548</v>
      </c>
      <c r="K61" s="107"/>
      <c r="M61"/>
      <c r="P61"/>
      <c r="Q61"/>
      <c r="R61"/>
      <c r="S61"/>
    </row>
    <row r="62" spans="1:25" x14ac:dyDescent="0.3">
      <c r="A62" s="106">
        <v>46042</v>
      </c>
      <c r="B62" s="24" t="s">
        <v>202</v>
      </c>
      <c r="C62" s="107" t="s">
        <v>219</v>
      </c>
      <c r="D62" s="107" t="s">
        <v>203</v>
      </c>
      <c r="E62" s="37"/>
      <c r="F62" s="37"/>
      <c r="G62" s="37"/>
      <c r="H62" s="109" t="e">
        <f>_xlfn.XLOOKUP(Table1[[#This Row],[Shipment Number]], 'pivot '!A:A,'pivot '!G:G, "NF")</f>
        <v>#DIV/0!</v>
      </c>
      <c r="I62" s="109"/>
      <c r="J62" s="109">
        <f>_xlfn.XLOOKUP(Table1[[#This Row],[Party Name]],
[1]Billing!$Q$5:$Q$40,
[1]Billing!$AB$5:$AB$40)</f>
        <v>151504.2062911485</v>
      </c>
      <c r="K62" s="107"/>
      <c r="M62"/>
      <c r="P62"/>
      <c r="Q62"/>
      <c r="R62"/>
      <c r="S62"/>
    </row>
    <row r="63" spans="1:25" x14ac:dyDescent="0.3">
      <c r="A63" s="123">
        <v>46043</v>
      </c>
      <c r="B63" s="124" t="s">
        <v>152</v>
      </c>
      <c r="C63" s="125">
        <v>1375</v>
      </c>
      <c r="D63" s="125" t="s">
        <v>86</v>
      </c>
      <c r="E63" s="126">
        <v>2024</v>
      </c>
      <c r="F63" s="126">
        <v>16895</v>
      </c>
      <c r="G63" s="126">
        <v>18197</v>
      </c>
      <c r="H63" s="127">
        <f>_xlfn.XLOOKUP(Table1[[#This Row],[Shipment Number]], 'pivot '!A:A,'pivot '!G:G, "NF")</f>
        <v>1.5120500929511422</v>
      </c>
      <c r="I63" s="128">
        <f>Table1[[#This Row],[Tiyaar/gaz]]/1.0936</f>
        <v>16639.539136795906</v>
      </c>
      <c r="J63" s="128" cm="1">
        <f t="array" ref="J6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216314.00877834676</v>
      </c>
      <c r="K63" s="125"/>
      <c r="S63"/>
    </row>
    <row r="64" spans="1:25" x14ac:dyDescent="0.3">
      <c r="A64" s="120">
        <v>46043</v>
      </c>
      <c r="B64" s="121" t="s">
        <v>152</v>
      </c>
      <c r="C64" s="117">
        <v>1376</v>
      </c>
      <c r="D64" s="117" t="s">
        <v>86</v>
      </c>
      <c r="E64" s="11">
        <v>2023</v>
      </c>
      <c r="F64" s="11">
        <v>20503</v>
      </c>
      <c r="G64" s="11">
        <v>10968</v>
      </c>
      <c r="H64" s="118">
        <f>_xlfn.XLOOKUP(Table1[[#This Row],[Shipment Number]], 'pivot '!A:A,'pivot '!G:G, "NF")</f>
        <v>51.083933298465325</v>
      </c>
      <c r="I64" s="119">
        <f>Table1[[#This Row],[Tiyaar/gaz]]/1.0936</f>
        <v>10029.261155815655</v>
      </c>
      <c r="J64" s="119" cm="1">
        <f t="array" ref="J6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130380.39502560352</v>
      </c>
      <c r="K64" s="117"/>
      <c r="S64"/>
    </row>
    <row r="65" spans="1:19" x14ac:dyDescent="0.3">
      <c r="A65" s="120">
        <v>46043</v>
      </c>
      <c r="B65" s="121" t="s">
        <v>152</v>
      </c>
      <c r="C65" s="117">
        <v>1377</v>
      </c>
      <c r="D65" s="117" t="s">
        <v>86</v>
      </c>
      <c r="E65" s="11">
        <v>2025</v>
      </c>
      <c r="F65" s="11">
        <v>6991</v>
      </c>
      <c r="G65" s="11">
        <v>7531</v>
      </c>
      <c r="H65" s="118">
        <f>_xlfn.XLOOKUP(Table1[[#This Row],[Shipment Number]], 'pivot '!A:A,'pivot '!G:G, "NF")</f>
        <v>1.4957783008083112</v>
      </c>
      <c r="I65" s="119">
        <f>Table1[[#This Row],[Tiyaar/gaz]]/1.0936</f>
        <v>6886.4301389904904</v>
      </c>
      <c r="J65" s="119" cm="1">
        <f t="array" ref="J6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89523.591806876371</v>
      </c>
      <c r="K65" s="117"/>
      <c r="S65"/>
    </row>
    <row r="66" spans="1:19" x14ac:dyDescent="0.3">
      <c r="A66" s="120">
        <v>46043</v>
      </c>
      <c r="B66" s="121" t="s">
        <v>35</v>
      </c>
      <c r="C66" s="117">
        <v>1378</v>
      </c>
      <c r="D66" s="117" t="s">
        <v>86</v>
      </c>
      <c r="E66" s="11">
        <v>2039</v>
      </c>
      <c r="F66" s="11">
        <v>31746</v>
      </c>
      <c r="G66" s="11">
        <v>15139</v>
      </c>
      <c r="H66" s="118">
        <f>_xlfn.XLOOKUP(Table1[[#This Row],[Shipment Number]], 'pivot '!A:A,'pivot '!G:G, "NF")</f>
        <v>56.393656101044535</v>
      </c>
      <c r="I66" s="119">
        <f>Table1[[#This Row],[Tiyaar/gaz]]/1.0936</f>
        <v>13843.269934162401</v>
      </c>
      <c r="J66" s="119" cm="1">
        <f t="array" ref="J6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179962.50914411122</v>
      </c>
      <c r="K66" s="117"/>
      <c r="S66"/>
    </row>
    <row r="67" spans="1:19" x14ac:dyDescent="0.3">
      <c r="A67" s="120">
        <v>46043</v>
      </c>
      <c r="B67" s="121" t="s">
        <v>35</v>
      </c>
      <c r="C67" s="117">
        <v>1379</v>
      </c>
      <c r="D67" s="117" t="s">
        <v>86</v>
      </c>
      <c r="E67" s="11">
        <v>2037</v>
      </c>
      <c r="F67" s="11">
        <v>14961</v>
      </c>
      <c r="G67" s="11">
        <v>1686</v>
      </c>
      <c r="H67" s="118">
        <f>_xlfn.XLOOKUP(Table1[[#This Row],[Shipment Number]], 'pivot '!A:A,'pivot '!G:G, "NF")</f>
        <v>89.695226608934504</v>
      </c>
      <c r="I67" s="119">
        <f>Table1[[#This Row],[Tiyaar/gaz]]/1.0936</f>
        <v>1541.697147037308</v>
      </c>
      <c r="J67" s="119" cm="1">
        <f t="array" ref="J6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20042.062911485005</v>
      </c>
      <c r="K67" s="117"/>
      <c r="S67"/>
    </row>
    <row r="68" spans="1:19" x14ac:dyDescent="0.3">
      <c r="A68" s="120">
        <v>46044</v>
      </c>
      <c r="B68" s="121" t="s">
        <v>152</v>
      </c>
      <c r="C68" s="117">
        <v>1380</v>
      </c>
      <c r="D68" s="117" t="s">
        <v>86</v>
      </c>
      <c r="E68" s="11">
        <v>2026</v>
      </c>
      <c r="F68" s="11">
        <v>70035</v>
      </c>
      <c r="G68" s="11">
        <v>8408</v>
      </c>
      <c r="H68" s="118">
        <f>_xlfn.XLOOKUP(Table1[[#This Row],[Shipment Number]], 'pivot '!A:A,'pivot '!G:G, "NF")</f>
        <v>89.022105103786288</v>
      </c>
      <c r="I68" s="119">
        <f>Table1[[#This Row],[Tiyaar/gaz]]/1.0936</f>
        <v>7688.3686905632776</v>
      </c>
      <c r="J68" s="119" cm="1">
        <f t="array" ref="J6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99948.792977322606</v>
      </c>
      <c r="K68" s="117"/>
      <c r="S68"/>
    </row>
    <row r="69" spans="1:19" x14ac:dyDescent="0.3">
      <c r="A69" s="120">
        <v>46044</v>
      </c>
      <c r="B69" s="121" t="s">
        <v>21</v>
      </c>
      <c r="C69" s="117">
        <v>1381</v>
      </c>
      <c r="D69" s="117" t="s">
        <v>86</v>
      </c>
      <c r="E69" s="11">
        <v>2041</v>
      </c>
      <c r="F69" s="11">
        <v>50350</v>
      </c>
      <c r="G69" s="11">
        <v>38195</v>
      </c>
      <c r="H69" s="118">
        <f>_xlfn.XLOOKUP(Table1[[#This Row],[Shipment Number]], 'pivot '!A:A,'pivot '!G:G, "NF")</f>
        <v>1.5414410756017247</v>
      </c>
      <c r="I69" s="119">
        <f>Table1[[#This Row],[Tiyaar/gaz]]/1.0936</f>
        <v>34925.932699341625</v>
      </c>
      <c r="J69" s="119" cm="1">
        <f t="array" ref="J6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454037.12509144115</v>
      </c>
      <c r="K69" s="117"/>
      <c r="S69"/>
    </row>
    <row r="70" spans="1:19" x14ac:dyDescent="0.3">
      <c r="A70" s="120">
        <v>46044</v>
      </c>
      <c r="B70" s="121" t="s">
        <v>21</v>
      </c>
      <c r="C70" s="117">
        <v>1382</v>
      </c>
      <c r="D70" s="117" t="s">
        <v>86</v>
      </c>
      <c r="E70" s="11">
        <v>2041</v>
      </c>
      <c r="F70" s="11">
        <v>50350</v>
      </c>
      <c r="G70" s="11">
        <v>16019</v>
      </c>
      <c r="H70" s="118">
        <f>_xlfn.XLOOKUP(Table1[[#This Row],[Shipment Number]], 'pivot '!A:A,'pivot '!G:G, "NF")</f>
        <v>1.5414410756017247</v>
      </c>
      <c r="I70" s="119">
        <f>Table1[[#This Row],[Tiyaar/gaz]]/1.0936</f>
        <v>14647.951719092905</v>
      </c>
      <c r="J70" s="119" cm="1">
        <f t="array" ref="J7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190423.37234820778</v>
      </c>
      <c r="K70" s="117"/>
      <c r="S70"/>
    </row>
    <row r="71" spans="1:19" x14ac:dyDescent="0.3">
      <c r="A71" s="120">
        <v>46044</v>
      </c>
      <c r="B71" s="121" t="s">
        <v>21</v>
      </c>
      <c r="C71" s="117">
        <v>1383</v>
      </c>
      <c r="D71" s="117" t="s">
        <v>86</v>
      </c>
      <c r="E71" s="11">
        <v>2006</v>
      </c>
      <c r="F71" s="11">
        <v>24208</v>
      </c>
      <c r="G71" s="11">
        <v>980</v>
      </c>
      <c r="H71" s="118">
        <f>_xlfn.XLOOKUP(Table1[[#This Row],[Shipment Number]], 'pivot '!A:A,'pivot '!G:G, "NF")</f>
        <v>63.488524956352428</v>
      </c>
      <c r="I71" s="119">
        <f>Table1[[#This Row],[Tiyaar/gaz]]/1.0936</f>
        <v>896.12289685442579</v>
      </c>
      <c r="J71" s="119" cm="1">
        <f t="array" ref="J7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11649.597659107536</v>
      </c>
      <c r="K71" s="117"/>
      <c r="S71"/>
    </row>
    <row r="72" spans="1:19" x14ac:dyDescent="0.3">
      <c r="A72" s="120">
        <v>46044</v>
      </c>
      <c r="B72" s="121" t="s">
        <v>21</v>
      </c>
      <c r="C72" s="117">
        <v>1384</v>
      </c>
      <c r="D72" s="117" t="s">
        <v>85</v>
      </c>
      <c r="E72" s="11" t="s">
        <v>218</v>
      </c>
      <c r="F72" s="11">
        <v>57352</v>
      </c>
      <c r="G72" s="11">
        <v>34000</v>
      </c>
      <c r="H72" s="118">
        <f>_xlfn.XLOOKUP(Table1[[#This Row],[Shipment Number]], 'pivot '!A:A,'pivot '!G:G, "NF")</f>
        <v>25.245711158024818</v>
      </c>
      <c r="I72" s="119">
        <f>Table1[[#This Row],[Tiyaar/gaz]]/1.0936</f>
        <v>31089.978054133142</v>
      </c>
      <c r="J72" s="119" cm="1">
        <f t="array" ref="J7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310899.78054133139</v>
      </c>
      <c r="K72" s="117"/>
      <c r="S72"/>
    </row>
    <row r="73" spans="1:19" x14ac:dyDescent="0.3">
      <c r="A73" s="120">
        <v>46045</v>
      </c>
      <c r="B73" s="121" t="s">
        <v>21</v>
      </c>
      <c r="C73" s="117">
        <v>1385</v>
      </c>
      <c r="D73" s="117" t="s">
        <v>85</v>
      </c>
      <c r="E73" s="11" t="s">
        <v>218</v>
      </c>
      <c r="F73" s="11">
        <v>57352</v>
      </c>
      <c r="G73" s="11">
        <v>12886</v>
      </c>
      <c r="H73" s="118">
        <f>_xlfn.XLOOKUP(Table1[[#This Row],[Shipment Number]], 'pivot '!A:A,'pivot '!G:G, "NF")</f>
        <v>25.245711158024818</v>
      </c>
      <c r="I73" s="119">
        <f>Table1[[#This Row],[Tiyaar/gaz]]/1.0936</f>
        <v>11783.101682516461</v>
      </c>
      <c r="J73" s="119" cm="1">
        <f t="array" ref="J7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117831.01682516461</v>
      </c>
      <c r="K73" s="117"/>
    </row>
    <row r="74" spans="1:19" x14ac:dyDescent="0.3">
      <c r="A74" s="120">
        <v>46045</v>
      </c>
      <c r="B74" s="121" t="s">
        <v>21</v>
      </c>
      <c r="C74" s="117">
        <v>1386</v>
      </c>
      <c r="D74" s="117" t="s">
        <v>85</v>
      </c>
      <c r="E74" s="11" t="s">
        <v>498</v>
      </c>
      <c r="F74" s="11">
        <v>38006</v>
      </c>
      <c r="G74" s="11">
        <v>28436</v>
      </c>
      <c r="H74" s="118">
        <f>_xlfn.XLOOKUP(Table1[[#This Row],[Shipment Number]], 'pivot '!A:A,'pivot '!G:G, "NF")</f>
        <v>9.7108603458096354E-2</v>
      </c>
      <c r="I74" s="119">
        <f>Table1[[#This Row],[Tiyaar/gaz]]/1.0936</f>
        <v>26002.194586686175</v>
      </c>
      <c r="J74" s="119" cm="1">
        <f t="array" ref="J7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260021.94586686176</v>
      </c>
      <c r="K74" s="117"/>
    </row>
    <row r="75" spans="1:19" x14ac:dyDescent="0.3">
      <c r="A75" s="120">
        <v>46045</v>
      </c>
      <c r="B75" s="121" t="s">
        <v>21</v>
      </c>
      <c r="C75" s="117">
        <v>1387</v>
      </c>
      <c r="D75" s="117" t="s">
        <v>85</v>
      </c>
      <c r="E75" s="11">
        <v>2040</v>
      </c>
      <c r="F75" s="11">
        <v>13976</v>
      </c>
      <c r="G75" s="11">
        <v>4368</v>
      </c>
      <c r="H75" s="118">
        <f>_xlfn.XLOOKUP(Table1[[#This Row],[Shipment Number]], 'pivot '!A:A,'pivot '!G:G, "NF")</f>
        <v>2.3629283599976247</v>
      </c>
      <c r="I75" s="119">
        <f>Table1[[#This Row],[Tiyaar/gaz]]/1.0936</f>
        <v>3994.1477688368695</v>
      </c>
      <c r="J75" s="119" cm="1">
        <f t="array" ref="J7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39941.477688368694</v>
      </c>
      <c r="K75" s="117"/>
    </row>
    <row r="76" spans="1:19" x14ac:dyDescent="0.3">
      <c r="A76" s="120">
        <v>46045</v>
      </c>
      <c r="B76" s="121" t="s">
        <v>25</v>
      </c>
      <c r="C76" s="117">
        <v>1388</v>
      </c>
      <c r="D76" s="117" t="s">
        <v>85</v>
      </c>
      <c r="E76" s="11">
        <v>2020</v>
      </c>
      <c r="F76" s="11">
        <v>22557</v>
      </c>
      <c r="G76" s="11">
        <v>1891</v>
      </c>
      <c r="H76" s="118">
        <f>_xlfn.XLOOKUP(Table1[[#This Row],[Shipment Number]], 'pivot '!A:A,'pivot '!G:G, "NF")</f>
        <v>7.8380644024960588E-2</v>
      </c>
      <c r="I76" s="119">
        <f>Table1[[#This Row],[Tiyaar/gaz]]/1.0936</f>
        <v>1729.1514264813461</v>
      </c>
      <c r="J76" s="119" cm="1">
        <f t="array" ref="J7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17291.514264813461</v>
      </c>
      <c r="K76" s="117"/>
    </row>
    <row r="77" spans="1:19" x14ac:dyDescent="0.3">
      <c r="A77" s="120">
        <v>46046</v>
      </c>
      <c r="B77" s="121" t="s">
        <v>152</v>
      </c>
      <c r="C77" s="117">
        <v>1389</v>
      </c>
      <c r="D77" s="117" t="s">
        <v>85</v>
      </c>
      <c r="E77" s="11">
        <v>2034</v>
      </c>
      <c r="F77" s="11">
        <v>50630</v>
      </c>
      <c r="G77" s="11">
        <v>49876</v>
      </c>
      <c r="H77" s="118">
        <f>_xlfn.XLOOKUP(Table1[[#This Row],[Shipment Number]], 'pivot '!A:A,'pivot '!G:G, "NF")</f>
        <v>2.1581908479854519</v>
      </c>
      <c r="I77" s="119">
        <f>Table1[[#This Row],[Tiyaar/gaz]]/1.0936</f>
        <v>45607.168983174837</v>
      </c>
      <c r="J77" s="119" cm="1">
        <f t="array" ref="J7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456071.68983174837</v>
      </c>
      <c r="K77" s="117"/>
    </row>
    <row r="78" spans="1:19" x14ac:dyDescent="0.3">
      <c r="A78" s="120">
        <v>46046</v>
      </c>
      <c r="B78" s="121" t="s">
        <v>21</v>
      </c>
      <c r="C78" s="117">
        <v>1390</v>
      </c>
      <c r="D78" s="117" t="s">
        <v>85</v>
      </c>
      <c r="E78" s="11" t="s">
        <v>498</v>
      </c>
      <c r="F78" s="11">
        <v>38006</v>
      </c>
      <c r="G78" s="11">
        <v>13087</v>
      </c>
      <c r="H78" s="118">
        <f>_xlfn.XLOOKUP(Table1[[#This Row],[Shipment Number]], 'pivot '!A:A,'pivot '!G:G, "NF")</f>
        <v>9.7108603458096354E-2</v>
      </c>
      <c r="I78" s="119">
        <f>Table1[[#This Row],[Tiyaar/gaz]]/1.0936</f>
        <v>11966.898317483541</v>
      </c>
      <c r="J78" s="119" cm="1">
        <f t="array" ref="J7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119668.98317483542</v>
      </c>
      <c r="K78" s="117"/>
    </row>
    <row r="79" spans="1:19" x14ac:dyDescent="0.3">
      <c r="A79" s="120">
        <v>46046</v>
      </c>
      <c r="B79" s="121" t="s">
        <v>21</v>
      </c>
      <c r="C79" s="117">
        <v>1391</v>
      </c>
      <c r="D79" s="117" t="s">
        <v>85</v>
      </c>
      <c r="E79" s="11">
        <v>2046</v>
      </c>
      <c r="F79" s="11">
        <v>100417</v>
      </c>
      <c r="G79" s="11">
        <v>4343</v>
      </c>
      <c r="H79" s="118">
        <f>_xlfn.XLOOKUP(Table1[[#This Row],[Shipment Number]], 'pivot '!A:A,'pivot '!G:G, "NF")</f>
        <v>93.895244686278559</v>
      </c>
      <c r="I79" s="119">
        <f>Table1[[#This Row],[Tiyaar/gaz]]/1.0936</f>
        <v>3971.2874908558892</v>
      </c>
      <c r="J79" s="119" cm="1">
        <f t="array" ref="J7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39712.874908558893</v>
      </c>
      <c r="K79" s="117"/>
    </row>
    <row r="80" spans="1:19" x14ac:dyDescent="0.3">
      <c r="A80" s="120">
        <v>46046</v>
      </c>
      <c r="B80" s="121" t="s">
        <v>152</v>
      </c>
      <c r="C80" s="117">
        <v>1392</v>
      </c>
      <c r="D80" s="117" t="s">
        <v>85</v>
      </c>
      <c r="E80" s="11">
        <v>2034</v>
      </c>
      <c r="F80" s="11">
        <v>50630</v>
      </c>
      <c r="G80" s="11">
        <v>4298</v>
      </c>
      <c r="H80" s="118">
        <f>_xlfn.XLOOKUP(Table1[[#This Row],[Shipment Number]], 'pivot '!A:A,'pivot '!G:G, "NF")</f>
        <v>2.1581908479854519</v>
      </c>
      <c r="I80" s="119">
        <f>Table1[[#This Row],[Tiyaar/gaz]]/1.0936</f>
        <v>3930.1389904901248</v>
      </c>
      <c r="J80" s="119" cm="1">
        <f t="array" ref="J8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39301.389904901247</v>
      </c>
      <c r="K80" s="117"/>
    </row>
    <row r="81" spans="1:17" x14ac:dyDescent="0.3">
      <c r="A81" s="120">
        <v>46048</v>
      </c>
      <c r="B81" s="121" t="s">
        <v>152</v>
      </c>
      <c r="C81" s="117">
        <v>1393</v>
      </c>
      <c r="D81" s="117" t="s">
        <v>85</v>
      </c>
      <c r="E81" s="11">
        <v>2033</v>
      </c>
      <c r="F81" s="11">
        <v>26970</v>
      </c>
      <c r="G81" s="11">
        <v>18078</v>
      </c>
      <c r="H81" s="118">
        <f>_xlfn.XLOOKUP(Table1[[#This Row],[Shipment Number]], 'pivot '!A:A,'pivot '!G:G, "NF")</f>
        <v>1.4490619098030351</v>
      </c>
      <c r="I81" s="119">
        <f>Table1[[#This Row],[Tiyaar/gaz]]/1.0936</f>
        <v>16530.724213606438</v>
      </c>
      <c r="J81" s="119" cm="1">
        <f t="array" ref="J8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165307.24213606439</v>
      </c>
      <c r="K81" s="117"/>
    </row>
    <row r="82" spans="1:17" x14ac:dyDescent="0.3">
      <c r="A82" s="120">
        <v>46048</v>
      </c>
      <c r="B82" s="121" t="s">
        <v>152</v>
      </c>
      <c r="C82" s="117">
        <v>1394</v>
      </c>
      <c r="D82" s="117" t="s">
        <v>85</v>
      </c>
      <c r="E82" s="11">
        <v>2032</v>
      </c>
      <c r="F82" s="11">
        <v>25205</v>
      </c>
      <c r="G82" s="11">
        <v>27004</v>
      </c>
      <c r="H82" s="118">
        <f>_xlfn.XLOOKUP(Table1[[#This Row],[Shipment Number]], 'pivot '!A:A,'pivot '!G:G, "NF")</f>
        <v>2.0323036542923063</v>
      </c>
      <c r="I82" s="119">
        <f>Table1[[#This Row],[Tiyaar/gaz]]/1.0936</f>
        <v>24692.757863935629</v>
      </c>
      <c r="J82" s="119" cm="1">
        <f t="array" ref="J8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246927.5786393563</v>
      </c>
      <c r="K82" s="117"/>
    </row>
    <row r="83" spans="1:17" x14ac:dyDescent="0.3">
      <c r="A83" s="120">
        <v>46048</v>
      </c>
      <c r="B83" s="121" t="s">
        <v>152</v>
      </c>
      <c r="C83" s="117">
        <v>1395</v>
      </c>
      <c r="D83" s="117" t="s">
        <v>85</v>
      </c>
      <c r="E83" s="11">
        <v>2033</v>
      </c>
      <c r="F83" s="11">
        <v>26970</v>
      </c>
      <c r="G83" s="11">
        <v>10989</v>
      </c>
      <c r="H83" s="118">
        <f>_xlfn.XLOOKUP(Table1[[#This Row],[Shipment Number]], 'pivot '!A:A,'pivot '!G:G, "NF")</f>
        <v>1.4490619098030351</v>
      </c>
      <c r="I83" s="119">
        <f>Table1[[#This Row],[Tiyaar/gaz]]/1.0936</f>
        <v>10048.46378931968</v>
      </c>
      <c r="J83" s="119" cm="1">
        <f t="array" ref="J8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100484.63789319679</v>
      </c>
      <c r="K83" s="117"/>
    </row>
    <row r="84" spans="1:17" x14ac:dyDescent="0.3">
      <c r="A84" s="120">
        <v>46048</v>
      </c>
      <c r="B84" s="121" t="s">
        <v>25</v>
      </c>
      <c r="C84" s="117">
        <v>1396</v>
      </c>
      <c r="D84" s="117" t="s">
        <v>85</v>
      </c>
      <c r="E84" s="11">
        <v>2020</v>
      </c>
      <c r="F84" s="11">
        <v>22557</v>
      </c>
      <c r="G84" s="11">
        <v>12689</v>
      </c>
      <c r="H84" s="118">
        <f>_xlfn.XLOOKUP(Table1[[#This Row],[Shipment Number]], 'pivot '!A:A,'pivot '!G:G, "NF")</f>
        <v>7.8380644024960588E-2</v>
      </c>
      <c r="I84" s="119">
        <f>Table1[[#This Row],[Tiyaar/gaz]]/1.0936</f>
        <v>11602.962692026336</v>
      </c>
      <c r="J84" s="119" cm="1">
        <f t="array" ref="J8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116029.62692026337</v>
      </c>
      <c r="K84" s="117"/>
    </row>
    <row r="85" spans="1:17" x14ac:dyDescent="0.3">
      <c r="A85" s="120">
        <v>46048</v>
      </c>
      <c r="B85" s="121" t="s">
        <v>25</v>
      </c>
      <c r="C85" s="117">
        <v>1397</v>
      </c>
      <c r="D85" s="117" t="s">
        <v>85</v>
      </c>
      <c r="E85" s="11">
        <v>2020</v>
      </c>
      <c r="F85" s="11">
        <v>22557</v>
      </c>
      <c r="G85" s="11">
        <v>10069</v>
      </c>
      <c r="H85" s="118">
        <f>_xlfn.XLOOKUP(Table1[[#This Row],[Shipment Number]], 'pivot '!A:A,'pivot '!G:G, "NF")</f>
        <v>7.8380644024960588E-2</v>
      </c>
      <c r="I85" s="119">
        <f>Table1[[#This Row],[Tiyaar/gaz]]/1.0936</f>
        <v>9207.205559619606</v>
      </c>
      <c r="J85" s="119" cm="1">
        <f t="array" ref="J8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92072.055596196064</v>
      </c>
      <c r="K85" s="117"/>
    </row>
    <row r="86" spans="1:17" x14ac:dyDescent="0.3">
      <c r="A86" s="120">
        <v>46048</v>
      </c>
      <c r="B86" s="121" t="s">
        <v>25</v>
      </c>
      <c r="C86" s="117">
        <v>1398</v>
      </c>
      <c r="D86" s="117" t="s">
        <v>85</v>
      </c>
      <c r="E86" s="11">
        <v>2021</v>
      </c>
      <c r="F86" s="11">
        <v>24970</v>
      </c>
      <c r="G86" s="11">
        <v>26890</v>
      </c>
      <c r="H86" s="118">
        <f>_xlfn.XLOOKUP(Table1[[#This Row],[Shipment Number]], 'pivot '!A:A,'pivot '!G:G, "NF")</f>
        <v>1.5277733426417512</v>
      </c>
      <c r="I86" s="119">
        <f>Table1[[#This Row],[Tiyaar/gaz]]/1.0936</f>
        <v>24588.514996342357</v>
      </c>
      <c r="J86" s="119" cm="1">
        <f t="array" ref="J8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245885.14996342358</v>
      </c>
      <c r="K86" s="117"/>
    </row>
    <row r="87" spans="1:17" x14ac:dyDescent="0.3">
      <c r="A87" s="120">
        <v>46049</v>
      </c>
      <c r="B87" s="121" t="s">
        <v>217</v>
      </c>
      <c r="C87" s="117">
        <v>1399</v>
      </c>
      <c r="D87" s="117" t="s">
        <v>85</v>
      </c>
      <c r="E87" s="11">
        <v>2052</v>
      </c>
      <c r="F87" s="11">
        <v>72275</v>
      </c>
      <c r="G87" s="11">
        <v>6894</v>
      </c>
      <c r="H87" s="118">
        <f>_xlfn.XLOOKUP(Table1[[#This Row],[Shipment Number]], 'pivot '!A:A,'pivot '!G:G, "NF")</f>
        <v>1.7673849448772216</v>
      </c>
      <c r="I87" s="119">
        <f>Table1[[#This Row],[Tiyaar/gaz]]/1.0936</f>
        <v>6303.9502560351139</v>
      </c>
      <c r="J87" s="119" cm="1">
        <f t="array" ref="J8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63039.502560351139</v>
      </c>
      <c r="K87" s="117"/>
    </row>
    <row r="88" spans="1:17" x14ac:dyDescent="0.3">
      <c r="A88" s="120">
        <v>46049</v>
      </c>
      <c r="B88" s="121" t="s">
        <v>217</v>
      </c>
      <c r="C88" s="117">
        <v>1400</v>
      </c>
      <c r="D88" s="117" t="s">
        <v>85</v>
      </c>
      <c r="E88" s="11">
        <v>2052</v>
      </c>
      <c r="F88" s="11">
        <v>72275</v>
      </c>
      <c r="G88" s="11">
        <v>29817</v>
      </c>
      <c r="H88" s="118">
        <f>_xlfn.XLOOKUP(Table1[[#This Row],[Shipment Number]], 'pivot '!A:A,'pivot '!G:G, "NF")</f>
        <v>1.7673849448772216</v>
      </c>
      <c r="I88" s="119">
        <f>Table1[[#This Row],[Tiyaar/gaz]]/1.0936</f>
        <v>27264.996342355524</v>
      </c>
      <c r="J88" s="119" cm="1">
        <f t="array" ref="J8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272649.96342355525</v>
      </c>
      <c r="K88" s="117"/>
    </row>
    <row r="89" spans="1:17" x14ac:dyDescent="0.3">
      <c r="A89" s="120">
        <v>46049</v>
      </c>
      <c r="B89" s="121" t="s">
        <v>27</v>
      </c>
      <c r="C89" s="117">
        <v>1401</v>
      </c>
      <c r="D89" s="117" t="s">
        <v>85</v>
      </c>
      <c r="E89" s="11">
        <v>1989</v>
      </c>
      <c r="F89" s="11">
        <v>61388</v>
      </c>
      <c r="G89" s="11">
        <v>4389</v>
      </c>
      <c r="H89" s="118">
        <f>_xlfn.XLOOKUP(Table1[[#This Row],[Shipment Number]], 'pivot '!A:A,'pivot '!G:G, "NF")</f>
        <v>2.1582485710114128</v>
      </c>
      <c r="I89" s="119">
        <f>Table1[[#This Row],[Tiyaar/gaz]]/1.0936</f>
        <v>4013.3504023408927</v>
      </c>
      <c r="J89" s="119" cm="1">
        <f t="array" ref="J8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40133.504023408925</v>
      </c>
      <c r="K89" s="117"/>
    </row>
    <row r="90" spans="1:17" x14ac:dyDescent="0.3">
      <c r="A90" s="120">
        <v>46049</v>
      </c>
      <c r="B90" s="121" t="s">
        <v>21</v>
      </c>
      <c r="C90" s="117">
        <v>1402</v>
      </c>
      <c r="D90" s="117" t="s">
        <v>85</v>
      </c>
      <c r="E90" s="11" t="s">
        <v>302</v>
      </c>
      <c r="F90" s="11">
        <v>61388</v>
      </c>
      <c r="G90" s="11">
        <v>4114</v>
      </c>
      <c r="H90" s="118">
        <f>_xlfn.XLOOKUP(Table1[[#This Row],[Shipment Number]], 'pivot '!A:A,'pivot '!G:G, "NF")</f>
        <v>20.618366184765776</v>
      </c>
      <c r="I90" s="119">
        <f>Table1[[#This Row],[Tiyaar/gaz]]/1.0936</f>
        <v>3761.8873445501099</v>
      </c>
      <c r="J90" s="119" cm="1">
        <f t="array" ref="J9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37618.8734455011</v>
      </c>
      <c r="K90" s="117"/>
    </row>
    <row r="91" spans="1:17" x14ac:dyDescent="0.3">
      <c r="A91" s="120">
        <v>46049</v>
      </c>
      <c r="B91" s="121" t="s">
        <v>21</v>
      </c>
      <c r="C91" s="117">
        <v>1403</v>
      </c>
      <c r="D91" s="117" t="s">
        <v>85</v>
      </c>
      <c r="E91" s="11">
        <v>2046</v>
      </c>
      <c r="F91" s="11">
        <v>100417</v>
      </c>
      <c r="G91" s="11">
        <v>2361</v>
      </c>
      <c r="H91" s="118">
        <f>_xlfn.XLOOKUP(Table1[[#This Row],[Shipment Number]], 'pivot '!A:A,'pivot '!G:G, "NF")</f>
        <v>93.895244686278559</v>
      </c>
      <c r="I91" s="119">
        <f>Table1[[#This Row],[Tiyaar/gaz]]/1.0936</f>
        <v>2158.924652523775</v>
      </c>
      <c r="J91" s="119" cm="1">
        <f t="array" ref="J9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21589.246525237751</v>
      </c>
      <c r="K91" s="117"/>
    </row>
    <row r="92" spans="1:17" x14ac:dyDescent="0.3">
      <c r="A92" s="120">
        <v>46049</v>
      </c>
      <c r="B92" s="121" t="s">
        <v>183</v>
      </c>
      <c r="C92" s="117">
        <v>1404</v>
      </c>
      <c r="D92" s="117" t="s">
        <v>205</v>
      </c>
      <c r="E92" s="11">
        <v>2012</v>
      </c>
      <c r="F92" s="11">
        <v>28546</v>
      </c>
      <c r="G92" s="11">
        <v>5143</v>
      </c>
      <c r="H92" s="118">
        <f>_xlfn.XLOOKUP(Table1[[#This Row],[Shipment Number]], 'pivot '!A:A,'pivot '!G:G, "NF")</f>
        <v>51.095373931811743</v>
      </c>
      <c r="I92" s="119">
        <f>Table1[[#This Row],[Tiyaar/gaz]]/1.0936</f>
        <v>4702.8163862472575</v>
      </c>
      <c r="J92" s="119" cm="1">
        <f t="array" ref="J9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47028.163862472575</v>
      </c>
      <c r="K92" s="117"/>
    </row>
    <row r="93" spans="1:17" x14ac:dyDescent="0.3">
      <c r="A93" s="120">
        <v>46049</v>
      </c>
      <c r="B93" s="121" t="s">
        <v>183</v>
      </c>
      <c r="C93" s="117">
        <v>1405</v>
      </c>
      <c r="D93" s="117" t="s">
        <v>205</v>
      </c>
      <c r="E93" s="11">
        <v>2015</v>
      </c>
      <c r="F93" s="11">
        <v>29087</v>
      </c>
      <c r="G93" s="11">
        <v>31183</v>
      </c>
      <c r="H93" s="118">
        <f>_xlfn.XLOOKUP(Table1[[#This Row],[Shipment Number]], 'pivot '!A:A,'pivot '!G:G, "NF")</f>
        <v>1.969670535853524</v>
      </c>
      <c r="I93" s="119">
        <f>Table1[[#This Row],[Tiyaar/gaz]]/1.0936</f>
        <v>28514.081931236287</v>
      </c>
      <c r="J93" s="119" cm="1">
        <f t="array" ref="J9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285140.81931236287</v>
      </c>
      <c r="K93" s="117"/>
    </row>
    <row r="94" spans="1:17" x14ac:dyDescent="0.3">
      <c r="A94" s="120">
        <v>46049</v>
      </c>
      <c r="B94" s="121" t="s">
        <v>183</v>
      </c>
      <c r="C94" s="117">
        <v>1406</v>
      </c>
      <c r="D94" s="117" t="s">
        <v>205</v>
      </c>
      <c r="E94" s="11">
        <v>2012</v>
      </c>
      <c r="F94" s="11">
        <v>28546</v>
      </c>
      <c r="G94" s="11">
        <v>10124</v>
      </c>
      <c r="H94" s="118">
        <f>_xlfn.XLOOKUP(Table1[[#This Row],[Shipment Number]], 'pivot '!A:A,'pivot '!G:G, "NF")</f>
        <v>51.095373931811743</v>
      </c>
      <c r="I94" s="119">
        <f>Table1[[#This Row],[Tiyaar/gaz]]/1.0936</f>
        <v>9257.4981711777618</v>
      </c>
      <c r="J94" s="119" cm="1">
        <f t="array" ref="J9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92574.981711777626</v>
      </c>
      <c r="K94" s="117"/>
    </row>
    <row r="95" spans="1:17" x14ac:dyDescent="0.3">
      <c r="A95" s="120">
        <v>46050</v>
      </c>
      <c r="B95" s="121" t="s">
        <v>217</v>
      </c>
      <c r="C95" s="117">
        <v>1407</v>
      </c>
      <c r="D95" s="117" t="s">
        <v>85</v>
      </c>
      <c r="E95" s="11">
        <v>2052</v>
      </c>
      <c r="F95" s="11">
        <v>72275</v>
      </c>
      <c r="G95" s="11">
        <v>19318</v>
      </c>
      <c r="H95" s="118">
        <f>_xlfn.XLOOKUP(Table1[[#This Row],[Shipment Number]], 'pivot '!A:A,'pivot '!G:G, "NF")</f>
        <v>1.7673849448772216</v>
      </c>
      <c r="I95" s="119">
        <f>Table1[[#This Row],[Tiyaar/gaz]]/1.0936</f>
        <v>17664.594001463058</v>
      </c>
      <c r="J95" s="119" cm="1">
        <f t="array" ref="J9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176645.94001463059</v>
      </c>
      <c r="K95" s="117"/>
    </row>
    <row r="96" spans="1:17" x14ac:dyDescent="0.3">
      <c r="A96" s="120">
        <v>46050</v>
      </c>
      <c r="B96" s="121" t="s">
        <v>217</v>
      </c>
      <c r="C96" s="117">
        <v>1408</v>
      </c>
      <c r="D96" s="117" t="s">
        <v>85</v>
      </c>
      <c r="E96" s="11">
        <v>2052</v>
      </c>
      <c r="F96" s="11">
        <v>72275</v>
      </c>
      <c r="G96" s="11">
        <v>21614</v>
      </c>
      <c r="H96" s="118">
        <f>_xlfn.XLOOKUP(Table1[[#This Row],[Shipment Number]], 'pivot '!A:A,'pivot '!G:G, "NF")</f>
        <v>1.7673849448772216</v>
      </c>
      <c r="I96" s="119">
        <f>Table1[[#This Row],[Tiyaar/gaz]]/1.0936</f>
        <v>19764.081931236287</v>
      </c>
      <c r="J96" s="119" cm="1">
        <f t="array" ref="J9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197640.81931236287</v>
      </c>
      <c r="K96" s="117"/>
      <c r="O96"/>
      <c r="P96"/>
      <c r="Q96"/>
    </row>
    <row r="97" spans="1:18" x14ac:dyDescent="0.3">
      <c r="A97" s="120">
        <v>46050</v>
      </c>
      <c r="B97" s="121" t="s">
        <v>21</v>
      </c>
      <c r="C97" s="117">
        <v>1409</v>
      </c>
      <c r="D97" s="117" t="s">
        <v>85</v>
      </c>
      <c r="E97" s="11">
        <v>2061</v>
      </c>
      <c r="F97" s="11">
        <v>9163</v>
      </c>
      <c r="G97" s="11">
        <v>4740</v>
      </c>
      <c r="H97" s="118">
        <f>_xlfn.XLOOKUP(Table1[[#This Row],[Shipment Number]], 'pivot '!A:A,'pivot '!G:G, "NF")</f>
        <v>16.133241884903185</v>
      </c>
      <c r="I97" s="119">
        <f>Table1[[#This Row],[Tiyaar/gaz]]/1.0936</f>
        <v>4334.3087051938555</v>
      </c>
      <c r="J97" s="119" cm="1">
        <f t="array" ref="J9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43343.087051938557</v>
      </c>
      <c r="K97" s="117"/>
      <c r="O97"/>
      <c r="P97"/>
      <c r="Q97"/>
    </row>
    <row r="98" spans="1:18" x14ac:dyDescent="0.3">
      <c r="A98" s="120">
        <v>46050</v>
      </c>
      <c r="B98" s="121" t="s">
        <v>21</v>
      </c>
      <c r="C98" s="117">
        <v>1410</v>
      </c>
      <c r="D98" s="117" t="s">
        <v>85</v>
      </c>
      <c r="E98" s="11" t="s">
        <v>302</v>
      </c>
      <c r="F98" s="11">
        <v>61388</v>
      </c>
      <c r="G98" s="11">
        <v>24832</v>
      </c>
      <c r="H98" s="118">
        <f>_xlfn.XLOOKUP(Table1[[#This Row],[Shipment Number]], 'pivot '!A:A,'pivot '!G:G, "NF")</f>
        <v>20.618366184765776</v>
      </c>
      <c r="I98" s="119">
        <f>Table1[[#This Row],[Tiyaar/gaz]]/1.0936</f>
        <v>22706.656912948063</v>
      </c>
      <c r="J98" s="119" cm="1">
        <f t="array" ref="J9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227066.56912948063</v>
      </c>
      <c r="K98" s="117"/>
      <c r="L98"/>
      <c r="M98"/>
      <c r="O98"/>
      <c r="P98"/>
      <c r="Q98"/>
    </row>
    <row r="99" spans="1:18" x14ac:dyDescent="0.3">
      <c r="A99" s="120">
        <v>46050</v>
      </c>
      <c r="B99" s="121" t="s">
        <v>21</v>
      </c>
      <c r="C99" s="117">
        <v>1411</v>
      </c>
      <c r="D99" s="117" t="s">
        <v>85</v>
      </c>
      <c r="E99" s="11" t="s">
        <v>302</v>
      </c>
      <c r="F99" s="11">
        <v>61388</v>
      </c>
      <c r="G99" s="11">
        <v>22178</v>
      </c>
      <c r="H99" s="118">
        <f>_xlfn.XLOOKUP(Table1[[#This Row],[Shipment Number]], 'pivot '!A:A,'pivot '!G:G, "NF")</f>
        <v>20.618366184765776</v>
      </c>
      <c r="I99" s="119">
        <f>Table1[[#This Row],[Tiyaar/gaz]]/1.0936</f>
        <v>20279.809802487202</v>
      </c>
      <c r="J99" s="119" cm="1">
        <f t="array" ref="J9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202798.09802487202</v>
      </c>
      <c r="K99" s="117"/>
      <c r="M99"/>
      <c r="P99"/>
      <c r="Q99"/>
      <c r="R99"/>
    </row>
    <row r="100" spans="1:18" x14ac:dyDescent="0.3">
      <c r="A100" s="120">
        <v>46050</v>
      </c>
      <c r="B100" s="121" t="s">
        <v>27</v>
      </c>
      <c r="C100" s="117">
        <v>1412</v>
      </c>
      <c r="D100" s="117" t="s">
        <v>85</v>
      </c>
      <c r="E100" s="11">
        <v>1989</v>
      </c>
      <c r="F100" s="11">
        <v>61388</v>
      </c>
      <c r="G100" s="11">
        <v>16954</v>
      </c>
      <c r="H100" s="118">
        <f>_xlfn.XLOOKUP(Table1[[#This Row],[Shipment Number]], 'pivot '!A:A,'pivot '!G:G, "NF")</f>
        <v>2.1582485710114128</v>
      </c>
      <c r="I100" s="119">
        <f>Table1[[#This Row],[Tiyaar/gaz]]/1.0936</f>
        <v>15502.926115581568</v>
      </c>
      <c r="J100" s="119" cm="1">
        <f t="array" ref="J10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155029.26115581568</v>
      </c>
      <c r="K100" s="117"/>
      <c r="M100"/>
      <c r="P100"/>
      <c r="Q100"/>
      <c r="R100"/>
    </row>
    <row r="101" spans="1:18" x14ac:dyDescent="0.3">
      <c r="A101" s="120">
        <v>46051</v>
      </c>
      <c r="B101" s="121" t="s">
        <v>21</v>
      </c>
      <c r="C101" s="117">
        <v>1413</v>
      </c>
      <c r="D101" s="117" t="s">
        <v>85</v>
      </c>
      <c r="E101" s="11">
        <v>2061</v>
      </c>
      <c r="F101" s="11">
        <v>9163</v>
      </c>
      <c r="G101" s="11">
        <v>1930</v>
      </c>
      <c r="H101" s="118">
        <f>_xlfn.XLOOKUP(Table1[[#This Row],[Shipment Number]], 'pivot '!A:A,'pivot '!G:G, "NF")</f>
        <v>16.133241884903185</v>
      </c>
      <c r="I101" s="119">
        <f>Table1[[#This Row],[Tiyaar/gaz]]/1.0936</f>
        <v>1764.8134601316754</v>
      </c>
      <c r="J101" s="119" cm="1">
        <f t="array" ref="J10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17648.134601316753</v>
      </c>
      <c r="K101" s="117"/>
      <c r="M101"/>
      <c r="P101"/>
      <c r="Q101"/>
      <c r="R101"/>
    </row>
    <row r="102" spans="1:18" x14ac:dyDescent="0.3">
      <c r="A102" s="120">
        <v>46051</v>
      </c>
      <c r="B102" s="121" t="s">
        <v>21</v>
      </c>
      <c r="C102" s="117">
        <v>1414</v>
      </c>
      <c r="D102" s="117" t="s">
        <v>86</v>
      </c>
      <c r="E102" s="11">
        <v>1978</v>
      </c>
      <c r="F102" s="11">
        <v>15801</v>
      </c>
      <c r="G102" s="11">
        <v>2237</v>
      </c>
      <c r="H102" s="118">
        <f>_xlfn.XLOOKUP(Table1[[#This Row],[Shipment Number]], 'pivot '!A:A,'pivot '!G:G, "NF")</f>
        <v>4.6294839246745028</v>
      </c>
      <c r="I102" s="119">
        <f>Table1[[#This Row],[Tiyaar/gaz]]/1.0936</f>
        <v>2045.5376737381127</v>
      </c>
      <c r="J102" s="119" cm="1">
        <f t="array" ref="J10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26591.989758595464</v>
      </c>
      <c r="K102" s="117"/>
      <c r="M102"/>
      <c r="P102"/>
      <c r="Q102"/>
      <c r="R102"/>
    </row>
    <row r="103" spans="1:18" x14ac:dyDescent="0.3">
      <c r="A103" s="120">
        <v>46051</v>
      </c>
      <c r="B103" s="121" t="s">
        <v>35</v>
      </c>
      <c r="C103" s="117">
        <v>1415</v>
      </c>
      <c r="D103" s="117" t="s">
        <v>86</v>
      </c>
      <c r="E103" s="11">
        <v>2043</v>
      </c>
      <c r="F103" s="11">
        <v>10156</v>
      </c>
      <c r="G103" s="11">
        <v>10772</v>
      </c>
      <c r="H103" s="118">
        <f>_xlfn.XLOOKUP(Table1[[#This Row],[Shipment Number]], 'pivot '!A:A,'pivot '!G:G, "NF")</f>
        <v>3.0126370968415586</v>
      </c>
      <c r="I103" s="119">
        <f>Table1[[#This Row],[Tiyaar/gaz]]/1.0936</f>
        <v>9850.0365764447706</v>
      </c>
      <c r="J103" s="119" cm="1">
        <f t="array" ref="J10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128050.47549378203</v>
      </c>
      <c r="K103" s="117"/>
      <c r="M103"/>
      <c r="P103"/>
      <c r="Q103"/>
      <c r="R103"/>
    </row>
    <row r="104" spans="1:18" x14ac:dyDescent="0.3">
      <c r="A104" s="120">
        <v>46051</v>
      </c>
      <c r="B104" s="121" t="s">
        <v>35</v>
      </c>
      <c r="C104" s="117">
        <v>1416</v>
      </c>
      <c r="D104" s="117" t="s">
        <v>86</v>
      </c>
      <c r="E104" s="11">
        <v>2044</v>
      </c>
      <c r="F104" s="11">
        <v>18250</v>
      </c>
      <c r="G104" s="11">
        <v>19489</v>
      </c>
      <c r="H104" s="118">
        <f>_xlfn.XLOOKUP(Table1[[#This Row],[Shipment Number]], 'pivot '!A:A,'pivot '!G:G, "NF")</f>
        <v>2.3509134090248409</v>
      </c>
      <c r="I104" s="119">
        <f>Table1[[#This Row],[Tiyaar/gaz]]/1.0936</f>
        <v>17820.958302852963</v>
      </c>
      <c r="J104" s="119" cm="1">
        <f t="array" ref="J10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231672.45793708853</v>
      </c>
      <c r="K104" s="117"/>
      <c r="M104"/>
      <c r="P104"/>
      <c r="Q104"/>
      <c r="R104"/>
    </row>
    <row r="105" spans="1:18" x14ac:dyDescent="0.3">
      <c r="A105" s="120">
        <v>46052</v>
      </c>
      <c r="B105" s="121" t="s">
        <v>333</v>
      </c>
      <c r="C105" s="117">
        <v>1417</v>
      </c>
      <c r="D105" s="117" t="s">
        <v>86</v>
      </c>
      <c r="E105" s="11">
        <v>2050</v>
      </c>
      <c r="F105" s="11">
        <v>22555</v>
      </c>
      <c r="G105" s="11">
        <v>13182</v>
      </c>
      <c r="H105" s="118">
        <f>_xlfn.XLOOKUP(Table1[[#This Row],[Shipment Number]], 'pivot '!A:A,'pivot '!G:G, "NF")</f>
        <v>2.9844465378217819</v>
      </c>
      <c r="I105" s="119">
        <f>Table1[[#This Row],[Tiyaar/gaz]]/1.0936</f>
        <v>12053.767373811266</v>
      </c>
      <c r="J105" s="119" cm="1">
        <f t="array" ref="J10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156698.97585954645</v>
      </c>
      <c r="K105" s="117"/>
      <c r="M105"/>
      <c r="P105"/>
      <c r="Q105"/>
      <c r="R105"/>
    </row>
    <row r="106" spans="1:18" x14ac:dyDescent="0.3">
      <c r="A106" s="120">
        <v>46052</v>
      </c>
      <c r="B106" s="121" t="s">
        <v>178</v>
      </c>
      <c r="C106" s="117">
        <v>1418</v>
      </c>
      <c r="D106" s="117" t="s">
        <v>86</v>
      </c>
      <c r="E106" s="11">
        <v>2059</v>
      </c>
      <c r="F106" s="11">
        <v>2825</v>
      </c>
      <c r="G106" s="11">
        <v>3025</v>
      </c>
      <c r="H106" s="118">
        <f>_xlfn.XLOOKUP(Table1[[#This Row],[Shipment Number]], 'pivot '!A:A,'pivot '!G:G, "NF")</f>
        <v>2.0851810372173247</v>
      </c>
      <c r="I106" s="119">
        <f>Table1[[#This Row],[Tiyaar/gaz]]/1.0936</f>
        <v>2766.0936356986103</v>
      </c>
      <c r="J106" s="119" cm="1">
        <f t="array" ref="J10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35959.217264081934</v>
      </c>
      <c r="K106" s="117"/>
      <c r="P106"/>
      <c r="Q106"/>
      <c r="R106"/>
    </row>
    <row r="107" spans="1:18" x14ac:dyDescent="0.3">
      <c r="A107" s="120">
        <v>46052</v>
      </c>
      <c r="B107" s="121" t="s">
        <v>21</v>
      </c>
      <c r="C107" s="117">
        <v>1419</v>
      </c>
      <c r="D107" s="117" t="s">
        <v>86</v>
      </c>
      <c r="E107" s="11">
        <v>1978</v>
      </c>
      <c r="F107" s="11">
        <v>15801</v>
      </c>
      <c r="G107" s="11">
        <v>2293</v>
      </c>
      <c r="H107" s="118">
        <f>_xlfn.XLOOKUP(Table1[[#This Row],[Shipment Number]], 'pivot '!A:A,'pivot '!G:G, "NF")</f>
        <v>4.6294839246745028</v>
      </c>
      <c r="I107" s="119">
        <f>Table1[[#This Row],[Tiyaar/gaz]]/1.0936</f>
        <v>2096.7446964155088</v>
      </c>
      <c r="J107" s="119" cm="1">
        <f t="array" ref="J10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27257.681053401615</v>
      </c>
      <c r="K107" s="117"/>
      <c r="L107"/>
      <c r="P107"/>
      <c r="Q107"/>
      <c r="R107"/>
    </row>
    <row r="108" spans="1:18" x14ac:dyDescent="0.3">
      <c r="A108" s="120">
        <v>46052</v>
      </c>
      <c r="B108" s="121" t="s">
        <v>333</v>
      </c>
      <c r="C108" s="117">
        <v>1420</v>
      </c>
      <c r="D108" s="117" t="s">
        <v>86</v>
      </c>
      <c r="E108" s="11">
        <v>2051</v>
      </c>
      <c r="F108" s="11">
        <v>24771</v>
      </c>
      <c r="G108" s="11">
        <v>26201</v>
      </c>
      <c r="H108" s="118">
        <f>_xlfn.XLOOKUP(Table1[[#This Row],[Shipment Number]], 'pivot '!A:A,'pivot '!G:G, "NF")</f>
        <v>3.2801028009101714</v>
      </c>
      <c r="I108" s="119">
        <f>Table1[[#This Row],[Tiyaar/gaz]]/1.0936</f>
        <v>23958.485735186543</v>
      </c>
      <c r="J108" s="119" cm="1">
        <f t="array" ref="J10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311460.31455742504</v>
      </c>
      <c r="K108" s="117"/>
      <c r="L108"/>
      <c r="P108"/>
      <c r="Q108"/>
      <c r="R108"/>
    </row>
    <row r="109" spans="1:18" x14ac:dyDescent="0.3">
      <c r="A109" s="120">
        <v>46053</v>
      </c>
      <c r="B109" s="121" t="s">
        <v>333</v>
      </c>
      <c r="C109" s="117">
        <v>1421</v>
      </c>
      <c r="D109" s="117" t="s">
        <v>86</v>
      </c>
      <c r="E109" s="11">
        <v>2050</v>
      </c>
      <c r="F109" s="11">
        <v>22555</v>
      </c>
      <c r="G109" s="11">
        <v>10748</v>
      </c>
      <c r="H109" s="118">
        <f>_xlfn.XLOOKUP(Table1[[#This Row],[Shipment Number]], 'pivot '!A:A,'pivot '!G:G, "NF")</f>
        <v>2.9844465378217819</v>
      </c>
      <c r="I109" s="119">
        <f>Table1[[#This Row],[Tiyaar/gaz]]/1.0936</f>
        <v>9828.0907095830298</v>
      </c>
      <c r="J109" s="119" cm="1">
        <f t="array" ref="J10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127765.17922457939</v>
      </c>
      <c r="K109" s="117"/>
      <c r="L109"/>
      <c r="O109"/>
      <c r="P109"/>
      <c r="Q109"/>
    </row>
    <row r="110" spans="1:18" x14ac:dyDescent="0.3">
      <c r="A110" s="120">
        <v>46053</v>
      </c>
      <c r="B110" s="121" t="s">
        <v>22</v>
      </c>
      <c r="C110" s="117">
        <v>1422</v>
      </c>
      <c r="D110" s="117" t="s">
        <v>86</v>
      </c>
      <c r="E110" s="11" t="s">
        <v>334</v>
      </c>
      <c r="F110" s="11">
        <v>20829</v>
      </c>
      <c r="G110" s="11">
        <v>12106</v>
      </c>
      <c r="H110" s="118">
        <f>_xlfn.XLOOKUP(Table1[[#This Row],[Shipment Number]], 'pivot '!A:A,'pivot '!G:G, "NF")</f>
        <v>5.8150840071150185</v>
      </c>
      <c r="I110" s="119">
        <f>Table1[[#This Row],[Tiyaar/gaz]]/1.0936</f>
        <v>11069.861009509877</v>
      </c>
      <c r="J110" s="119" cm="1">
        <f t="array" ref="J11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143908.19312362841</v>
      </c>
      <c r="K110" s="117"/>
      <c r="L110"/>
      <c r="O110"/>
      <c r="P110"/>
      <c r="Q110"/>
    </row>
    <row r="111" spans="1:18" x14ac:dyDescent="0.3">
      <c r="A111" s="120">
        <v>46053</v>
      </c>
      <c r="B111" s="121" t="s">
        <v>22</v>
      </c>
      <c r="C111" s="117">
        <v>1423</v>
      </c>
      <c r="D111" s="117" t="s">
        <v>86</v>
      </c>
      <c r="E111" s="11" t="s">
        <v>334</v>
      </c>
      <c r="F111" s="11">
        <v>20829</v>
      </c>
      <c r="G111" s="11">
        <v>9348</v>
      </c>
      <c r="H111" s="118">
        <f>_xlfn.XLOOKUP(Table1[[#This Row],[Shipment Number]], 'pivot '!A:A,'pivot '!G:G, "NF")</f>
        <v>5.8150840071150185</v>
      </c>
      <c r="I111" s="119">
        <f>Table1[[#This Row],[Tiyaar/gaz]]/1.0936</f>
        <v>8547.9151426481349</v>
      </c>
      <c r="J111" s="119" cm="1">
        <f t="array" ref="J11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111122.89685442575</v>
      </c>
      <c r="K111" s="117"/>
      <c r="L111"/>
      <c r="O111"/>
      <c r="P111"/>
      <c r="Q111"/>
    </row>
    <row r="112" spans="1:18" x14ac:dyDescent="0.3">
      <c r="A112" s="120">
        <v>46053</v>
      </c>
      <c r="B112" s="121" t="s">
        <v>178</v>
      </c>
      <c r="C112" s="117">
        <v>1424</v>
      </c>
      <c r="D112" s="117" t="s">
        <v>85</v>
      </c>
      <c r="E112" s="11">
        <v>2042</v>
      </c>
      <c r="F112" s="11">
        <v>38203</v>
      </c>
      <c r="G112" s="11">
        <v>40953</v>
      </c>
      <c r="H112" s="118">
        <f>_xlfn.XLOOKUP(Table1[[#This Row],[Shipment Number]], 'pivot '!A:A,'pivot '!G:G, "NF")</f>
        <v>1.9766024495370402</v>
      </c>
      <c r="I112" s="119">
        <f>Table1[[#This Row],[Tiyaar/gaz]]/1.0936</f>
        <v>37447.87856620337</v>
      </c>
      <c r="J112" s="119" cm="1">
        <f t="array" ref="J11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374478.78566203371</v>
      </c>
      <c r="K112" s="117"/>
      <c r="L112"/>
      <c r="O112"/>
      <c r="P112"/>
      <c r="Q112"/>
    </row>
    <row r="113" spans="1:17" x14ac:dyDescent="0.3">
      <c r="A113" s="120">
        <v>46053</v>
      </c>
      <c r="B113" s="121" t="s">
        <v>9</v>
      </c>
      <c r="C113" s="117">
        <v>1425</v>
      </c>
      <c r="D113" s="117" t="s">
        <v>85</v>
      </c>
      <c r="E113" s="11">
        <v>2036</v>
      </c>
      <c r="F113" s="11">
        <v>19708</v>
      </c>
      <c r="G113" s="11">
        <v>21060</v>
      </c>
      <c r="H113" s="118">
        <f>_xlfn.XLOOKUP(Table1[[#This Row],[Shipment Number]], 'pivot '!A:A,'pivot '!G:G, "NF")</f>
        <v>2.2858830364432663</v>
      </c>
      <c r="I113" s="119">
        <f>Table1[[#This Row],[Tiyaar/gaz]]/1.0936</f>
        <v>19257.498171177762</v>
      </c>
      <c r="J113" s="119" cm="1">
        <f t="array" ref="J11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192574.98171177763</v>
      </c>
      <c r="K113" s="117"/>
      <c r="O113"/>
      <c r="P113"/>
      <c r="Q113"/>
    </row>
    <row r="114" spans="1:17" x14ac:dyDescent="0.3">
      <c r="A114" s="120">
        <v>46053</v>
      </c>
      <c r="B114" s="121" t="s">
        <v>335</v>
      </c>
      <c r="C114" s="117">
        <v>1426</v>
      </c>
      <c r="D114" s="117" t="s">
        <v>85</v>
      </c>
      <c r="E114" s="11">
        <v>2057</v>
      </c>
      <c r="F114" s="11">
        <v>51107</v>
      </c>
      <c r="G114" s="11">
        <v>11051</v>
      </c>
      <c r="H114" s="118">
        <f>_xlfn.XLOOKUP(Table1[[#This Row],[Shipment Number]], 'pivot '!A:A,'pivot '!G:G, "NF")</f>
        <v>2.5990324042809902</v>
      </c>
      <c r="I114" s="119">
        <f>Table1[[#This Row],[Tiyaar/gaz]]/1.0936</f>
        <v>10105.15727871251</v>
      </c>
      <c r="J114" s="119" cm="1">
        <f t="array" ref="J11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101051.5727871251</v>
      </c>
      <c r="K114" s="117"/>
      <c r="O114"/>
      <c r="P114"/>
      <c r="Q114"/>
    </row>
    <row r="115" spans="1:17" x14ac:dyDescent="0.3">
      <c r="A115" s="120">
        <v>46053</v>
      </c>
      <c r="B115" s="121" t="s">
        <v>21</v>
      </c>
      <c r="C115" s="117">
        <v>1427</v>
      </c>
      <c r="D115" s="117" t="s">
        <v>86</v>
      </c>
      <c r="E115" s="11">
        <v>2006</v>
      </c>
      <c r="F115" s="11">
        <v>24208</v>
      </c>
      <c r="G115" s="11">
        <v>8143</v>
      </c>
      <c r="H115" s="118">
        <f>_xlfn.XLOOKUP(Table1[[#This Row],[Shipment Number]], 'pivot '!A:A,'pivot '!G:G, "NF")</f>
        <v>63.488524956352428</v>
      </c>
      <c r="I115" s="119">
        <f>Table1[[#This Row],[Tiyaar/gaz]]/1.0936</f>
        <v>7446.0497439648871</v>
      </c>
      <c r="J115" s="119" cm="1">
        <f t="array" ref="J11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96798.646671543538</v>
      </c>
      <c r="K115" s="117"/>
      <c r="O115"/>
      <c r="P115"/>
      <c r="Q115"/>
    </row>
    <row r="116" spans="1:17" x14ac:dyDescent="0.3">
      <c r="A116" s="120">
        <v>46053</v>
      </c>
      <c r="B116" s="121" t="s">
        <v>21</v>
      </c>
      <c r="C116" s="117">
        <v>1428</v>
      </c>
      <c r="D116" s="117" t="s">
        <v>86</v>
      </c>
      <c r="E116" s="11">
        <v>1978</v>
      </c>
      <c r="F116" s="11">
        <v>15801</v>
      </c>
      <c r="G116" s="11">
        <v>4235</v>
      </c>
      <c r="H116" s="118">
        <f>_xlfn.XLOOKUP(Table1[[#This Row],[Shipment Number]], 'pivot '!A:A,'pivot '!G:G, "NF")</f>
        <v>4.6294839246745028</v>
      </c>
      <c r="I116" s="119">
        <f>Table1[[#This Row],[Tiyaar/gaz]]/1.0936</f>
        <v>3872.5310899780543</v>
      </c>
      <c r="J116" s="119" cm="1">
        <f t="array" ref="J11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50342.904169714704</v>
      </c>
      <c r="K116" s="117"/>
      <c r="O116"/>
      <c r="P116"/>
      <c r="Q116"/>
    </row>
    <row r="117" spans="1:17" x14ac:dyDescent="0.3">
      <c r="A117" s="120">
        <v>46053</v>
      </c>
      <c r="B117" s="121" t="s">
        <v>335</v>
      </c>
      <c r="C117" s="117">
        <v>1429</v>
      </c>
      <c r="D117" s="117" t="s">
        <v>85</v>
      </c>
      <c r="E117" s="11">
        <v>2057</v>
      </c>
      <c r="F117" s="11">
        <v>51107</v>
      </c>
      <c r="G117" s="11">
        <v>5210</v>
      </c>
      <c r="H117" s="118">
        <f>_xlfn.XLOOKUP(Table1[[#This Row],[Shipment Number]], 'pivot '!A:A,'pivot '!G:G, "NF")</f>
        <v>2.5990324042809902</v>
      </c>
      <c r="I117" s="119">
        <f>Table1[[#This Row],[Tiyaar/gaz]]/1.0936</f>
        <v>4764.0819312362846</v>
      </c>
      <c r="J117" s="119" cm="1">
        <f t="array" ref="J11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47640.819312362844</v>
      </c>
      <c r="K117" s="117"/>
      <c r="O117"/>
      <c r="P117"/>
      <c r="Q117"/>
    </row>
    <row r="118" spans="1:17" x14ac:dyDescent="0.3">
      <c r="A118" s="120">
        <v>46055</v>
      </c>
      <c r="B118" s="121" t="s">
        <v>22</v>
      </c>
      <c r="C118" s="117">
        <v>1430</v>
      </c>
      <c r="D118" s="117" t="s">
        <v>86</v>
      </c>
      <c r="E118" s="11">
        <v>2056</v>
      </c>
      <c r="F118" s="11">
        <v>25068</v>
      </c>
      <c r="G118" s="11">
        <v>26732</v>
      </c>
      <c r="H118" s="118">
        <f>_xlfn.XLOOKUP(Table1[[#This Row],[Shipment Number]], 'pivot '!A:A,'pivot '!G:G, "NF")</f>
        <v>2.4890775510508973</v>
      </c>
      <c r="I118" s="119">
        <f>Table1[[#This Row],[Tiyaar/gaz]]/1.0936</f>
        <v>24444.038039502564</v>
      </c>
      <c r="J118" s="119" cm="1">
        <f t="array" ref="J11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317772.49451353331</v>
      </c>
      <c r="K118" s="117"/>
      <c r="O118"/>
      <c r="P118"/>
      <c r="Q118"/>
    </row>
    <row r="119" spans="1:17" x14ac:dyDescent="0.3">
      <c r="A119" s="120">
        <v>46055</v>
      </c>
      <c r="B119" s="121" t="s">
        <v>190</v>
      </c>
      <c r="C119" s="117">
        <v>1431</v>
      </c>
      <c r="D119" s="117" t="s">
        <v>86</v>
      </c>
      <c r="E119" s="11">
        <v>2065</v>
      </c>
      <c r="F119" s="11">
        <v>49937</v>
      </c>
      <c r="G119" s="11">
        <v>21597</v>
      </c>
      <c r="H119" s="118">
        <f>_xlfn.XLOOKUP(Table1[[#This Row],[Shipment Number]], 'pivot '!A:A,'pivot '!G:G, "NF")</f>
        <v>3.640474342221296</v>
      </c>
      <c r="I119" s="119">
        <f>Table1[[#This Row],[Tiyaar/gaz]]/1.0936</f>
        <v>19748.536942209219</v>
      </c>
      <c r="J119" s="119" cm="1">
        <f t="array" ref="J11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256730.98024871986</v>
      </c>
      <c r="K119" s="117"/>
      <c r="O119"/>
      <c r="P119"/>
      <c r="Q119"/>
    </row>
    <row r="120" spans="1:17" x14ac:dyDescent="0.3">
      <c r="A120" s="120">
        <v>46055</v>
      </c>
      <c r="B120" s="121" t="s">
        <v>190</v>
      </c>
      <c r="C120" s="117">
        <v>1432</v>
      </c>
      <c r="D120" s="117" t="s">
        <v>86</v>
      </c>
      <c r="E120" s="11">
        <v>2065</v>
      </c>
      <c r="F120" s="11">
        <v>49937</v>
      </c>
      <c r="G120" s="11">
        <v>31026</v>
      </c>
      <c r="H120" s="118">
        <f>_xlfn.XLOOKUP(Table1[[#This Row],[Shipment Number]], 'pivot '!A:A,'pivot '!G:G, "NF")</f>
        <v>3.640474342221296</v>
      </c>
      <c r="I120" s="119">
        <f>Table1[[#This Row],[Tiyaar/gaz]]/1.0936</f>
        <v>28370.51938551573</v>
      </c>
      <c r="J120" s="119" cm="1">
        <f t="array" ref="J12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368816.75201170449</v>
      </c>
      <c r="K120" s="117"/>
      <c r="P120"/>
      <c r="Q120"/>
    </row>
    <row r="121" spans="1:17" x14ac:dyDescent="0.3">
      <c r="A121" s="120">
        <v>46055</v>
      </c>
      <c r="B121" s="121" t="s">
        <v>21</v>
      </c>
      <c r="C121" s="117">
        <v>1433</v>
      </c>
      <c r="D121" s="117" t="s">
        <v>86</v>
      </c>
      <c r="E121" s="11">
        <v>1978</v>
      </c>
      <c r="F121" s="11">
        <v>15801</v>
      </c>
      <c r="G121" s="11">
        <v>7255</v>
      </c>
      <c r="H121" s="118">
        <f>_xlfn.XLOOKUP(Table1[[#This Row],[Shipment Number]], 'pivot '!A:A,'pivot '!G:G, "NF")</f>
        <v>4.6294839246745028</v>
      </c>
      <c r="I121" s="119">
        <f>Table1[[#This Row],[Tiyaar/gaz]]/1.0936</f>
        <v>6634.0526700804685</v>
      </c>
      <c r="J121" s="119" cm="1">
        <f t="array" ref="J12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86242.684711046095</v>
      </c>
      <c r="K121" s="117"/>
      <c r="P121"/>
      <c r="Q121"/>
    </row>
    <row r="122" spans="1:17" x14ac:dyDescent="0.3">
      <c r="A122" s="120">
        <v>46055</v>
      </c>
      <c r="B122" s="121" t="s">
        <v>335</v>
      </c>
      <c r="C122" s="117">
        <v>1434</v>
      </c>
      <c r="D122" s="117" t="s">
        <v>85</v>
      </c>
      <c r="E122" s="11">
        <v>2057</v>
      </c>
      <c r="F122" s="11">
        <v>51104</v>
      </c>
      <c r="G122" s="11">
        <v>14000</v>
      </c>
      <c r="H122" s="118">
        <f>_xlfn.XLOOKUP(Table1[[#This Row],[Shipment Number]], 'pivot '!A:A,'pivot '!G:G, "NF")</f>
        <v>2.5990324042809902</v>
      </c>
      <c r="I122" s="119">
        <f>Table1[[#This Row],[Tiyaar/gaz]]/1.0936</f>
        <v>12801.755669348941</v>
      </c>
      <c r="J122" s="119" cm="1">
        <f t="array" ref="J12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128017.5566934894</v>
      </c>
      <c r="K122" s="117"/>
      <c r="P122"/>
      <c r="Q122"/>
    </row>
    <row r="123" spans="1:17" x14ac:dyDescent="0.3">
      <c r="A123" s="120">
        <v>46055</v>
      </c>
      <c r="B123" s="121" t="s">
        <v>21</v>
      </c>
      <c r="C123" s="117">
        <v>1435</v>
      </c>
      <c r="D123" s="117" t="s">
        <v>86</v>
      </c>
      <c r="E123" s="11">
        <v>2006</v>
      </c>
      <c r="F123" s="11">
        <v>24208</v>
      </c>
      <c r="G123" s="11">
        <v>543</v>
      </c>
      <c r="H123" s="118">
        <f>_xlfn.XLOOKUP(Table1[[#This Row],[Shipment Number]], 'pivot '!A:A,'pivot '!G:G, "NF")</f>
        <v>63.488524956352428</v>
      </c>
      <c r="I123" s="119">
        <f>Table1[[#This Row],[Tiyaar/gaz]]/1.0936</f>
        <v>496.52523774689104</v>
      </c>
      <c r="J123" s="119" cm="1">
        <f t="array" ref="J12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6454.8280907095832</v>
      </c>
      <c r="K123" s="117"/>
      <c r="P123"/>
      <c r="Q123"/>
    </row>
    <row r="124" spans="1:17" x14ac:dyDescent="0.3">
      <c r="A124" s="120">
        <v>46055</v>
      </c>
      <c r="B124" s="121" t="s">
        <v>183</v>
      </c>
      <c r="C124" s="117">
        <v>1436</v>
      </c>
      <c r="D124" s="117" t="s">
        <v>85</v>
      </c>
      <c r="E124" s="11">
        <v>2053</v>
      </c>
      <c r="F124" s="11">
        <v>20797</v>
      </c>
      <c r="G124" s="11">
        <v>22226</v>
      </c>
      <c r="H124" s="118">
        <f>_xlfn.XLOOKUP(Table1[[#This Row],[Shipment Number]], 'pivot '!A:A,'pivot '!G:G, "NF")</f>
        <v>2.2758016242213586</v>
      </c>
      <c r="I124" s="119">
        <f>Table1[[#This Row],[Tiyaar/gaz]]/1.0936</f>
        <v>20323.701536210683</v>
      </c>
      <c r="J124" s="119" cm="1">
        <f t="array" ref="J12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203237.01536210685</v>
      </c>
      <c r="K124" s="117"/>
      <c r="P124"/>
      <c r="Q124"/>
    </row>
    <row r="125" spans="1:17" x14ac:dyDescent="0.3">
      <c r="A125" s="120">
        <v>46056</v>
      </c>
      <c r="B125" s="129" t="s">
        <v>335</v>
      </c>
      <c r="C125" s="117">
        <v>1437</v>
      </c>
      <c r="D125" s="117" t="s">
        <v>85</v>
      </c>
      <c r="E125" s="11">
        <v>2057</v>
      </c>
      <c r="F125" s="11">
        <v>51104</v>
      </c>
      <c r="G125" s="11">
        <v>24177</v>
      </c>
      <c r="H125" s="118">
        <f>_xlfn.XLOOKUP(Table1[[#This Row],[Shipment Number]], 'pivot '!A:A,'pivot '!G:G, "NF")</f>
        <v>2.5990324042809902</v>
      </c>
      <c r="I125" s="119">
        <f>Table1[[#This Row],[Tiyaar/gaz]]/1.0936</f>
        <v>22107.717629846382</v>
      </c>
      <c r="J125" s="119" cm="1">
        <f t="array" ref="J12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221077.17629846383</v>
      </c>
      <c r="K125" s="117"/>
      <c r="P125"/>
      <c r="Q125"/>
    </row>
    <row r="126" spans="1:17" x14ac:dyDescent="0.3">
      <c r="A126" s="120">
        <v>46056</v>
      </c>
      <c r="B126" s="121" t="s">
        <v>27</v>
      </c>
      <c r="C126" s="117">
        <v>1438</v>
      </c>
      <c r="D126" s="117" t="s">
        <v>85</v>
      </c>
      <c r="E126" s="11">
        <v>1989</v>
      </c>
      <c r="F126" s="11">
        <v>61388</v>
      </c>
      <c r="G126" s="11">
        <v>24294</v>
      </c>
      <c r="H126" s="118">
        <f>_xlfn.XLOOKUP(Table1[[#This Row],[Shipment Number]], 'pivot '!A:A,'pivot '!G:G, "NF")</f>
        <v>2.1582485710114128</v>
      </c>
      <c r="I126" s="119">
        <f>Table1[[#This Row],[Tiyaar/gaz]]/1.0936</f>
        <v>22214.70373079737</v>
      </c>
      <c r="J126" s="119" cm="1">
        <f t="array" ref="J12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222147.03730797369</v>
      </c>
      <c r="K126" s="117"/>
      <c r="P126"/>
      <c r="Q126"/>
    </row>
    <row r="127" spans="1:17" x14ac:dyDescent="0.3">
      <c r="A127" s="120">
        <v>46056</v>
      </c>
      <c r="B127" s="121" t="s">
        <v>27</v>
      </c>
      <c r="C127" s="117">
        <v>1439</v>
      </c>
      <c r="D127" s="117" t="s">
        <v>85</v>
      </c>
      <c r="E127" s="11">
        <v>1989</v>
      </c>
      <c r="F127" s="11">
        <v>61388</v>
      </c>
      <c r="G127" s="11">
        <v>20048</v>
      </c>
      <c r="H127" s="118">
        <f>_xlfn.XLOOKUP(Table1[[#This Row],[Shipment Number]], 'pivot '!A:A,'pivot '!G:G, "NF")</f>
        <v>2.1582485710114128</v>
      </c>
      <c r="I127" s="119">
        <f>Table1[[#This Row],[Tiyaar/gaz]]/1.0936</f>
        <v>18332.114118507681</v>
      </c>
      <c r="J127" s="119" cm="1">
        <f t="array" ref="J12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183321.14118507682</v>
      </c>
      <c r="K127" s="117"/>
      <c r="P127"/>
      <c r="Q127"/>
    </row>
    <row r="128" spans="1:17" x14ac:dyDescent="0.3">
      <c r="A128" s="120">
        <v>46056</v>
      </c>
      <c r="B128" s="121" t="s">
        <v>21</v>
      </c>
      <c r="C128" s="117">
        <v>1440</v>
      </c>
      <c r="D128" s="117" t="s">
        <v>205</v>
      </c>
      <c r="E128" s="11">
        <v>2080</v>
      </c>
      <c r="F128" s="11">
        <v>53024</v>
      </c>
      <c r="G128" s="11">
        <v>4154</v>
      </c>
      <c r="H128" s="118">
        <f>_xlfn.XLOOKUP(Table1[[#This Row],[Shipment Number]], 'pivot '!A:A,'pivot '!G:G, "NF")</f>
        <v>8.0777461360749641</v>
      </c>
      <c r="I128" s="119">
        <f>Table1[[#This Row],[Tiyaar/gaz]]/1.0936</f>
        <v>3798.4637893196787</v>
      </c>
      <c r="J128" s="119" cm="1">
        <f t="array" ref="J12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41783.101682516462</v>
      </c>
      <c r="K128" s="117"/>
      <c r="P128"/>
      <c r="Q128"/>
    </row>
    <row r="129" spans="1:17" x14ac:dyDescent="0.3">
      <c r="A129" s="120">
        <v>46058</v>
      </c>
      <c r="B129" s="121" t="s">
        <v>188</v>
      </c>
      <c r="C129" s="117">
        <v>1441</v>
      </c>
      <c r="D129" s="117" t="s">
        <v>85</v>
      </c>
      <c r="E129" s="11">
        <v>2068</v>
      </c>
      <c r="F129" s="11">
        <v>52566</v>
      </c>
      <c r="G129" s="11">
        <v>52734</v>
      </c>
      <c r="H129" s="118">
        <f>_xlfn.XLOOKUP(Table1[[#This Row],[Shipment Number]], 'pivot '!A:A,'pivot '!G:G, "NF")</f>
        <v>0.95532112749133091</v>
      </c>
      <c r="I129" s="119">
        <f>Table1[[#This Row],[Tiyaar/gaz]]/1.0936</f>
        <v>48220.555961960505</v>
      </c>
      <c r="J129" s="119" cm="1">
        <f t="array" ref="J12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482205.55961960508</v>
      </c>
      <c r="K129" s="117"/>
      <c r="P129"/>
      <c r="Q129"/>
    </row>
    <row r="130" spans="1:17" x14ac:dyDescent="0.3">
      <c r="A130" s="120">
        <v>46058</v>
      </c>
      <c r="B130" s="121" t="s">
        <v>188</v>
      </c>
      <c r="C130" s="117">
        <v>1442</v>
      </c>
      <c r="D130" s="117" t="s">
        <v>85</v>
      </c>
      <c r="E130" s="11">
        <v>2067</v>
      </c>
      <c r="F130" s="11">
        <v>20322</v>
      </c>
      <c r="G130" s="11">
        <v>21839</v>
      </c>
      <c r="H130" s="118">
        <f>_xlfn.XLOOKUP(Table1[[#This Row],[Shipment Number]], 'pivot '!A:A,'pivot '!G:G, "NF")</f>
        <v>1.7329769064801326</v>
      </c>
      <c r="I130" s="119">
        <f>Table1[[#This Row],[Tiyaar/gaz]]/1.0936</f>
        <v>19969.824433065107</v>
      </c>
      <c r="J130" s="119" cm="1">
        <f t="array" ref="J13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199698.24433065107</v>
      </c>
      <c r="K130" s="117"/>
      <c r="P130"/>
      <c r="Q130"/>
    </row>
    <row r="131" spans="1:17" x14ac:dyDescent="0.3">
      <c r="A131" s="120">
        <v>46058</v>
      </c>
      <c r="B131" s="121" t="s">
        <v>21</v>
      </c>
      <c r="C131" s="117">
        <v>1443</v>
      </c>
      <c r="D131" s="117" t="s">
        <v>85</v>
      </c>
      <c r="E131" s="11">
        <v>2047</v>
      </c>
      <c r="F131" s="11">
        <v>70927</v>
      </c>
      <c r="G131" s="11">
        <v>27816</v>
      </c>
      <c r="H131" s="118">
        <f>_xlfn.XLOOKUP(Table1[[#This Row],[Shipment Number]], 'pivot '!A:A,'pivot '!G:G, "NF")</f>
        <v>-0.75063113666979575</v>
      </c>
      <c r="I131" s="119">
        <f>Table1[[#This Row],[Tiyaar/gaz]]/1.0936</f>
        <v>25435.259692757867</v>
      </c>
      <c r="J131" s="119" cm="1">
        <f t="array" ref="J13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254352.59692757868</v>
      </c>
      <c r="K131" s="117"/>
      <c r="O131"/>
      <c r="P131"/>
      <c r="Q131"/>
    </row>
    <row r="132" spans="1:17" x14ac:dyDescent="0.3">
      <c r="A132" s="120">
        <v>46058</v>
      </c>
      <c r="B132" s="121" t="s">
        <v>21</v>
      </c>
      <c r="C132" s="117">
        <v>1444</v>
      </c>
      <c r="D132" s="117" t="s">
        <v>85</v>
      </c>
      <c r="E132" s="11">
        <v>2047</v>
      </c>
      <c r="F132" s="11">
        <v>70927</v>
      </c>
      <c r="G132" s="11">
        <v>21465</v>
      </c>
      <c r="H132" s="118">
        <f>_xlfn.XLOOKUP(Table1[[#This Row],[Shipment Number]], 'pivot '!A:A,'pivot '!G:G, "NF")</f>
        <v>-0.75063113666979575</v>
      </c>
      <c r="I132" s="119">
        <f>Table1[[#This Row],[Tiyaar/gaz]]/1.0936</f>
        <v>19627.834674469643</v>
      </c>
      <c r="J132" s="119" cm="1">
        <f t="array" ref="J13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196278.34674469644</v>
      </c>
      <c r="K132" s="117"/>
      <c r="M132"/>
      <c r="N132"/>
    </row>
    <row r="133" spans="1:17" x14ac:dyDescent="0.3">
      <c r="A133" s="120">
        <v>46058</v>
      </c>
      <c r="B133" s="121" t="s">
        <v>21</v>
      </c>
      <c r="C133" s="117">
        <v>1445</v>
      </c>
      <c r="D133" s="117" t="s">
        <v>85</v>
      </c>
      <c r="E133" s="11">
        <v>2047</v>
      </c>
      <c r="F133" s="11">
        <v>70927</v>
      </c>
      <c r="G133" s="11">
        <v>24592</v>
      </c>
      <c r="H133" s="118">
        <f>_xlfn.XLOOKUP(Table1[[#This Row],[Shipment Number]], 'pivot '!A:A,'pivot '!G:G, "NF")</f>
        <v>-0.75063113666979575</v>
      </c>
      <c r="I133" s="119">
        <f>Table1[[#This Row],[Tiyaar/gaz]]/1.0936</f>
        <v>22487.198244330652</v>
      </c>
      <c r="J133" s="119" cm="1">
        <f t="array" ref="J13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224871.98244330651</v>
      </c>
      <c r="K133" s="117"/>
    </row>
    <row r="134" spans="1:17" x14ac:dyDescent="0.3">
      <c r="A134" s="120">
        <v>46058</v>
      </c>
      <c r="B134" s="121" t="s">
        <v>21</v>
      </c>
      <c r="C134" s="117">
        <v>1446</v>
      </c>
      <c r="D134" s="117" t="s">
        <v>85</v>
      </c>
      <c r="E134" s="11">
        <v>2049</v>
      </c>
      <c r="F134" s="11">
        <v>55052</v>
      </c>
      <c r="G134" s="11">
        <v>10863</v>
      </c>
      <c r="H134" s="118">
        <f>_xlfn.XLOOKUP(Table1[[#This Row],[Shipment Number]], 'pivot '!A:A,'pivot '!G:G, "NF")</f>
        <v>39.034829396650508</v>
      </c>
      <c r="I134" s="119">
        <f>Table1[[#This Row],[Tiyaar/gaz]]/1.0936</f>
        <v>9933.2479882955377</v>
      </c>
      <c r="J134" s="119" cm="1">
        <f t="array" ref="J13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99332.479882955377</v>
      </c>
      <c r="K134" s="117"/>
    </row>
    <row r="135" spans="1:17" x14ac:dyDescent="0.3">
      <c r="A135" s="120">
        <v>46058</v>
      </c>
      <c r="B135" s="121" t="s">
        <v>21</v>
      </c>
      <c r="C135" s="117">
        <v>1447</v>
      </c>
      <c r="D135" s="117" t="s">
        <v>85</v>
      </c>
      <c r="E135" s="11">
        <v>2061</v>
      </c>
      <c r="F135" s="11">
        <v>9163</v>
      </c>
      <c r="G135" s="11">
        <v>1734</v>
      </c>
      <c r="H135" s="118">
        <f>_xlfn.XLOOKUP(Table1[[#This Row],[Shipment Number]], 'pivot '!A:A,'pivot '!G:G, "NF")</f>
        <v>16.133241884903185</v>
      </c>
      <c r="I135" s="119">
        <f>Table1[[#This Row],[Tiyaar/gaz]]/1.0936</f>
        <v>1585.5888807607903</v>
      </c>
      <c r="J135" s="119" cm="1">
        <f t="array" ref="J13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15855.888807607902</v>
      </c>
      <c r="K135" s="117"/>
    </row>
    <row r="136" spans="1:17" x14ac:dyDescent="0.3">
      <c r="A136" s="123">
        <v>46058</v>
      </c>
      <c r="B136" s="124" t="s">
        <v>21</v>
      </c>
      <c r="C136" s="125">
        <v>1448</v>
      </c>
      <c r="D136" s="125" t="s">
        <v>85</v>
      </c>
      <c r="E136" s="126" t="s">
        <v>302</v>
      </c>
      <c r="F136" s="126">
        <v>61388</v>
      </c>
      <c r="G136" s="126">
        <v>2168</v>
      </c>
      <c r="H136" s="127">
        <f>_xlfn.XLOOKUP(Table1[[#This Row],[Shipment Number]], 'pivot '!A:A,'pivot '!G:G, "NF")</f>
        <v>20.618366184765776</v>
      </c>
      <c r="I136" s="128">
        <f>Table1[[#This Row],[Tiyaar/gaz]]/1.0936</f>
        <v>1982.4433065106073</v>
      </c>
      <c r="J136" s="128" cm="1">
        <f t="array" ref="J13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19824.433065106074</v>
      </c>
      <c r="K136" s="125"/>
    </row>
    <row r="137" spans="1:17" x14ac:dyDescent="0.3">
      <c r="A137" s="120">
        <v>46059</v>
      </c>
      <c r="B137" s="121" t="s">
        <v>21</v>
      </c>
      <c r="C137" s="117">
        <v>1449</v>
      </c>
      <c r="D137" s="117" t="s">
        <v>85</v>
      </c>
      <c r="E137" s="11">
        <v>2049</v>
      </c>
      <c r="F137" s="11">
        <v>55052</v>
      </c>
      <c r="G137" s="11">
        <v>13126</v>
      </c>
      <c r="H137" s="118">
        <f>_xlfn.XLOOKUP(Table1[[#This Row],[Shipment Number]], 'pivot '!A:A,'pivot '!G:G, "NF")</f>
        <v>39.034829396650508</v>
      </c>
      <c r="I137" s="119">
        <f>Table1[[#This Row],[Tiyaar/gaz]]/1.0936</f>
        <v>12002.56035113387</v>
      </c>
      <c r="J137" s="119" cm="1">
        <f t="array" ref="J13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120025.6035113387</v>
      </c>
      <c r="K137" s="117"/>
    </row>
    <row r="138" spans="1:17" x14ac:dyDescent="0.3">
      <c r="A138" s="120">
        <v>46059</v>
      </c>
      <c r="B138" s="121" t="s">
        <v>21</v>
      </c>
      <c r="C138" s="117">
        <v>1450</v>
      </c>
      <c r="D138" s="117" t="s">
        <v>85</v>
      </c>
      <c r="E138" s="11">
        <v>2047</v>
      </c>
      <c r="F138" s="11">
        <v>70927</v>
      </c>
      <c r="G138" s="11">
        <v>2252</v>
      </c>
      <c r="H138" s="118">
        <f>_xlfn.XLOOKUP(Table1[[#This Row],[Shipment Number]], 'pivot '!A:A,'pivot '!G:G, "NF")</f>
        <v>-0.75063113666979575</v>
      </c>
      <c r="I138" s="119">
        <f>Table1[[#This Row],[Tiyaar/gaz]]/1.0936</f>
        <v>2059.253840526701</v>
      </c>
      <c r="J138" s="119" cm="1">
        <f t="array" ref="J13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20592.538405267009</v>
      </c>
      <c r="K138" s="117"/>
    </row>
    <row r="139" spans="1:17" x14ac:dyDescent="0.3">
      <c r="A139" s="120">
        <v>46059</v>
      </c>
      <c r="B139" s="121" t="s">
        <v>152</v>
      </c>
      <c r="C139" s="117">
        <v>1451</v>
      </c>
      <c r="D139" s="117" t="s">
        <v>86</v>
      </c>
      <c r="E139" s="11">
        <v>2055</v>
      </c>
      <c r="F139" s="11">
        <v>47813</v>
      </c>
      <c r="G139" s="11">
        <v>30736</v>
      </c>
      <c r="H139" s="118">
        <f>_xlfn.XLOOKUP(Table1[[#This Row],[Shipment Number]], 'pivot '!A:A,'pivot '!G:G, "NF")</f>
        <v>3.5156945483066409</v>
      </c>
      <c r="I139" s="119">
        <f>Table1[[#This Row],[Tiyaar/gaz]]/1.0936</f>
        <v>28105.340160936361</v>
      </c>
      <c r="J139" s="119" cm="1">
        <f t="array" ref="J13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365369.42209217267</v>
      </c>
      <c r="K139" s="117"/>
    </row>
    <row r="140" spans="1:17" x14ac:dyDescent="0.3">
      <c r="A140" s="120">
        <v>46059</v>
      </c>
      <c r="B140" s="121" t="s">
        <v>152</v>
      </c>
      <c r="C140" s="117">
        <v>1452</v>
      </c>
      <c r="D140" s="117" t="s">
        <v>86</v>
      </c>
      <c r="E140" s="11">
        <v>2055</v>
      </c>
      <c r="F140" s="11">
        <v>47813</v>
      </c>
      <c r="G140" s="11">
        <v>19714</v>
      </c>
      <c r="H140" s="118">
        <f>_xlfn.XLOOKUP(Table1[[#This Row],[Shipment Number]], 'pivot '!A:A,'pivot '!G:G, "NF")</f>
        <v>3.5156945483066409</v>
      </c>
      <c r="I140" s="119">
        <f>Table1[[#This Row],[Tiyaar/gaz]]/1.0936</f>
        <v>18026.700804681786</v>
      </c>
      <c r="J140" s="119" cm="1">
        <f t="array" ref="J14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234347.11046086322</v>
      </c>
      <c r="K140" s="117"/>
    </row>
    <row r="141" spans="1:17" x14ac:dyDescent="0.3">
      <c r="A141" s="120">
        <v>46060</v>
      </c>
      <c r="B141" s="121" t="s">
        <v>21</v>
      </c>
      <c r="C141" s="117">
        <v>1453</v>
      </c>
      <c r="D141" s="117" t="s">
        <v>86</v>
      </c>
      <c r="E141" s="11">
        <v>2087</v>
      </c>
      <c r="F141" s="11">
        <v>25142</v>
      </c>
      <c r="G141" s="11">
        <v>15225</v>
      </c>
      <c r="H141" s="118">
        <f>_xlfn.XLOOKUP(Table1[[#This Row],[Shipment Number]], 'pivot '!A:A,'pivot '!G:G, "NF")</f>
        <v>-3.5522766167321151</v>
      </c>
      <c r="I141" s="119">
        <f>Table1[[#This Row],[Tiyaar/gaz]]/1.0936</f>
        <v>13921.909290416972</v>
      </c>
      <c r="J141" s="119" cm="1">
        <f t="array" ref="J14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180984.82077542064</v>
      </c>
      <c r="K141" s="117"/>
    </row>
    <row r="142" spans="1:17" x14ac:dyDescent="0.3">
      <c r="A142" s="120">
        <v>46060</v>
      </c>
      <c r="B142" s="121" t="s">
        <v>335</v>
      </c>
      <c r="C142" s="117">
        <v>1454</v>
      </c>
      <c r="D142" s="117" t="s">
        <v>86</v>
      </c>
      <c r="E142" s="11">
        <v>2077</v>
      </c>
      <c r="F142" s="11">
        <v>62470</v>
      </c>
      <c r="G142" s="11">
        <v>12000</v>
      </c>
      <c r="H142" s="118">
        <f>_xlfn.XLOOKUP(Table1[[#This Row],[Shipment Number]], 'pivot '!A:A,'pivot '!G:G, "NF")</f>
        <v>3.3420460255450735</v>
      </c>
      <c r="I142" s="119">
        <f>Table1[[#This Row],[Tiyaar/gaz]]/1.0936</f>
        <v>10972.93343087052</v>
      </c>
      <c r="J142" s="119" cm="1">
        <f t="array" ref="J14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142648.13460131676</v>
      </c>
      <c r="K142" s="117"/>
    </row>
    <row r="143" spans="1:17" x14ac:dyDescent="0.3">
      <c r="A143" s="120">
        <v>46060</v>
      </c>
      <c r="B143" s="121" t="s">
        <v>21</v>
      </c>
      <c r="C143" s="117">
        <v>1455</v>
      </c>
      <c r="D143" s="117" t="s">
        <v>86</v>
      </c>
      <c r="E143" s="11">
        <v>2087</v>
      </c>
      <c r="F143" s="11">
        <v>25142</v>
      </c>
      <c r="G143" s="11">
        <v>11802</v>
      </c>
      <c r="H143" s="118">
        <f>_xlfn.XLOOKUP(Table1[[#This Row],[Shipment Number]], 'pivot '!A:A,'pivot '!G:G, "NF")</f>
        <v>-3.5522766167321151</v>
      </c>
      <c r="I143" s="119">
        <f>Table1[[#This Row],[Tiyaar/gaz]]/1.0936</f>
        <v>10791.880029261156</v>
      </c>
      <c r="J143" s="119" cm="1">
        <f t="array" ref="J14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140294.44038039504</v>
      </c>
      <c r="K143" s="117"/>
    </row>
    <row r="144" spans="1:17" x14ac:dyDescent="0.3">
      <c r="A144" s="120">
        <v>46062</v>
      </c>
      <c r="B144" s="121" t="s">
        <v>335</v>
      </c>
      <c r="C144" s="117">
        <v>1456</v>
      </c>
      <c r="D144" s="117" t="s">
        <v>86</v>
      </c>
      <c r="E144" s="11">
        <v>2077</v>
      </c>
      <c r="F144" s="11">
        <v>62470</v>
      </c>
      <c r="G144" s="11">
        <v>34623</v>
      </c>
      <c r="H144" s="118">
        <f>_xlfn.XLOOKUP(Table1[[#This Row],[Shipment Number]], 'pivot '!A:A,'pivot '!G:G, "NF")</f>
        <v>3.3420460255450735</v>
      </c>
      <c r="I144" s="119">
        <f>Table1[[#This Row],[Tiyaar/gaz]]/1.0936</f>
        <v>31659.65618141917</v>
      </c>
      <c r="J144" s="119" cm="1">
        <f t="array" ref="J14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411575.53035844921</v>
      </c>
      <c r="K144" s="117"/>
    </row>
    <row r="145" spans="1:11" x14ac:dyDescent="0.3">
      <c r="A145" s="120">
        <v>46062</v>
      </c>
      <c r="B145" s="121" t="s">
        <v>335</v>
      </c>
      <c r="C145" s="117">
        <v>1457</v>
      </c>
      <c r="D145" s="117" t="s">
        <v>86</v>
      </c>
      <c r="E145" s="11">
        <v>2077</v>
      </c>
      <c r="F145" s="11">
        <v>62470</v>
      </c>
      <c r="G145" s="11">
        <v>17989</v>
      </c>
      <c r="H145" s="118">
        <f>_xlfn.XLOOKUP(Table1[[#This Row],[Shipment Number]], 'pivot '!A:A,'pivot '!G:G, "NF")</f>
        <v>3.3420460255450735</v>
      </c>
      <c r="I145" s="119">
        <f>Table1[[#This Row],[Tiyaar/gaz]]/1.0936</f>
        <v>16449.341623994151</v>
      </c>
      <c r="J145" s="119" cm="1">
        <f t="array" ref="J14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213841.44111192395</v>
      </c>
      <c r="K145" s="117"/>
    </row>
    <row r="146" spans="1:11" x14ac:dyDescent="0.3">
      <c r="A146" s="120">
        <v>46062</v>
      </c>
      <c r="B146" s="121" t="s">
        <v>438</v>
      </c>
      <c r="C146" s="117">
        <v>1458</v>
      </c>
      <c r="D146" s="117" t="s">
        <v>86</v>
      </c>
      <c r="E146" s="11">
        <v>2076</v>
      </c>
      <c r="F146" s="11">
        <v>50784</v>
      </c>
      <c r="G146" s="11">
        <v>32775</v>
      </c>
      <c r="H146" s="118">
        <f>_xlfn.XLOOKUP(Table1[[#This Row],[Shipment Number]], 'pivot '!A:A,'pivot '!G:G, "NF")</f>
        <v>3.5946641950485514</v>
      </c>
      <c r="I146" s="119">
        <f>Table1[[#This Row],[Tiyaar/gaz]]/1.0936</f>
        <v>29969.824433065107</v>
      </c>
      <c r="J146" s="119" cm="1">
        <f t="array" ref="J14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389607.71762984642</v>
      </c>
      <c r="K146" s="117"/>
    </row>
    <row r="147" spans="1:11" x14ac:dyDescent="0.3">
      <c r="A147" s="120">
        <v>46062</v>
      </c>
      <c r="B147" s="121" t="s">
        <v>178</v>
      </c>
      <c r="C147" s="117">
        <v>1459</v>
      </c>
      <c r="D147" s="117" t="s">
        <v>85</v>
      </c>
      <c r="E147" s="11">
        <v>2070</v>
      </c>
      <c r="F147" s="11">
        <v>60945</v>
      </c>
      <c r="G147" s="11">
        <v>16899</v>
      </c>
      <c r="H147" s="118">
        <f>_xlfn.XLOOKUP(Table1[[#This Row],[Shipment Number]], 'pivot '!A:A,'pivot '!G:G, "NF")</f>
        <v>2.4913213089883897</v>
      </c>
      <c r="I147" s="119">
        <f>Table1[[#This Row],[Tiyaar/gaz]]/1.0936</f>
        <v>15452.63350402341</v>
      </c>
      <c r="J147" s="119" cm="1">
        <f t="array" ref="J14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154526.33504023409</v>
      </c>
      <c r="K147" s="117"/>
    </row>
    <row r="148" spans="1:11" x14ac:dyDescent="0.3">
      <c r="A148" s="120">
        <v>46062</v>
      </c>
      <c r="B148" s="121" t="s">
        <v>438</v>
      </c>
      <c r="C148" s="117">
        <v>1460</v>
      </c>
      <c r="D148" s="117" t="s">
        <v>86</v>
      </c>
      <c r="E148" s="11">
        <v>2076</v>
      </c>
      <c r="F148" s="11">
        <v>50784</v>
      </c>
      <c r="G148" s="11">
        <v>12214</v>
      </c>
      <c r="H148" s="118">
        <f>_xlfn.XLOOKUP(Table1[[#This Row],[Shipment Number]], 'pivot '!A:A,'pivot '!G:G, "NF")</f>
        <v>3.5946641950485514</v>
      </c>
      <c r="I148" s="119">
        <f>Table1[[#This Row],[Tiyaar/gaz]]/1.0936</f>
        <v>11168.617410387711</v>
      </c>
      <c r="J148" s="119" cm="1">
        <f t="array" ref="J14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145192.02633504025</v>
      </c>
      <c r="K148" s="117"/>
    </row>
    <row r="149" spans="1:11" x14ac:dyDescent="0.3">
      <c r="A149" s="120">
        <v>46062</v>
      </c>
      <c r="B149" s="121" t="s">
        <v>27</v>
      </c>
      <c r="C149" s="117">
        <v>1461</v>
      </c>
      <c r="D149" s="117" t="s">
        <v>85</v>
      </c>
      <c r="E149" s="11">
        <v>1990</v>
      </c>
      <c r="F149" s="11">
        <v>45681</v>
      </c>
      <c r="G149" s="11">
        <v>18843</v>
      </c>
      <c r="H149" s="118">
        <f>_xlfn.XLOOKUP(Table1[[#This Row],[Shipment Number]], 'pivot '!A:A,'pivot '!G:G, "NF")</f>
        <v>2.53567698658712</v>
      </c>
      <c r="I149" s="119">
        <f>Table1[[#This Row],[Tiyaar/gaz]]/1.0936</f>
        <v>17230.248719824434</v>
      </c>
      <c r="J149" s="119" cm="1">
        <f t="array" ref="J14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172302.48719824434</v>
      </c>
      <c r="K149" s="117"/>
    </row>
    <row r="150" spans="1:11" x14ac:dyDescent="0.3">
      <c r="A150" s="120">
        <v>46063</v>
      </c>
      <c r="B150" s="121" t="s">
        <v>25</v>
      </c>
      <c r="C150" s="117">
        <v>1462</v>
      </c>
      <c r="D150" s="117" t="s">
        <v>85</v>
      </c>
      <c r="E150" s="11">
        <v>2064</v>
      </c>
      <c r="F150" s="11">
        <v>34568</v>
      </c>
      <c r="G150" s="11">
        <v>36850</v>
      </c>
      <c r="H150" s="118">
        <f>_xlfn.XLOOKUP(Table1[[#This Row],[Shipment Number]], 'pivot '!A:A,'pivot '!G:G, "NF")</f>
        <v>2.52242031947209</v>
      </c>
      <c r="I150" s="119">
        <f>Table1[[#This Row],[Tiyaar/gaz]]/1.0936</f>
        <v>33696.04974396489</v>
      </c>
      <c r="J150" s="119" cm="1">
        <f t="array" ref="J15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336960.4974396489</v>
      </c>
      <c r="K150" s="117"/>
    </row>
    <row r="151" spans="1:11" x14ac:dyDescent="0.3">
      <c r="A151" s="120">
        <v>46063</v>
      </c>
      <c r="B151" s="121" t="s">
        <v>25</v>
      </c>
      <c r="C151" s="117">
        <v>1463</v>
      </c>
      <c r="D151" s="117" t="s">
        <v>197</v>
      </c>
      <c r="E151" s="11">
        <v>2062</v>
      </c>
      <c r="F151" s="11">
        <v>27813</v>
      </c>
      <c r="G151" s="11">
        <v>10710</v>
      </c>
      <c r="H151" s="118">
        <f>_xlfn.XLOOKUP(Table1[[#This Row],[Shipment Number]], 'pivot '!A:A,'pivot '!G:G, "NF")</f>
        <v>3.4333462974361737</v>
      </c>
      <c r="I151" s="119">
        <f>Table1[[#This Row],[Tiyaar/gaz]]/1.0936</f>
        <v>9793.3430870519387</v>
      </c>
      <c r="J151" s="119" cm="1">
        <f t="array" ref="J15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117520.11704462327</v>
      </c>
      <c r="K151" s="117"/>
    </row>
    <row r="152" spans="1:11" x14ac:dyDescent="0.3">
      <c r="A152" s="120">
        <v>46063</v>
      </c>
      <c r="B152" s="121" t="s">
        <v>25</v>
      </c>
      <c r="C152" s="117">
        <v>1464</v>
      </c>
      <c r="D152" s="117" t="s">
        <v>85</v>
      </c>
      <c r="E152" s="11">
        <v>2063</v>
      </c>
      <c r="F152" s="11">
        <v>24175</v>
      </c>
      <c r="G152" s="11">
        <v>25825</v>
      </c>
      <c r="H152" s="118">
        <f>_xlfn.XLOOKUP(Table1[[#This Row],[Shipment Number]], 'pivot '!A:A,'pivot '!G:G, "NF")</f>
        <v>2.3178194235673288</v>
      </c>
      <c r="I152" s="119">
        <f>Table1[[#This Row],[Tiyaar/gaz]]/1.0936</f>
        <v>23614.667154352599</v>
      </c>
      <c r="J152" s="119" cm="1">
        <f t="array" ref="J15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236146.671543526</v>
      </c>
      <c r="K152" s="117"/>
    </row>
    <row r="153" spans="1:11" x14ac:dyDescent="0.3">
      <c r="A153" s="120">
        <v>46063</v>
      </c>
      <c r="B153" s="121" t="s">
        <v>25</v>
      </c>
      <c r="C153" s="117">
        <v>1465</v>
      </c>
      <c r="D153" s="117" t="s">
        <v>197</v>
      </c>
      <c r="E153" s="11">
        <v>2062</v>
      </c>
      <c r="F153" s="11">
        <v>27813</v>
      </c>
      <c r="G153" s="11">
        <v>18662</v>
      </c>
      <c r="H153" s="118">
        <f>_xlfn.XLOOKUP(Table1[[#This Row],[Shipment Number]], 'pivot '!A:A,'pivot '!G:G, "NF")</f>
        <v>3.4333462974361737</v>
      </c>
      <c r="I153" s="119">
        <f>Table1[[#This Row],[Tiyaar/gaz]]/1.0936</f>
        <v>17064.740307242137</v>
      </c>
      <c r="J153" s="119" cm="1">
        <f t="array" ref="J15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204776.88368690564</v>
      </c>
      <c r="K153" s="117"/>
    </row>
    <row r="154" spans="1:11" x14ac:dyDescent="0.3">
      <c r="A154" s="120">
        <v>46063</v>
      </c>
      <c r="B154" s="121" t="s">
        <v>188</v>
      </c>
      <c r="C154" s="117">
        <v>1466</v>
      </c>
      <c r="D154" s="117" t="s">
        <v>85</v>
      </c>
      <c r="E154" s="11">
        <v>2068</v>
      </c>
      <c r="F154" s="11">
        <v>52566</v>
      </c>
      <c r="G154" s="11">
        <v>4203</v>
      </c>
      <c r="H154" s="118">
        <f>_xlfn.XLOOKUP(Table1[[#This Row],[Shipment Number]], 'pivot '!A:A,'pivot '!G:G, "NF")</f>
        <v>0.95532112749133091</v>
      </c>
      <c r="I154" s="119">
        <f>Table1[[#This Row],[Tiyaar/gaz]]/1.0936</f>
        <v>3843.2699341623997</v>
      </c>
      <c r="J154" s="119" cm="1">
        <f t="array" ref="J15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38432.699341624</v>
      </c>
      <c r="K154" s="117"/>
    </row>
    <row r="155" spans="1:11" x14ac:dyDescent="0.3">
      <c r="A155" s="120">
        <v>46063</v>
      </c>
      <c r="B155" s="121" t="s">
        <v>21</v>
      </c>
      <c r="C155" s="117">
        <v>1467</v>
      </c>
      <c r="D155" s="117" t="s">
        <v>85</v>
      </c>
      <c r="E155" s="11">
        <v>2047</v>
      </c>
      <c r="F155" s="11">
        <v>70927</v>
      </c>
      <c r="G155" s="11">
        <v>2023</v>
      </c>
      <c r="H155" s="118">
        <f>_xlfn.XLOOKUP(Table1[[#This Row],[Shipment Number]], 'pivot '!A:A,'pivot '!G:G, "NF")</f>
        <v>-0.75063113666979575</v>
      </c>
      <c r="I155" s="119">
        <f>Table1[[#This Row],[Tiyaar/gaz]]/1.0936</f>
        <v>1849.8536942209219</v>
      </c>
      <c r="J155" s="119" cm="1">
        <f t="array" ref="J15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18498.536942209219</v>
      </c>
      <c r="K155" s="117"/>
    </row>
    <row r="156" spans="1:11" x14ac:dyDescent="0.3">
      <c r="A156" s="120">
        <v>46063</v>
      </c>
      <c r="B156" s="121" t="s">
        <v>21</v>
      </c>
      <c r="C156" s="117">
        <v>1468</v>
      </c>
      <c r="D156" s="117" t="s">
        <v>205</v>
      </c>
      <c r="E156" s="11">
        <v>2080</v>
      </c>
      <c r="F156" s="11">
        <v>53024</v>
      </c>
      <c r="G156" s="11">
        <v>8439</v>
      </c>
      <c r="H156" s="118">
        <f>_xlfn.XLOOKUP(Table1[[#This Row],[Shipment Number]], 'pivot '!A:A,'pivot '!G:G, "NF")</f>
        <v>8.0777461360749641</v>
      </c>
      <c r="I156" s="119">
        <f>Table1[[#This Row],[Tiyaar/gaz]]/1.0936</f>
        <v>7716.7154352596935</v>
      </c>
      <c r="J156" s="119" cm="1">
        <f t="array" ref="J15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84883.869787856631</v>
      </c>
      <c r="K156" s="117"/>
    </row>
    <row r="157" spans="1:11" x14ac:dyDescent="0.3">
      <c r="A157" s="120">
        <v>46063</v>
      </c>
      <c r="B157" s="121" t="s">
        <v>27</v>
      </c>
      <c r="C157" s="117">
        <v>1469</v>
      </c>
      <c r="D157" s="117" t="s">
        <v>85</v>
      </c>
      <c r="E157" s="11">
        <v>1990</v>
      </c>
      <c r="F157" s="11">
        <v>45681</v>
      </c>
      <c r="G157" s="11">
        <v>29847</v>
      </c>
      <c r="H157" s="118">
        <f>_xlfn.XLOOKUP(Table1[[#This Row],[Shipment Number]], 'pivot '!A:A,'pivot '!G:G, "NF")</f>
        <v>2.53567698658712</v>
      </c>
      <c r="I157" s="119">
        <f>Table1[[#This Row],[Tiyaar/gaz]]/1.0936</f>
        <v>27292.428675932701</v>
      </c>
      <c r="J157" s="119" cm="1">
        <f t="array" ref="J15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272924.28675932699</v>
      </c>
      <c r="K157" s="117"/>
    </row>
    <row r="158" spans="1:11" x14ac:dyDescent="0.3">
      <c r="A158" s="139">
        <v>46064</v>
      </c>
      <c r="B158" s="121" t="s">
        <v>178</v>
      </c>
      <c r="C158" s="117">
        <v>1470</v>
      </c>
      <c r="D158" s="117" t="s">
        <v>85</v>
      </c>
      <c r="E158" s="11">
        <v>2070</v>
      </c>
      <c r="F158" s="11">
        <v>60945</v>
      </c>
      <c r="G158" s="11">
        <v>48090</v>
      </c>
      <c r="H158" s="118">
        <f>_xlfn.XLOOKUP(Table1[[#This Row],[Shipment Number]], 'pivot '!A:A,'pivot '!G:G, "NF")</f>
        <v>2.4913213089883897</v>
      </c>
      <c r="I158" s="119">
        <f>Table1[[#This Row],[Tiyaar/gaz]]/1.0936</f>
        <v>43974.030724213611</v>
      </c>
      <c r="J158" s="119" cm="1">
        <f t="array" ref="J15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439740.3072421361</v>
      </c>
      <c r="K158" s="117"/>
    </row>
    <row r="159" spans="1:11" x14ac:dyDescent="0.3">
      <c r="A159" s="139">
        <v>46064</v>
      </c>
      <c r="B159" s="121" t="s">
        <v>178</v>
      </c>
      <c r="C159" s="117">
        <v>1471</v>
      </c>
      <c r="D159" s="117" t="s">
        <v>85</v>
      </c>
      <c r="E159" s="11">
        <v>2072</v>
      </c>
      <c r="F159" s="11">
        <v>15104</v>
      </c>
      <c r="G159" s="11">
        <v>15955</v>
      </c>
      <c r="H159" s="118">
        <f>_xlfn.XLOOKUP(Table1[[#This Row],[Shipment Number]], 'pivot '!A:A,'pivot '!G:G, "NF")</f>
        <v>3.4068497917002247</v>
      </c>
      <c r="I159" s="119">
        <f>Table1[[#This Row],[Tiyaar/gaz]]/1.0936</f>
        <v>14589.429407461595</v>
      </c>
      <c r="J159" s="119" cm="1">
        <f t="array" ref="J15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145894.29407461596</v>
      </c>
      <c r="K159" s="117"/>
    </row>
    <row r="160" spans="1:11" x14ac:dyDescent="0.3">
      <c r="A160" s="139">
        <v>46064</v>
      </c>
      <c r="B160" s="121" t="s">
        <v>21</v>
      </c>
      <c r="C160" s="117">
        <v>1472</v>
      </c>
      <c r="D160" s="117" t="s">
        <v>85</v>
      </c>
      <c r="E160" s="11" t="s">
        <v>519</v>
      </c>
      <c r="F160" s="11">
        <v>39029</v>
      </c>
      <c r="G160" s="11">
        <v>23896</v>
      </c>
      <c r="H160" s="118">
        <f>_xlfn.XLOOKUP(Table1[[#This Row],[Shipment Number]], 'pivot '!A:A,'pivot '!G:G, "NF")</f>
        <v>27.714452684190363</v>
      </c>
      <c r="I160" s="119">
        <f>Table1[[#This Row],[Tiyaar/gaz]]/1.0936</f>
        <v>21850.768105340161</v>
      </c>
      <c r="J160" s="119" cm="1">
        <f t="array" ref="J16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218507.68105340161</v>
      </c>
      <c r="K160" s="117"/>
    </row>
    <row r="161" spans="1:12" x14ac:dyDescent="0.3">
      <c r="A161" s="139">
        <v>46064</v>
      </c>
      <c r="B161" s="121" t="s">
        <v>21</v>
      </c>
      <c r="C161" s="117">
        <v>1473</v>
      </c>
      <c r="D161" s="117" t="s">
        <v>85</v>
      </c>
      <c r="E161" s="11">
        <v>2035</v>
      </c>
      <c r="F161" s="11">
        <v>61388</v>
      </c>
      <c r="G161" s="11">
        <v>5309</v>
      </c>
      <c r="H161" s="118">
        <f>_xlfn.XLOOKUP(Table1[[#This Row],[Shipment Number]], 'pivot '!A:A,'pivot '!G:G, "NF")</f>
        <v>85.554246702316647</v>
      </c>
      <c r="I161" s="119">
        <f>Table1[[#This Row],[Tiyaar/gaz]]/1.0936</f>
        <v>4854.6086320409659</v>
      </c>
      <c r="J161" s="119" cm="1">
        <f t="array" ref="J16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48546.08632040966</v>
      </c>
      <c r="K161" s="117"/>
    </row>
    <row r="162" spans="1:12" x14ac:dyDescent="0.3">
      <c r="A162" s="139">
        <v>46064</v>
      </c>
      <c r="B162" s="121" t="s">
        <v>9</v>
      </c>
      <c r="C162" s="117">
        <v>1474</v>
      </c>
      <c r="D162" s="117" t="s">
        <v>85</v>
      </c>
      <c r="E162" s="11">
        <v>2078</v>
      </c>
      <c r="F162" s="11">
        <v>25072</v>
      </c>
      <c r="G162" s="11">
        <v>4507</v>
      </c>
      <c r="H162" s="118">
        <f>_xlfn.XLOOKUP(Table1[[#This Row],[Shipment Number]], 'pivot '!A:A,'pivot '!G:G, "NF")</f>
        <v>2.4389859618344332</v>
      </c>
      <c r="I162" s="119">
        <f>Table1[[#This Row],[Tiyaar/gaz]]/1.0936</f>
        <v>4121.25091441112</v>
      </c>
      <c r="J162" s="119" cm="1">
        <f t="array" ref="J16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41212.509144111202</v>
      </c>
      <c r="K162" s="117"/>
    </row>
    <row r="163" spans="1:12" x14ac:dyDescent="0.3">
      <c r="A163" s="120">
        <v>46065</v>
      </c>
      <c r="B163" s="121" t="s">
        <v>175</v>
      </c>
      <c r="C163" s="117">
        <v>1475</v>
      </c>
      <c r="D163" s="117" t="s">
        <v>86</v>
      </c>
      <c r="E163" s="11">
        <v>2091</v>
      </c>
      <c r="F163" s="11">
        <v>17444</v>
      </c>
      <c r="G163" s="11">
        <v>18354</v>
      </c>
      <c r="H163" s="118">
        <f>_xlfn.XLOOKUP(Table1[[#This Row],[Shipment Number]], 'pivot '!A:A,'pivot '!G:G, "NF")</f>
        <v>3.7886856081376976</v>
      </c>
      <c r="I163" s="119">
        <f>Table1[[#This Row],[Tiyaar/gaz]]/1.0936</f>
        <v>16783.101682516462</v>
      </c>
      <c r="J163" s="119" cm="1">
        <f t="array" ref="J16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218180.321872714</v>
      </c>
      <c r="K163" s="117"/>
      <c r="L163"/>
    </row>
    <row r="164" spans="1:12" x14ac:dyDescent="0.3">
      <c r="A164" s="120">
        <v>46065</v>
      </c>
      <c r="B164" s="121" t="s">
        <v>175</v>
      </c>
      <c r="C164" s="117">
        <v>1476</v>
      </c>
      <c r="D164" s="117" t="s">
        <v>86</v>
      </c>
      <c r="E164" s="11">
        <v>2090</v>
      </c>
      <c r="F164" s="11">
        <v>50157</v>
      </c>
      <c r="G164" s="11">
        <v>29733</v>
      </c>
      <c r="H164" s="118">
        <f>_xlfn.XLOOKUP(Table1[[#This Row],[Shipment Number]], 'pivot '!A:A,'pivot '!G:G, "NF")</f>
        <v>5.0494249811261938</v>
      </c>
      <c r="I164" s="119">
        <f>Table1[[#This Row],[Tiyaar/gaz]]/1.0936</f>
        <v>27188.185808339433</v>
      </c>
      <c r="J164" s="119" cm="1">
        <f t="array" ref="J16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353446.41550841264</v>
      </c>
      <c r="K164" s="117"/>
    </row>
    <row r="165" spans="1:12" x14ac:dyDescent="0.3">
      <c r="A165" s="120">
        <v>46065</v>
      </c>
      <c r="B165" s="121" t="s">
        <v>513</v>
      </c>
      <c r="C165" s="117">
        <v>1477</v>
      </c>
      <c r="D165" s="117" t="s">
        <v>86</v>
      </c>
      <c r="E165" s="11">
        <v>2087</v>
      </c>
      <c r="F165" s="11">
        <v>1400</v>
      </c>
      <c r="G165" s="11">
        <v>1445</v>
      </c>
      <c r="H165" s="118">
        <f>_xlfn.XLOOKUP(Table1[[#This Row],[Shipment Number]], 'pivot '!A:A,'pivot '!G:G, "NF")</f>
        <v>-3.5522766167321151</v>
      </c>
      <c r="I165" s="119">
        <f>Table1[[#This Row],[Tiyaar/gaz]]/1.0936</f>
        <v>1321.3240673006585</v>
      </c>
      <c r="J165" s="119">
        <f>Table1[[#This Row],[tiyar/meters]]*12</f>
        <v>15855.888807607902</v>
      </c>
      <c r="K165" s="117"/>
    </row>
    <row r="166" spans="1:12" x14ac:dyDescent="0.3">
      <c r="A166" s="120">
        <v>46066</v>
      </c>
      <c r="B166" s="121" t="s">
        <v>22</v>
      </c>
      <c r="C166" s="117">
        <v>1478</v>
      </c>
      <c r="D166" s="117" t="s">
        <v>86</v>
      </c>
      <c r="E166" s="11">
        <v>2083</v>
      </c>
      <c r="F166" s="11">
        <v>20008</v>
      </c>
      <c r="G166" s="11">
        <v>20873</v>
      </c>
      <c r="H166" s="118">
        <f>_xlfn.XLOOKUP(Table1[[#This Row],[Shipment Number]], 'pivot '!A:A,'pivot '!G:G, "NF")</f>
        <v>4.6056412840862038</v>
      </c>
      <c r="I166" s="119">
        <f>Table1[[#This Row],[Tiyaar/gaz]]/1.0936</f>
        <v>19086.503291880032</v>
      </c>
      <c r="J166" s="119" cm="1">
        <f t="array" ref="J16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248124.54279444041</v>
      </c>
      <c r="K166" s="117"/>
    </row>
    <row r="167" spans="1:12" x14ac:dyDescent="0.3">
      <c r="A167" s="120">
        <v>46066</v>
      </c>
      <c r="B167" s="121" t="s">
        <v>438</v>
      </c>
      <c r="C167" s="117">
        <v>1479</v>
      </c>
      <c r="D167" s="117" t="s">
        <v>86</v>
      </c>
      <c r="E167" s="11">
        <v>2076</v>
      </c>
      <c r="F167" s="11">
        <v>50784</v>
      </c>
      <c r="G167" s="11">
        <v>8552</v>
      </c>
      <c r="H167" s="118">
        <f>_xlfn.XLOOKUP(Table1[[#This Row],[Shipment Number]], 'pivot '!A:A,'pivot '!G:G, "NF")</f>
        <v>3.5946641950485514</v>
      </c>
      <c r="I167" s="119">
        <f>Table1[[#This Row],[Tiyaar/gaz]]/1.0936</f>
        <v>7820.0438917337242</v>
      </c>
      <c r="J167" s="119" cm="1">
        <f t="array" ref="J16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101660.57059253841</v>
      </c>
      <c r="K167" s="117"/>
    </row>
    <row r="168" spans="1:12" x14ac:dyDescent="0.3">
      <c r="A168" s="120">
        <v>46066</v>
      </c>
      <c r="B168" s="121" t="s">
        <v>335</v>
      </c>
      <c r="C168" s="117">
        <v>1480</v>
      </c>
      <c r="D168" s="117" t="s">
        <v>86</v>
      </c>
      <c r="E168" s="11">
        <v>2077</v>
      </c>
      <c r="F168" s="11">
        <v>62470</v>
      </c>
      <c r="G168" s="11">
        <v>1422</v>
      </c>
      <c r="H168" s="118">
        <f>_xlfn.XLOOKUP(Table1[[#This Row],[Shipment Number]], 'pivot '!A:A,'pivot '!G:G, "NF")</f>
        <v>3.3420460255450735</v>
      </c>
      <c r="I168" s="119">
        <f>Table1[[#This Row],[Tiyaar/gaz]]/1.0936</f>
        <v>1300.2926115581568</v>
      </c>
      <c r="J168" s="119" cm="1">
        <f t="array" ref="J16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16903.803950256039</v>
      </c>
      <c r="K168" s="117"/>
    </row>
    <row r="169" spans="1:12" x14ac:dyDescent="0.3">
      <c r="A169" s="120">
        <v>46066</v>
      </c>
      <c r="B169" s="121" t="s">
        <v>175</v>
      </c>
      <c r="C169" s="117">
        <v>1481</v>
      </c>
      <c r="D169" s="117" t="s">
        <v>86</v>
      </c>
      <c r="E169" s="11">
        <v>2090</v>
      </c>
      <c r="F169" s="11">
        <v>50157</v>
      </c>
      <c r="G169" s="11">
        <v>22349</v>
      </c>
      <c r="H169" s="118">
        <f>_xlfn.XLOOKUP(Table1[[#This Row],[Shipment Number]], 'pivot '!A:A,'pivot '!G:G, "NF")</f>
        <v>5.0494249811261938</v>
      </c>
      <c r="I169" s="119">
        <f>Table1[[#This Row],[Tiyaar/gaz]]/1.0936</f>
        <v>20436.174103877103</v>
      </c>
      <c r="J169" s="119" cm="1">
        <f t="array" ref="J16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265670.26335040235</v>
      </c>
      <c r="K169" s="117"/>
    </row>
    <row r="170" spans="1:12" x14ac:dyDescent="0.3">
      <c r="A170" s="120">
        <v>46066</v>
      </c>
      <c r="B170" s="121" t="s">
        <v>9</v>
      </c>
      <c r="C170" s="117">
        <v>1482</v>
      </c>
      <c r="D170" s="117" t="s">
        <v>86</v>
      </c>
      <c r="E170" s="11">
        <v>2073</v>
      </c>
      <c r="F170" s="11">
        <v>20111</v>
      </c>
      <c r="G170" s="11">
        <v>10714</v>
      </c>
      <c r="H170" s="118">
        <f>_xlfn.XLOOKUP(Table1[[#This Row],[Shipment Number]], 'pivot '!A:A,'pivot '!G:G, "NF")</f>
        <v>3.1527182149312551</v>
      </c>
      <c r="I170" s="119">
        <f>Table1[[#This Row],[Tiyaar/gaz]]/1.0936</f>
        <v>9797.0007315288967</v>
      </c>
      <c r="J170" s="119" cm="1">
        <f t="array" ref="J17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127361.00950987566</v>
      </c>
      <c r="K170" s="117"/>
    </row>
    <row r="171" spans="1:12" x14ac:dyDescent="0.3">
      <c r="A171" s="120">
        <v>46066</v>
      </c>
      <c r="B171" s="121" t="s">
        <v>21</v>
      </c>
      <c r="C171" s="117">
        <v>1483</v>
      </c>
      <c r="D171" s="117" t="s">
        <v>85</v>
      </c>
      <c r="E171" s="11" t="s">
        <v>519</v>
      </c>
      <c r="F171" s="11">
        <v>39029</v>
      </c>
      <c r="G171" s="11">
        <v>6957</v>
      </c>
      <c r="H171" s="118">
        <f>_xlfn.XLOOKUP(Table1[[#This Row],[Shipment Number]], 'pivot '!A:A,'pivot '!G:G, "NF")</f>
        <v>27.714452684190363</v>
      </c>
      <c r="I171" s="119">
        <f>Table1[[#This Row],[Tiyaar/gaz]]/1.0936</f>
        <v>6361.5581565471839</v>
      </c>
      <c r="J171" s="119" cm="1">
        <f t="array" ref="J17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63615.581565471839</v>
      </c>
      <c r="K171" s="117"/>
    </row>
    <row r="172" spans="1:12" x14ac:dyDescent="0.3">
      <c r="A172" s="139">
        <v>46067</v>
      </c>
      <c r="B172" s="121" t="s">
        <v>335</v>
      </c>
      <c r="C172" s="117">
        <v>1484</v>
      </c>
      <c r="D172" s="117" t="s">
        <v>86</v>
      </c>
      <c r="E172" s="11">
        <v>1977</v>
      </c>
      <c r="F172" s="11">
        <v>27995</v>
      </c>
      <c r="G172" s="11">
        <v>19687</v>
      </c>
      <c r="H172" s="118">
        <f>_xlfn.XLOOKUP(Table1[[#This Row],[Shipment Number]], 'pivot '!A:A,'pivot '!G:G, "NF")</f>
        <v>5.8935568622937069</v>
      </c>
      <c r="I172" s="119">
        <f>Table1[[#This Row],[Tiyaar/gaz]]/1.0936</f>
        <v>18002.011704462329</v>
      </c>
      <c r="J172" s="119" cm="1">
        <f t="array" ref="J17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234026.15215801029</v>
      </c>
      <c r="K172" s="117"/>
    </row>
    <row r="173" spans="1:12" x14ac:dyDescent="0.3">
      <c r="A173" s="139">
        <v>46067</v>
      </c>
      <c r="B173" s="121" t="s">
        <v>9</v>
      </c>
      <c r="C173" s="117">
        <v>1485</v>
      </c>
      <c r="D173" s="117" t="s">
        <v>86</v>
      </c>
      <c r="E173" s="11">
        <v>2073</v>
      </c>
      <c r="F173" s="11">
        <v>20111</v>
      </c>
      <c r="G173" s="11">
        <v>7934</v>
      </c>
      <c r="H173" s="118">
        <f>_xlfn.XLOOKUP(Table1[[#This Row],[Shipment Number]], 'pivot '!A:A,'pivot '!G:G, "NF")</f>
        <v>3.1527182149312551</v>
      </c>
      <c r="I173" s="119">
        <f>Table1[[#This Row],[Tiyaar/gaz]]/1.0936</f>
        <v>7254.9378200438923</v>
      </c>
      <c r="J173" s="119" cm="1">
        <f t="array" ref="J17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94314.191660570606</v>
      </c>
      <c r="K173" s="117"/>
    </row>
    <row r="174" spans="1:12" x14ac:dyDescent="0.3">
      <c r="A174" s="139">
        <v>46067</v>
      </c>
      <c r="B174" s="121" t="s">
        <v>22</v>
      </c>
      <c r="C174" s="117">
        <v>1486</v>
      </c>
      <c r="D174" s="117" t="s">
        <v>86</v>
      </c>
      <c r="E174" s="11">
        <v>2094</v>
      </c>
      <c r="F174" s="11">
        <v>30340</v>
      </c>
      <c r="G174" s="11">
        <v>17714</v>
      </c>
      <c r="H174" s="118">
        <f>_xlfn.XLOOKUP(Table1[[#This Row],[Shipment Number]], 'pivot '!A:A,'pivot '!G:G, "NF")</f>
        <v>3.5226949968149341</v>
      </c>
      <c r="I174" s="119">
        <f>Table1[[#This Row],[Tiyaar/gaz]]/1.0936</f>
        <v>16197.878566203366</v>
      </c>
      <c r="J174" s="119" cm="1">
        <f t="array" ref="J17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210572.42136064376</v>
      </c>
      <c r="K174" s="117"/>
    </row>
    <row r="175" spans="1:12" x14ac:dyDescent="0.3">
      <c r="A175" s="139">
        <v>46067</v>
      </c>
      <c r="B175" s="121" t="s">
        <v>21</v>
      </c>
      <c r="C175" s="117">
        <v>1487</v>
      </c>
      <c r="D175" s="117" t="s">
        <v>85</v>
      </c>
      <c r="E175" s="11">
        <v>2035</v>
      </c>
      <c r="F175" s="11">
        <v>61388</v>
      </c>
      <c r="G175" s="11">
        <v>4389</v>
      </c>
      <c r="H175" s="118">
        <f>_xlfn.XLOOKUP(Table1[[#This Row],[Shipment Number]], 'pivot '!A:A,'pivot '!G:G, "NF")</f>
        <v>85.554246702316647</v>
      </c>
      <c r="I175" s="119">
        <f>Table1[[#This Row],[Tiyaar/gaz]]/1.0936</f>
        <v>4013.3504023408927</v>
      </c>
      <c r="J175" s="119" cm="1">
        <f t="array" ref="J17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40133.504023408925</v>
      </c>
      <c r="K175" s="117"/>
    </row>
    <row r="176" spans="1:12" x14ac:dyDescent="0.3">
      <c r="A176" s="139">
        <v>46067</v>
      </c>
      <c r="B176" s="121" t="s">
        <v>21</v>
      </c>
      <c r="C176" s="117">
        <v>1488</v>
      </c>
      <c r="D176" s="117" t="s">
        <v>85</v>
      </c>
      <c r="E176" s="11">
        <v>2089</v>
      </c>
      <c r="F176" s="11">
        <v>7943</v>
      </c>
      <c r="G176" s="11">
        <v>2095</v>
      </c>
      <c r="H176" s="118">
        <f>_xlfn.XLOOKUP(Table1[[#This Row],[Shipment Number]], 'pivot '!A:A,'pivot '!G:G, "NF")</f>
        <v>75.882018194559421</v>
      </c>
      <c r="I176" s="119">
        <f>Table1[[#This Row],[Tiyaar/gaz]]/1.0936</f>
        <v>1915.6912948061449</v>
      </c>
      <c r="J176" s="119" cm="1">
        <f t="array" ref="J17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19156.91294806145</v>
      </c>
      <c r="K176" s="117"/>
    </row>
    <row r="177" spans="1:11" x14ac:dyDescent="0.3">
      <c r="A177" s="120">
        <v>46069</v>
      </c>
      <c r="B177" s="121" t="s">
        <v>21</v>
      </c>
      <c r="C177" s="117">
        <v>1489</v>
      </c>
      <c r="D177" s="117" t="s">
        <v>85</v>
      </c>
      <c r="E177" s="11">
        <v>2079</v>
      </c>
      <c r="F177" s="11">
        <v>7968</v>
      </c>
      <c r="G177" s="11">
        <v>3128</v>
      </c>
      <c r="H177" s="118">
        <f>_xlfn.XLOOKUP(Table1[[#This Row],[Shipment Number]], 'pivot '!A:A,'pivot '!G:G, "NF")</f>
        <v>7.7211369251695885</v>
      </c>
      <c r="I177" s="119">
        <f>Table1[[#This Row],[Tiyaar/gaz]]/1.0936</f>
        <v>2860.2779809802491</v>
      </c>
      <c r="J177" s="119" cm="1">
        <f t="array" ref="J17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28602.77980980249</v>
      </c>
      <c r="K177" s="117"/>
    </row>
    <row r="178" spans="1:11" x14ac:dyDescent="0.3">
      <c r="A178" s="120">
        <v>46069</v>
      </c>
      <c r="B178" s="121" t="s">
        <v>21</v>
      </c>
      <c r="C178" s="117">
        <v>1490</v>
      </c>
      <c r="D178" s="117" t="s">
        <v>85</v>
      </c>
      <c r="E178" s="11">
        <v>2045</v>
      </c>
      <c r="F178" s="11">
        <v>5552</v>
      </c>
      <c r="G178" s="11">
        <v>1916</v>
      </c>
      <c r="H178" s="118">
        <f>_xlfn.XLOOKUP(Table1[[#This Row],[Shipment Number]], 'pivot '!A:A,'pivot '!G:G, "NF")</f>
        <v>33.840247370606875</v>
      </c>
      <c r="I178" s="119">
        <f>Table1[[#This Row],[Tiyaar/gaz]]/1.0936</f>
        <v>1752.0117044623264</v>
      </c>
      <c r="J178" s="119" cm="1">
        <f t="array" ref="J17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17520.117044623265</v>
      </c>
      <c r="K178" s="117"/>
    </row>
    <row r="179" spans="1:11" x14ac:dyDescent="0.3">
      <c r="A179" s="120">
        <v>46069</v>
      </c>
      <c r="B179" s="121" t="s">
        <v>27</v>
      </c>
      <c r="C179" s="117">
        <v>1491</v>
      </c>
      <c r="D179" s="117" t="s">
        <v>85</v>
      </c>
      <c r="E179" s="11">
        <v>2066</v>
      </c>
      <c r="F179" s="11">
        <v>23541</v>
      </c>
      <c r="G179" s="11">
        <v>25328</v>
      </c>
      <c r="H179" s="118">
        <f>_xlfn.XLOOKUP(Table1[[#This Row],[Shipment Number]], 'pivot '!A:A,'pivot '!G:G, "NF")</f>
        <v>1.6175828210750893</v>
      </c>
      <c r="I179" s="119">
        <f>Table1[[#This Row],[Tiyaar/gaz]]/1.0936</f>
        <v>23160.204828090711</v>
      </c>
      <c r="J179" s="119" cm="1">
        <f t="array" ref="J17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231602.0482809071</v>
      </c>
      <c r="K179" s="117"/>
    </row>
    <row r="180" spans="1:11" x14ac:dyDescent="0.3">
      <c r="A180" s="120">
        <v>46069</v>
      </c>
      <c r="B180" s="121" t="s">
        <v>9</v>
      </c>
      <c r="C180" s="117">
        <v>1492</v>
      </c>
      <c r="D180" s="117" t="s">
        <v>85</v>
      </c>
      <c r="E180" s="11">
        <v>2085</v>
      </c>
      <c r="F180" s="11">
        <v>25013</v>
      </c>
      <c r="G180" s="11">
        <v>24149</v>
      </c>
      <c r="H180" s="118">
        <f>_xlfn.XLOOKUP(Table1[[#This Row],[Shipment Number]], 'pivot '!A:A,'pivot '!G:G, "NF")</f>
        <v>2.1832714289227937</v>
      </c>
      <c r="I180" s="119">
        <f>Table1[[#This Row],[Tiyaar/gaz]]/1.0936</f>
        <v>22082.114118507681</v>
      </c>
      <c r="J180" s="119" cm="1">
        <f t="array" ref="J18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220821.14118507682</v>
      </c>
      <c r="K180" s="117"/>
    </row>
    <row r="181" spans="1:11" x14ac:dyDescent="0.3">
      <c r="A181" s="120">
        <v>46069</v>
      </c>
      <c r="B181" s="121" t="s">
        <v>9</v>
      </c>
      <c r="C181" s="117">
        <v>1493</v>
      </c>
      <c r="D181" s="117" t="s">
        <v>86</v>
      </c>
      <c r="E181" s="11">
        <v>2073</v>
      </c>
      <c r="F181" s="11">
        <v>20111</v>
      </c>
      <c r="G181" s="11">
        <v>2652</v>
      </c>
      <c r="H181" s="118">
        <f>_xlfn.XLOOKUP(Table1[[#This Row],[Shipment Number]], 'pivot '!A:A,'pivot '!G:G, "NF")</f>
        <v>3.1527182149312551</v>
      </c>
      <c r="I181" s="119">
        <f>Table1[[#This Row],[Tiyaar/gaz]]/1.0936</f>
        <v>2425.0182882223849</v>
      </c>
      <c r="J181" s="119" cm="1">
        <f t="array" ref="J18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31525.237746891002</v>
      </c>
      <c r="K181" s="117"/>
    </row>
    <row r="182" spans="1:11" x14ac:dyDescent="0.3">
      <c r="A182" s="139">
        <v>46069</v>
      </c>
      <c r="B182" s="121" t="s">
        <v>175</v>
      </c>
      <c r="C182" s="117" t="s">
        <v>583</v>
      </c>
      <c r="D182" s="117" t="s">
        <v>85</v>
      </c>
      <c r="E182" s="11"/>
      <c r="F182" s="11"/>
      <c r="G182" s="11"/>
      <c r="H182" s="118" t="e">
        <f>_xlfn.XLOOKUP(Table1[[#This Row],[Shipment Number]], 'pivot '!A:A,'pivot '!G:G, "NF")</f>
        <v>#DIV/0!</v>
      </c>
      <c r="I182" s="119"/>
      <c r="J182" s="119">
        <v>30000</v>
      </c>
      <c r="K182" s="117"/>
    </row>
    <row r="183" spans="1:11" x14ac:dyDescent="0.3">
      <c r="A183" s="120">
        <v>46069</v>
      </c>
      <c r="B183" s="121" t="s">
        <v>21</v>
      </c>
      <c r="C183" s="117">
        <v>1494</v>
      </c>
      <c r="D183" s="117" t="s">
        <v>86</v>
      </c>
      <c r="E183" s="11">
        <v>2099</v>
      </c>
      <c r="F183" s="11">
        <v>96074</v>
      </c>
      <c r="G183" s="11">
        <v>3063</v>
      </c>
      <c r="H183" s="118">
        <f>_xlfn.XLOOKUP(Table1[[#This Row],[Shipment Number]], 'pivot '!A:A,'pivot '!G:G, "NF")</f>
        <v>13.709910181250635</v>
      </c>
      <c r="I183" s="119">
        <f>Table1[[#This Row],[Tiyaar/gaz]]/1.0936</f>
        <v>2800.8412582297001</v>
      </c>
      <c r="J183" s="119" cm="1">
        <f t="array" ref="J18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36410.936356986102</v>
      </c>
      <c r="K183" s="117"/>
    </row>
    <row r="184" spans="1:11" x14ac:dyDescent="0.3">
      <c r="A184" s="120">
        <v>46069</v>
      </c>
      <c r="B184" s="121" t="s">
        <v>21</v>
      </c>
      <c r="C184" s="117">
        <v>1494</v>
      </c>
      <c r="D184" s="117" t="s">
        <v>86</v>
      </c>
      <c r="E184" s="11">
        <v>1978</v>
      </c>
      <c r="F184" s="11"/>
      <c r="G184" s="11">
        <v>460</v>
      </c>
      <c r="H184" s="118">
        <f>_xlfn.XLOOKUP(Table1[[#This Row],[Shipment Number]], 'pivot '!A:A,'pivot '!G:G, "NF")</f>
        <v>4.6294839246745028</v>
      </c>
      <c r="I184" s="119">
        <f>Table1[[#This Row],[Tiyaar/gaz]]/1.0936</f>
        <v>420.62911485003661</v>
      </c>
      <c r="J184" s="119" cm="1">
        <f t="array" ref="J18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5468.1784930504764</v>
      </c>
      <c r="K184" s="117"/>
    </row>
    <row r="185" spans="1:11" x14ac:dyDescent="0.3">
      <c r="A185" s="120">
        <v>46069</v>
      </c>
      <c r="B185" s="121" t="s">
        <v>335</v>
      </c>
      <c r="C185" s="117">
        <v>1495</v>
      </c>
      <c r="D185" s="117" t="s">
        <v>85</v>
      </c>
      <c r="E185" s="11">
        <v>1979</v>
      </c>
      <c r="F185" s="11">
        <v>24922</v>
      </c>
      <c r="G185" s="11">
        <v>26640</v>
      </c>
      <c r="H185" s="118">
        <f>_xlfn.XLOOKUP(Table1[[#This Row],[Shipment Number]], 'pivot '!A:A,'pivot '!G:G, "NF")</f>
        <v>2.2553879442558582</v>
      </c>
      <c r="I185" s="119">
        <f>Table1[[#This Row],[Tiyaar/gaz]]/1.0936</f>
        <v>24359.912216532553</v>
      </c>
      <c r="J185" s="119" cm="1">
        <f t="array" ref="J18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243599.12216532553</v>
      </c>
      <c r="K185" s="117"/>
    </row>
    <row r="186" spans="1:11" x14ac:dyDescent="0.3">
      <c r="A186" s="120">
        <v>46069</v>
      </c>
      <c r="B186" s="121" t="s">
        <v>335</v>
      </c>
      <c r="C186" s="117">
        <v>1496</v>
      </c>
      <c r="D186" s="117" t="s">
        <v>85</v>
      </c>
      <c r="E186" s="11">
        <v>1976</v>
      </c>
      <c r="F186" s="11">
        <v>22604</v>
      </c>
      <c r="G186" s="11">
        <v>24110</v>
      </c>
      <c r="H186" s="118">
        <f>_xlfn.XLOOKUP(Table1[[#This Row],[Shipment Number]], 'pivot '!A:A,'pivot '!G:G, "NF")</f>
        <v>2.4665896086650321</v>
      </c>
      <c r="I186" s="119">
        <f>Table1[[#This Row],[Tiyaar/gaz]]/1.0936</f>
        <v>22046.452084857352</v>
      </c>
      <c r="J186" s="119" cm="1">
        <f t="array" ref="J18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220464.52084857353</v>
      </c>
      <c r="K186" s="117"/>
    </row>
    <row r="187" spans="1:11" x14ac:dyDescent="0.3">
      <c r="A187" s="120">
        <v>46069</v>
      </c>
      <c r="B187" s="121" t="s">
        <v>21</v>
      </c>
      <c r="C187" s="117">
        <v>1497</v>
      </c>
      <c r="D187" s="117" t="s">
        <v>85</v>
      </c>
      <c r="E187" s="11">
        <v>2045</v>
      </c>
      <c r="F187" s="11">
        <v>5552</v>
      </c>
      <c r="G187" s="11">
        <v>2101</v>
      </c>
      <c r="H187" s="118">
        <f>_xlfn.XLOOKUP(Table1[[#This Row],[Shipment Number]], 'pivot '!A:A,'pivot '!G:G, "NF")</f>
        <v>33.840247370606875</v>
      </c>
      <c r="I187" s="119">
        <f>Table1[[#This Row],[Tiyaar/gaz]]/1.0936</f>
        <v>1921.1777615215804</v>
      </c>
      <c r="J187" s="119" cm="1">
        <f t="array" ref="J18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19211.777615215804</v>
      </c>
      <c r="K187" s="117"/>
    </row>
    <row r="188" spans="1:11" x14ac:dyDescent="0.3">
      <c r="A188" s="120">
        <v>46069</v>
      </c>
      <c r="B188" s="121" t="s">
        <v>21</v>
      </c>
      <c r="C188" s="117">
        <v>1498</v>
      </c>
      <c r="D188" s="117" t="s">
        <v>85</v>
      </c>
      <c r="E188" s="11">
        <v>2096</v>
      </c>
      <c r="F188" s="11">
        <v>100801</v>
      </c>
      <c r="G188" s="11">
        <v>5331</v>
      </c>
      <c r="H188" s="118">
        <f>_xlfn.XLOOKUP(Table1[[#This Row],[Shipment Number]], 'pivot '!A:A,'pivot '!G:G, "NF")</f>
        <v>95.164010598442246</v>
      </c>
      <c r="I188" s="119">
        <f>Table1[[#This Row],[Tiyaar/gaz]]/1.0936</f>
        <v>4874.7256766642286</v>
      </c>
      <c r="J188" s="119" cm="1">
        <f t="array" ref="J18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48747.256766642284</v>
      </c>
      <c r="K188" s="117"/>
    </row>
    <row r="189" spans="1:11" x14ac:dyDescent="0.3">
      <c r="A189" s="120">
        <v>46069</v>
      </c>
      <c r="B189" s="121" t="s">
        <v>21</v>
      </c>
      <c r="C189" s="117">
        <v>1499</v>
      </c>
      <c r="D189" s="117" t="s">
        <v>85</v>
      </c>
      <c r="E189" s="11">
        <v>2079</v>
      </c>
      <c r="F189" s="11">
        <v>7968</v>
      </c>
      <c r="G189" s="11">
        <v>4913</v>
      </c>
      <c r="H189" s="118">
        <f>_xlfn.XLOOKUP(Table1[[#This Row],[Shipment Number]], 'pivot '!A:A,'pivot '!G:G, "NF")</f>
        <v>7.7211369251695885</v>
      </c>
      <c r="I189" s="119">
        <f>Table1[[#This Row],[Tiyaar/gaz]]/1.0936</f>
        <v>4492.5018288222391</v>
      </c>
      <c r="J189" s="119" cm="1">
        <f t="array" ref="J189">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44925.018288222389</v>
      </c>
      <c r="K189" s="117"/>
    </row>
    <row r="190" spans="1:11" x14ac:dyDescent="0.3">
      <c r="A190" s="120">
        <v>46069</v>
      </c>
      <c r="B190" s="121" t="s">
        <v>21</v>
      </c>
      <c r="C190" s="117">
        <v>1500</v>
      </c>
      <c r="D190" s="117" t="s">
        <v>85</v>
      </c>
      <c r="E190" s="11">
        <v>2048</v>
      </c>
      <c r="F190" s="11">
        <f>58122-2159-8472</f>
        <v>47491</v>
      </c>
      <c r="G190" s="11">
        <v>4203</v>
      </c>
      <c r="H190" s="118">
        <f>_xlfn.XLOOKUP(Table1[[#This Row],[Shipment Number]], 'pivot '!A:A,'pivot '!G:G, "NF")</f>
        <v>91.907372061732957</v>
      </c>
      <c r="I190" s="119">
        <f>Table1[[#This Row],[Tiyaar/gaz]]/1.0936</f>
        <v>3843.2699341623997</v>
      </c>
      <c r="J190" s="119" cm="1">
        <f t="array" ref="J190">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38432.699341624</v>
      </c>
      <c r="K190" s="117"/>
    </row>
    <row r="191" spans="1:11" x14ac:dyDescent="0.3">
      <c r="A191" s="139">
        <v>46070</v>
      </c>
      <c r="B191" s="121" t="s">
        <v>21</v>
      </c>
      <c r="C191" s="117">
        <v>1501</v>
      </c>
      <c r="D191" s="117" t="s">
        <v>86</v>
      </c>
      <c r="E191" s="11">
        <v>2099</v>
      </c>
      <c r="F191" s="11">
        <v>96074</v>
      </c>
      <c r="G191" s="11">
        <v>37163</v>
      </c>
      <c r="H191" s="118">
        <f>_xlfn.XLOOKUP(Table1[[#This Row],[Shipment Number]], 'pivot '!A:A,'pivot '!G:G, "NF")</f>
        <v>13.709910181250635</v>
      </c>
      <c r="I191" s="119">
        <f>Table1[[#This Row],[Tiyaar/gaz]]/1.0936</f>
        <v>33982.26042428676</v>
      </c>
      <c r="J191" s="119" cm="1">
        <f t="array" ref="J191">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441769.38551572786</v>
      </c>
      <c r="K191" s="117"/>
    </row>
    <row r="192" spans="1:11" x14ac:dyDescent="0.3">
      <c r="A192" s="139">
        <v>46070</v>
      </c>
      <c r="B192" s="121" t="s">
        <v>335</v>
      </c>
      <c r="C192" s="117">
        <v>1502</v>
      </c>
      <c r="D192" s="117" t="s">
        <v>86</v>
      </c>
      <c r="E192" s="11">
        <v>1977</v>
      </c>
      <c r="F192" s="11">
        <v>27995</v>
      </c>
      <c r="G192" s="11">
        <v>9124</v>
      </c>
      <c r="H192" s="118">
        <f>_xlfn.XLOOKUP(Table1[[#This Row],[Shipment Number]], 'pivot '!A:A,'pivot '!G:G, "NF")</f>
        <v>5.8935568622937069</v>
      </c>
      <c r="I192" s="119">
        <f>Table1[[#This Row],[Tiyaar/gaz]]/1.0936</f>
        <v>8343.0870519385517</v>
      </c>
      <c r="J192" s="119" cm="1">
        <f t="array" ref="J192">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108460.13167520118</v>
      </c>
      <c r="K192" s="117"/>
    </row>
    <row r="193" spans="1:11" x14ac:dyDescent="0.3">
      <c r="A193" s="139">
        <v>46070</v>
      </c>
      <c r="B193" s="121" t="s">
        <v>21</v>
      </c>
      <c r="C193" s="117">
        <v>1503</v>
      </c>
      <c r="D193" s="117" t="s">
        <v>86</v>
      </c>
      <c r="E193" s="11">
        <v>2099</v>
      </c>
      <c r="F193" s="11">
        <v>96074</v>
      </c>
      <c r="G193" s="11">
        <v>17576</v>
      </c>
      <c r="H193" s="118">
        <f>_xlfn.XLOOKUP(Table1[[#This Row],[Shipment Number]], 'pivot '!A:A,'pivot '!G:G, "NF")</f>
        <v>13.709910181250635</v>
      </c>
      <c r="I193" s="119">
        <f>Table1[[#This Row],[Tiyaar/gaz]]/1.0936</f>
        <v>16071.689831748356</v>
      </c>
      <c r="J193" s="119" cm="1">
        <f t="array" ref="J193">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208931.96781272863</v>
      </c>
      <c r="K193" s="117"/>
    </row>
    <row r="194" spans="1:11" x14ac:dyDescent="0.3">
      <c r="A194" s="139">
        <v>46070</v>
      </c>
      <c r="B194" s="121" t="s">
        <v>22</v>
      </c>
      <c r="C194" s="117">
        <v>1504</v>
      </c>
      <c r="D194" s="117" t="s">
        <v>86</v>
      </c>
      <c r="E194" s="11">
        <v>2094</v>
      </c>
      <c r="F194" s="11">
        <v>30340</v>
      </c>
      <c r="G194" s="11">
        <v>14297</v>
      </c>
      <c r="H194" s="118">
        <f>_xlfn.XLOOKUP(Table1[[#This Row],[Shipment Number]], 'pivot '!A:A,'pivot '!G:G, "NF")</f>
        <v>3.5226949968149341</v>
      </c>
      <c r="I194" s="119">
        <f>Table1[[#This Row],[Tiyaar/gaz]]/1.0936</f>
        <v>13073.335771762986</v>
      </c>
      <c r="J194" s="119" cm="1">
        <f t="array" ref="J194">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169953.36503291881</v>
      </c>
      <c r="K194" s="117"/>
    </row>
    <row r="195" spans="1:11" x14ac:dyDescent="0.3">
      <c r="A195" s="139">
        <v>46070</v>
      </c>
      <c r="B195" s="121" t="s">
        <v>21</v>
      </c>
      <c r="C195" s="117">
        <v>1505</v>
      </c>
      <c r="D195" s="117" t="s">
        <v>86</v>
      </c>
      <c r="E195" s="11">
        <v>2099</v>
      </c>
      <c r="F195" s="11">
        <v>96074</v>
      </c>
      <c r="G195" s="11">
        <v>16430</v>
      </c>
      <c r="H195" s="118">
        <f>_xlfn.XLOOKUP(Table1[[#This Row],[Shipment Number]], 'pivot '!A:A,'pivot '!G:G, "NF")</f>
        <v>13.709910181250635</v>
      </c>
      <c r="I195" s="119">
        <f>Table1[[#This Row],[Tiyaar/gaz]]/1.0936</f>
        <v>15023.774689100221</v>
      </c>
      <c r="J195" s="119" cm="1">
        <f t="array" ref="J195">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195309.07095830288</v>
      </c>
      <c r="K195" s="117"/>
    </row>
    <row r="196" spans="1:11" x14ac:dyDescent="0.3">
      <c r="A196" s="139">
        <v>46071</v>
      </c>
      <c r="B196" s="121" t="s">
        <v>190</v>
      </c>
      <c r="C196" s="117">
        <v>1507</v>
      </c>
      <c r="D196" s="117" t="s">
        <v>86</v>
      </c>
      <c r="E196" s="11">
        <v>2075</v>
      </c>
      <c r="F196" s="11">
        <v>1519</v>
      </c>
      <c r="G196" s="11">
        <v>1650</v>
      </c>
      <c r="H196" s="118">
        <f>_xlfn.XLOOKUP(Table1[[#This Row],[Shipment Number]], 'pivot '!A:A,'pivot '!G:G, "NF")</f>
        <v>0.67291989830832222</v>
      </c>
      <c r="I196" s="119">
        <f>Table1[[#This Row],[Tiyaar/gaz]]/1.0936</f>
        <v>1508.7783467446966</v>
      </c>
      <c r="J196" s="119" cm="1">
        <f t="array" ref="J196">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19614.118507681054</v>
      </c>
      <c r="K196" s="117"/>
    </row>
    <row r="197" spans="1:11" x14ac:dyDescent="0.3">
      <c r="A197" s="139">
        <v>46071</v>
      </c>
      <c r="B197" s="121" t="s">
        <v>190</v>
      </c>
      <c r="C197" s="117">
        <v>1508</v>
      </c>
      <c r="D197" s="117" t="s">
        <v>86</v>
      </c>
      <c r="E197" s="11">
        <v>2074</v>
      </c>
      <c r="F197" s="11">
        <v>1308</v>
      </c>
      <c r="G197" s="11">
        <v>1408</v>
      </c>
      <c r="H197" s="118">
        <f>_xlfn.XLOOKUP(Table1[[#This Row],[Shipment Number]], 'pivot '!A:A,'pivot '!G:G, "NF")</f>
        <v>1.5679773785315234</v>
      </c>
      <c r="I197" s="119">
        <f>Table1[[#This Row],[Tiyaar/gaz]]/1.0936</f>
        <v>1287.4908558888078</v>
      </c>
      <c r="J197" s="119" cm="1">
        <f t="array" ref="J197">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16737.381126554501</v>
      </c>
      <c r="K197" s="117"/>
    </row>
    <row r="198" spans="1:11" x14ac:dyDescent="0.3">
      <c r="A198" s="140">
        <v>46071</v>
      </c>
      <c r="B198" s="124" t="s">
        <v>21</v>
      </c>
      <c r="C198" s="125">
        <v>1506</v>
      </c>
      <c r="D198" s="125" t="s">
        <v>86</v>
      </c>
      <c r="E198" s="126">
        <v>2099</v>
      </c>
      <c r="F198" s="126">
        <v>96074</v>
      </c>
      <c r="G198" s="126">
        <v>16430</v>
      </c>
      <c r="H198" s="127">
        <f>_xlfn.XLOOKUP(Table1[[#This Row],[Shipment Number]], 'pivot '!A:A,'pivot '!G:G, "NF")</f>
        <v>13.709910181250635</v>
      </c>
      <c r="I198" s="119">
        <f>Table1[[#This Row],[Tiyaar/gaz]]/1.0936</f>
        <v>15023.774689100221</v>
      </c>
      <c r="J198" s="119" cm="1">
        <f t="array" ref="J198">_xlfn.IFS(
  AND(Table1[[#This Row],[Party Name]]="Faizan",Table1[[#This Row],[Quality]]="Silky"),Table1[[#This Row],[tiyar/meters]]*13, AND(Table1[[#This Row],[Party Name]]="Shehzad Kamoki",Table1[[#This Row],[Quality]]="Chamki"),Table1[[#This Row],[tiyar/meters]]*10.5,
  AND(Table1[[#This Row],[Party Name]]="Sajad Khan",Table1[[#This Row],[Quality]]="Slub"),Table1[[#This Row],[tiyar/meters]]*13,
  AND(Table1[[#This Row],[Party Name]]="Faizan",Table1[[#This Row],[Quality]]="Slub"),Table1[[#This Row],[tiyar/meters]]*15,
  AND(Table1[[#This Row],[Party Name]]="Shafique Ansari",Table1[[#This Row],[Quality]]="Satin"),Table1[[#This Row],[tiyar/meters]]*28,AND(Table1[[#This Row],[Party Name]]="Badshah Fabrics",Table1[[#This Row],[Quality]]="Crinkle"),Table1[[#This Row],[tiyar/meters]]*11,AND(Table1[[#This Row],[Party Name]]="Salman Zaffar",Table1[[#This Row],[Quality]]="Kataan"),Table1[[#This Row],[tiyar/meters]]*10,
  Table1[[#This Row],[Quality]]="Chamki",Table1[[#This Row],[tiyar/meters]]*10,
  Table1[[#This Row],[Quality]]="Black-Chamki",Table1[[#This Row],[tiyar/meters]]*12,
  Table1[[#This Row],[Quality]]="Silky",Table1[[#This Row],[tiyar/meters]]*13,
  Table1[[#This Row],[Quality]]="Crinkle",Table1[[#This Row],[tiyar/meters]]*10,Table1[[#This Row],[Quality]]="Kataan",Table1[[#This Row],[tiyar/meters]]*11,Table1[[#This Row],[Quality]]="Munaar",Table1[[#This Row],[tiyar/meters]]*13,Table1[[#This Row],[Quality]]="Satin",Table1[[#This Row],[tiyar/meters]]*10
)</f>
        <v>195309.07095830288</v>
      </c>
      <c r="K198" s="125"/>
    </row>
    <row r="199" spans="1:11" x14ac:dyDescent="0.3">
      <c r="A199"/>
      <c r="B199"/>
      <c r="C199"/>
      <c r="D199"/>
      <c r="E199" s="14"/>
      <c r="F199" s="14"/>
      <c r="G199" s="14"/>
      <c r="H199" s="43"/>
      <c r="I199" s="93" cm="1">
        <f t="array" aca="1" ref="I199" ca="1">SUMPRODUCT( SUBTOTAL(109, OFFSET(Table1[tiyar/meters], ROW(Table1[tiyar/meters])-MIN(ROW(Table1[tiyar/meters])), 0, 1)), --(Table1[Bill Number]&lt;&gt;"December Closing CF") )</f>
        <v>1854186.1741038773</v>
      </c>
      <c r="J199" s="43" cm="1">
        <f t="array" aca="1" ref="J199" ca="1">SUMPRODUCT( SUBTOTAL(109, OFFSET(Table1[billing], ROW(Table1[billing])-MIN(ROW(Table1[billing])), 0, 1)), --(Table1[Bill Number]&lt;&gt;"December Closing CF") )</f>
        <v>20808859.72933431</v>
      </c>
      <c r="K199" s="14">
        <f>SUMIFS(Table1[billing], Table1[Bill Number], "&lt;&gt;December Closing CF")</f>
        <v>20808859.72933431</v>
      </c>
    </row>
  </sheetData>
  <phoneticPr fontId="7" alignment="center"/>
  <conditionalFormatting sqref="H2:H199">
    <cfRule type="cellIs" dxfId="6" priority="1" operator="greaterThan">
      <formula>3.5</formula>
    </cfRule>
  </conditionalFormatting>
  <pageMargins left="0.7" right="0.7" top="0.75" bottom="0.75" header="0.3" footer="0.3"/>
  <pageSetup scale="4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952E-54B1-4FE0-8AE8-C9FCBC6D6B96}">
  <dimension ref="A1:E20"/>
  <sheetViews>
    <sheetView workbookViewId="0">
      <selection activeCell="A2" sqref="A2"/>
    </sheetView>
  </sheetViews>
  <sheetFormatPr defaultRowHeight="14.4" x14ac:dyDescent="0.3"/>
  <cols>
    <col min="1" max="1" width="10.33203125" bestFit="1" customWidth="1"/>
    <col min="2" max="3" width="12.5546875" customWidth="1"/>
    <col min="4" max="4" width="9.109375" customWidth="1"/>
  </cols>
  <sheetData>
    <row r="1" spans="1:5" x14ac:dyDescent="0.3">
      <c r="A1" t="s">
        <v>75</v>
      </c>
      <c r="B1" t="s">
        <v>2</v>
      </c>
      <c r="C1" t="s">
        <v>381</v>
      </c>
      <c r="D1" t="s">
        <v>382</v>
      </c>
      <c r="E1" t="s">
        <v>78</v>
      </c>
    </row>
    <row r="2" spans="1:5" x14ac:dyDescent="0.3">
      <c r="A2" s="1">
        <v>46046</v>
      </c>
      <c r="B2" t="s">
        <v>383</v>
      </c>
      <c r="C2">
        <v>2069</v>
      </c>
      <c r="D2">
        <v>3875</v>
      </c>
      <c r="E2" t="s">
        <v>384</v>
      </c>
    </row>
    <row r="3" spans="1:5" x14ac:dyDescent="0.3">
      <c r="A3" s="1">
        <v>46048</v>
      </c>
      <c r="B3" t="s">
        <v>385</v>
      </c>
      <c r="C3">
        <v>2070</v>
      </c>
      <c r="D3">
        <v>60945</v>
      </c>
      <c r="E3" t="s">
        <v>386</v>
      </c>
    </row>
    <row r="4" spans="1:5" x14ac:dyDescent="0.3">
      <c r="A4" s="1">
        <v>46048</v>
      </c>
      <c r="C4">
        <v>2071</v>
      </c>
    </row>
    <row r="5" spans="1:5" x14ac:dyDescent="0.3">
      <c r="A5" s="1">
        <v>46048</v>
      </c>
      <c r="B5" t="s">
        <v>385</v>
      </c>
      <c r="C5">
        <v>2072</v>
      </c>
      <c r="D5">
        <v>15104</v>
      </c>
      <c r="E5" t="s">
        <v>386</v>
      </c>
    </row>
    <row r="6" spans="1:5" x14ac:dyDescent="0.3">
      <c r="A6" s="1">
        <v>46049</v>
      </c>
      <c r="B6" t="s">
        <v>9</v>
      </c>
      <c r="C6">
        <v>2073</v>
      </c>
      <c r="D6">
        <v>20111</v>
      </c>
      <c r="E6" t="s">
        <v>386</v>
      </c>
    </row>
    <row r="7" spans="1:5" x14ac:dyDescent="0.3">
      <c r="A7" s="1">
        <v>46049</v>
      </c>
      <c r="B7" t="s">
        <v>387</v>
      </c>
      <c r="C7">
        <v>2074</v>
      </c>
      <c r="D7">
        <v>1519</v>
      </c>
      <c r="E7" t="s">
        <v>386</v>
      </c>
    </row>
    <row r="8" spans="1:5" x14ac:dyDescent="0.3">
      <c r="A8" s="1">
        <v>46049</v>
      </c>
      <c r="B8" t="s">
        <v>387</v>
      </c>
      <c r="C8">
        <v>2075</v>
      </c>
      <c r="D8">
        <v>1519</v>
      </c>
      <c r="E8" t="s">
        <v>386</v>
      </c>
    </row>
    <row r="9" spans="1:5" x14ac:dyDescent="0.3">
      <c r="A9" s="1">
        <v>46053</v>
      </c>
      <c r="B9" t="s">
        <v>388</v>
      </c>
      <c r="C9">
        <v>2076</v>
      </c>
      <c r="D9">
        <v>50784</v>
      </c>
      <c r="E9" t="s">
        <v>86</v>
      </c>
    </row>
    <row r="10" spans="1:5" x14ac:dyDescent="0.3">
      <c r="A10" s="1">
        <v>46053</v>
      </c>
      <c r="B10" t="s">
        <v>389</v>
      </c>
      <c r="C10">
        <v>2077</v>
      </c>
      <c r="D10">
        <v>62470</v>
      </c>
      <c r="E10" t="s">
        <v>86</v>
      </c>
    </row>
    <row r="11" spans="1:5" x14ac:dyDescent="0.3">
      <c r="A11" s="1">
        <v>46053</v>
      </c>
      <c r="B11" t="s">
        <v>9</v>
      </c>
      <c r="C11">
        <v>2078</v>
      </c>
      <c r="D11">
        <v>25072</v>
      </c>
      <c r="E11" t="s">
        <v>386</v>
      </c>
    </row>
    <row r="12" spans="1:5" x14ac:dyDescent="0.3">
      <c r="A12" s="1">
        <v>46053</v>
      </c>
      <c r="B12" t="s">
        <v>21</v>
      </c>
      <c r="C12">
        <v>2079</v>
      </c>
      <c r="D12">
        <v>7968</v>
      </c>
      <c r="E12" t="s">
        <v>390</v>
      </c>
    </row>
    <row r="13" spans="1:5" x14ac:dyDescent="0.3">
      <c r="A13" s="1">
        <v>46056</v>
      </c>
      <c r="B13" t="s">
        <v>21</v>
      </c>
      <c r="C13">
        <v>2080</v>
      </c>
      <c r="D13">
        <v>53024</v>
      </c>
      <c r="E13" t="s">
        <v>391</v>
      </c>
    </row>
    <row r="14" spans="1:5" x14ac:dyDescent="0.3">
      <c r="A14" s="1">
        <v>46056</v>
      </c>
      <c r="B14" t="s">
        <v>21</v>
      </c>
      <c r="C14">
        <v>2081</v>
      </c>
      <c r="D14">
        <v>68014</v>
      </c>
      <c r="E14" t="s">
        <v>391</v>
      </c>
    </row>
    <row r="15" spans="1:5" x14ac:dyDescent="0.3">
      <c r="A15" s="1">
        <v>46056</v>
      </c>
      <c r="B15" t="s">
        <v>21</v>
      </c>
      <c r="C15">
        <v>2082</v>
      </c>
      <c r="D15">
        <v>83635</v>
      </c>
      <c r="E15" t="s">
        <v>391</v>
      </c>
    </row>
    <row r="16" spans="1:5" x14ac:dyDescent="0.3">
      <c r="A16" s="1">
        <v>46056</v>
      </c>
      <c r="B16" t="s">
        <v>22</v>
      </c>
      <c r="C16">
        <v>2083</v>
      </c>
      <c r="D16">
        <v>20008</v>
      </c>
      <c r="E16" t="s">
        <v>86</v>
      </c>
    </row>
    <row r="17" spans="1:5" x14ac:dyDescent="0.3">
      <c r="A17" s="1">
        <v>46057</v>
      </c>
      <c r="B17" t="s">
        <v>175</v>
      </c>
      <c r="C17">
        <v>2084</v>
      </c>
      <c r="D17">
        <v>5816</v>
      </c>
      <c r="E17" t="s">
        <v>86</v>
      </c>
    </row>
    <row r="18" spans="1:5" x14ac:dyDescent="0.3">
      <c r="A18" s="1">
        <v>46057</v>
      </c>
      <c r="B18" t="s">
        <v>9</v>
      </c>
      <c r="C18">
        <v>2085</v>
      </c>
      <c r="D18">
        <v>25013</v>
      </c>
      <c r="E18" t="s">
        <v>386</v>
      </c>
    </row>
    <row r="19" spans="1:5" x14ac:dyDescent="0.3">
      <c r="A19" s="1">
        <v>46057</v>
      </c>
      <c r="B19" t="s">
        <v>387</v>
      </c>
      <c r="C19">
        <v>2086</v>
      </c>
      <c r="D19" t="s">
        <v>392</v>
      </c>
      <c r="E19" t="s">
        <v>86</v>
      </c>
    </row>
    <row r="20" spans="1:5" x14ac:dyDescent="0.3">
      <c r="A20" s="1">
        <v>46058</v>
      </c>
      <c r="B20" t="s">
        <v>21</v>
      </c>
      <c r="C20">
        <v>2087</v>
      </c>
      <c r="D20">
        <v>25142</v>
      </c>
      <c r="E20" t="s">
        <v>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A4BE-4176-4481-B8C4-81155CC199DF}">
  <sheetPr>
    <pageSetUpPr fitToPage="1"/>
  </sheetPr>
  <dimension ref="A1:P143"/>
  <sheetViews>
    <sheetView topLeftCell="A57" zoomScale="145" zoomScaleNormal="90" workbookViewId="0">
      <selection activeCell="C69" sqref="C69"/>
    </sheetView>
  </sheetViews>
  <sheetFormatPr defaultRowHeight="14.4" x14ac:dyDescent="0.3"/>
  <cols>
    <col min="1" max="1" width="19.6640625" bestFit="1" customWidth="1"/>
    <col min="2" max="2" width="17.33203125" bestFit="1" customWidth="1"/>
    <col min="3" max="3" width="18.6640625" customWidth="1"/>
    <col min="4" max="4" width="10.6640625" bestFit="1" customWidth="1"/>
    <col min="5" max="5" width="20" bestFit="1" customWidth="1"/>
    <col min="6" max="6" width="13" bestFit="1" customWidth="1"/>
    <col min="7" max="7" width="12.6640625" customWidth="1"/>
    <col min="8" max="8" width="13.33203125" customWidth="1"/>
    <col min="9" max="9" width="13.88671875" bestFit="1" customWidth="1"/>
    <col min="10" max="10" width="12.88671875" customWidth="1"/>
    <col min="11" max="11" width="20" bestFit="1" customWidth="1"/>
    <col min="12" max="12" width="21" bestFit="1" customWidth="1"/>
    <col min="13" max="13" width="13.33203125" bestFit="1" customWidth="1"/>
    <col min="14" max="14" width="11.109375" bestFit="1" customWidth="1"/>
    <col min="15" max="15" width="11" bestFit="1" customWidth="1"/>
    <col min="16" max="16" width="14.109375" bestFit="1" customWidth="1"/>
  </cols>
  <sheetData>
    <row r="1" spans="1:16" x14ac:dyDescent="0.3">
      <c r="A1" s="8" t="s">
        <v>75</v>
      </c>
      <c r="B1" s="8" t="s">
        <v>2</v>
      </c>
      <c r="C1" s="8" t="s">
        <v>89</v>
      </c>
      <c r="D1" s="12" t="s">
        <v>90</v>
      </c>
      <c r="E1" s="12" t="s">
        <v>4</v>
      </c>
      <c r="F1" s="12" t="s">
        <v>91</v>
      </c>
      <c r="G1" s="12" t="s">
        <v>5</v>
      </c>
      <c r="H1" s="12" t="s">
        <v>92</v>
      </c>
      <c r="I1" s="13" t="s">
        <v>93</v>
      </c>
    </row>
    <row r="2" spans="1:16" x14ac:dyDescent="0.3">
      <c r="A2" s="84">
        <v>46042</v>
      </c>
      <c r="B2" s="4" t="s">
        <v>96</v>
      </c>
      <c r="C2" s="81" t="s">
        <v>95</v>
      </c>
      <c r="D2" s="82"/>
      <c r="E2" s="82"/>
      <c r="F2" s="82"/>
      <c r="G2" s="82">
        <f>D2*E2</f>
        <v>0</v>
      </c>
      <c r="H2" s="11"/>
      <c r="I2" s="83">
        <v>0</v>
      </c>
    </row>
    <row r="3" spans="1:16" x14ac:dyDescent="0.3">
      <c r="A3" s="84">
        <v>46042</v>
      </c>
      <c r="B3" s="4" t="s">
        <v>274</v>
      </c>
      <c r="C3" s="81" t="s">
        <v>95</v>
      </c>
      <c r="D3" s="82"/>
      <c r="E3" s="82"/>
      <c r="F3" s="82"/>
      <c r="G3" s="82">
        <f>D3*E3</f>
        <v>0</v>
      </c>
      <c r="H3" s="11">
        <v>0</v>
      </c>
      <c r="I3" s="83">
        <v>1048490</v>
      </c>
    </row>
    <row r="4" spans="1:16" x14ac:dyDescent="0.3">
      <c r="A4" s="84">
        <v>46042</v>
      </c>
      <c r="B4" s="4" t="s">
        <v>216</v>
      </c>
      <c r="C4" s="81" t="s">
        <v>95</v>
      </c>
      <c r="D4" s="11"/>
      <c r="E4" s="11"/>
      <c r="F4" s="11"/>
      <c r="G4" s="11">
        <f>D4*E4</f>
        <v>0</v>
      </c>
      <c r="H4" s="11">
        <v>0</v>
      </c>
      <c r="I4" s="83">
        <v>551116</v>
      </c>
    </row>
    <row r="5" spans="1:16" ht="15" thickBot="1" x14ac:dyDescent="0.35">
      <c r="A5" s="84">
        <v>46042</v>
      </c>
      <c r="B5" s="4" t="s">
        <v>149</v>
      </c>
      <c r="C5" s="81" t="s">
        <v>95</v>
      </c>
      <c r="D5" s="11"/>
      <c r="E5" s="11"/>
      <c r="F5" s="11"/>
      <c r="G5" s="11">
        <f t="shared" ref="G5:G6" si="0">D5*E5</f>
        <v>0</v>
      </c>
      <c r="H5" s="11"/>
      <c r="I5" s="83">
        <v>56060</v>
      </c>
    </row>
    <row r="6" spans="1:16" ht="15" thickTop="1" x14ac:dyDescent="0.3">
      <c r="A6" s="84">
        <v>46042</v>
      </c>
      <c r="B6" s="4" t="s">
        <v>169</v>
      </c>
      <c r="C6" s="81" t="s">
        <v>95</v>
      </c>
      <c r="D6" s="11"/>
      <c r="E6" s="11"/>
      <c r="F6" s="11"/>
      <c r="G6" s="11">
        <f t="shared" si="0"/>
        <v>0</v>
      </c>
      <c r="H6" s="11"/>
      <c r="I6" s="83">
        <v>1127348</v>
      </c>
      <c r="K6" s="17">
        <f>SUM(Table3[Total])</f>
        <v>6812370</v>
      </c>
      <c r="L6" s="3" t="s">
        <v>2</v>
      </c>
      <c r="M6" t="s">
        <v>87</v>
      </c>
    </row>
    <row r="7" spans="1:16" x14ac:dyDescent="0.3">
      <c r="A7" s="84">
        <v>46042</v>
      </c>
      <c r="B7" s="4" t="s">
        <v>172</v>
      </c>
      <c r="C7" s="81" t="s">
        <v>95</v>
      </c>
      <c r="D7" s="11"/>
      <c r="E7" s="11"/>
      <c r="F7" s="11"/>
      <c r="G7" s="11">
        <f>D7*E7</f>
        <v>0</v>
      </c>
      <c r="H7" s="11"/>
      <c r="I7" s="83">
        <v>97520</v>
      </c>
    </row>
    <row r="8" spans="1:16" x14ac:dyDescent="0.3">
      <c r="A8" s="84">
        <v>46042</v>
      </c>
      <c r="B8" s="4" t="s">
        <v>181</v>
      </c>
      <c r="C8" s="81" t="s">
        <v>95</v>
      </c>
      <c r="D8" s="11"/>
      <c r="E8" s="11"/>
      <c r="F8" s="11"/>
      <c r="G8" s="11">
        <f t="shared" ref="G8:G9" si="1">D8*E8</f>
        <v>0</v>
      </c>
      <c r="H8" s="11"/>
      <c r="I8" s="83">
        <v>326400</v>
      </c>
      <c r="K8" s="11"/>
      <c r="L8" s="3" t="s">
        <v>98</v>
      </c>
      <c r="M8" t="s">
        <v>99</v>
      </c>
      <c r="N8" t="s">
        <v>100</v>
      </c>
      <c r="O8" t="s">
        <v>101</v>
      </c>
      <c r="P8" t="s">
        <v>102</v>
      </c>
    </row>
    <row r="9" spans="1:16" x14ac:dyDescent="0.3">
      <c r="A9" s="84">
        <v>46042</v>
      </c>
      <c r="B9" s="4" t="s">
        <v>194</v>
      </c>
      <c r="C9" s="81" t="s">
        <v>95</v>
      </c>
      <c r="D9" s="11"/>
      <c r="E9" s="11"/>
      <c r="F9" s="11"/>
      <c r="G9" s="11">
        <f t="shared" si="1"/>
        <v>0</v>
      </c>
      <c r="H9" s="11"/>
      <c r="I9" s="83">
        <v>917704</v>
      </c>
      <c r="K9" s="11"/>
      <c r="L9" s="26" t="s">
        <v>103</v>
      </c>
      <c r="M9" s="14"/>
      <c r="N9" s="14">
        <v>0</v>
      </c>
      <c r="O9" s="14"/>
      <c r="P9" s="14">
        <v>0</v>
      </c>
    </row>
    <row r="10" spans="1:16" x14ac:dyDescent="0.3">
      <c r="A10" s="84">
        <v>46042</v>
      </c>
      <c r="B10" s="4" t="s">
        <v>196</v>
      </c>
      <c r="C10" s="81" t="s">
        <v>95</v>
      </c>
      <c r="D10" s="11"/>
      <c r="E10" s="11"/>
      <c r="F10" s="11"/>
      <c r="G10" s="11"/>
      <c r="H10" s="11"/>
      <c r="I10" s="83">
        <v>81306</v>
      </c>
      <c r="K10" s="11"/>
      <c r="L10" s="42" t="s">
        <v>103</v>
      </c>
      <c r="M10" s="14"/>
      <c r="N10" s="14">
        <v>0</v>
      </c>
      <c r="O10" s="14"/>
      <c r="P10" s="14">
        <v>0</v>
      </c>
    </row>
    <row r="11" spans="1:16" x14ac:dyDescent="0.3">
      <c r="A11" s="84">
        <v>46042</v>
      </c>
      <c r="B11" s="4" t="s">
        <v>211</v>
      </c>
      <c r="C11" s="81" t="s">
        <v>95</v>
      </c>
      <c r="D11" s="11"/>
      <c r="E11" s="11"/>
      <c r="F11" s="11"/>
      <c r="G11" s="11"/>
      <c r="H11" s="11"/>
      <c r="I11" s="83">
        <v>10</v>
      </c>
      <c r="K11" s="11"/>
      <c r="L11" s="26">
        <v>46042</v>
      </c>
      <c r="M11" s="14"/>
      <c r="N11" s="14">
        <v>0</v>
      </c>
      <c r="O11" s="14">
        <v>0</v>
      </c>
      <c r="P11" s="14">
        <v>4205954</v>
      </c>
    </row>
    <row r="12" spans="1:16" x14ac:dyDescent="0.3">
      <c r="A12" s="1"/>
      <c r="B12" s="4"/>
      <c r="D12" s="11"/>
      <c r="E12" s="11"/>
      <c r="F12" s="11"/>
      <c r="G12" s="11"/>
      <c r="H12" s="11"/>
      <c r="I12" s="11"/>
      <c r="K12" s="11"/>
      <c r="L12" s="42" t="s">
        <v>95</v>
      </c>
      <c r="M12" s="14"/>
      <c r="N12" s="14">
        <v>0</v>
      </c>
      <c r="O12" s="14">
        <v>0</v>
      </c>
      <c r="P12" s="14">
        <v>4205954</v>
      </c>
    </row>
    <row r="13" spans="1:16" x14ac:dyDescent="0.3">
      <c r="A13" s="1"/>
      <c r="D13" s="11"/>
      <c r="E13" s="11"/>
      <c r="F13" s="11"/>
      <c r="G13" s="11"/>
      <c r="H13" s="11"/>
      <c r="I13" s="11"/>
      <c r="K13" s="11"/>
      <c r="L13" s="26">
        <v>46044</v>
      </c>
      <c r="M13" s="14">
        <v>414</v>
      </c>
      <c r="N13" s="14">
        <v>322680</v>
      </c>
      <c r="O13" s="14"/>
      <c r="P13" s="14">
        <v>322680</v>
      </c>
    </row>
    <row r="14" spans="1:16" x14ac:dyDescent="0.3">
      <c r="A14" s="1"/>
      <c r="D14" s="11"/>
      <c r="E14" s="11"/>
      <c r="F14" s="11"/>
      <c r="G14" s="11"/>
      <c r="H14" s="11"/>
      <c r="I14" s="11"/>
      <c r="K14" s="11"/>
      <c r="L14" s="42" t="s">
        <v>103</v>
      </c>
      <c r="M14" s="14">
        <v>414</v>
      </c>
      <c r="N14" s="14">
        <v>322680</v>
      </c>
      <c r="O14" s="14"/>
      <c r="P14" s="14">
        <v>322680</v>
      </c>
    </row>
    <row r="15" spans="1:16" x14ac:dyDescent="0.3">
      <c r="A15" s="1"/>
      <c r="D15" s="11"/>
      <c r="E15" s="11"/>
      <c r="F15" s="11"/>
      <c r="G15" s="11"/>
      <c r="H15" s="11"/>
      <c r="I15" s="11"/>
      <c r="K15" s="11"/>
      <c r="L15" s="26">
        <v>46048</v>
      </c>
      <c r="M15" s="14">
        <v>131</v>
      </c>
      <c r="N15" s="14">
        <v>75980</v>
      </c>
      <c r="O15" s="14"/>
      <c r="P15" s="14">
        <v>75980</v>
      </c>
    </row>
    <row r="16" spans="1:16" x14ac:dyDescent="0.3">
      <c r="A16" s="1"/>
      <c r="D16" s="11"/>
      <c r="E16" s="11"/>
      <c r="F16" s="11"/>
      <c r="G16" s="11"/>
      <c r="H16" s="11"/>
      <c r="I16" s="11"/>
      <c r="K16" s="11"/>
      <c r="L16" s="42" t="s">
        <v>103</v>
      </c>
      <c r="M16" s="14">
        <v>131</v>
      </c>
      <c r="N16" s="14">
        <v>75980</v>
      </c>
      <c r="O16" s="14"/>
      <c r="P16" s="14">
        <v>75980</v>
      </c>
    </row>
    <row r="17" spans="1:16" x14ac:dyDescent="0.3">
      <c r="A17" s="1"/>
      <c r="D17" s="11"/>
      <c r="E17" s="11"/>
      <c r="F17" s="11"/>
      <c r="G17" s="11"/>
      <c r="H17" s="11"/>
      <c r="I17" s="11"/>
      <c r="K17" s="11"/>
      <c r="L17" s="26">
        <v>46049</v>
      </c>
      <c r="M17" s="14">
        <v>370</v>
      </c>
      <c r="N17" s="14">
        <v>297415</v>
      </c>
      <c r="O17" s="14"/>
      <c r="P17" s="14">
        <v>297415</v>
      </c>
    </row>
    <row r="18" spans="1:16" x14ac:dyDescent="0.3">
      <c r="A18" s="1"/>
      <c r="D18" s="11"/>
      <c r="E18" s="11"/>
      <c r="F18" s="11"/>
      <c r="G18" s="11"/>
      <c r="H18" s="11"/>
      <c r="I18" s="11"/>
      <c r="L18" s="42" t="s">
        <v>103</v>
      </c>
      <c r="M18" s="14">
        <v>370</v>
      </c>
      <c r="N18" s="14">
        <v>297415</v>
      </c>
      <c r="O18" s="14"/>
      <c r="P18" s="14">
        <v>297415</v>
      </c>
    </row>
    <row r="19" spans="1:16" x14ac:dyDescent="0.3">
      <c r="A19" s="1">
        <v>46044</v>
      </c>
      <c r="B19" t="s">
        <v>194</v>
      </c>
      <c r="D19" s="11">
        <v>218</v>
      </c>
      <c r="E19" s="11">
        <v>820</v>
      </c>
      <c r="F19" s="11"/>
      <c r="G19" s="11">
        <f t="shared" ref="G19:G29" si="2">D19*E19</f>
        <v>178760</v>
      </c>
      <c r="H19" s="11"/>
      <c r="I19" s="11">
        <f>(D19*E19)-Table3[[#This Row],[Paid]]</f>
        <v>178760</v>
      </c>
      <c r="L19" s="26">
        <v>46050</v>
      </c>
      <c r="M19" s="14">
        <v>201</v>
      </c>
      <c r="N19" s="14">
        <v>129840</v>
      </c>
      <c r="O19" s="14"/>
      <c r="P19" s="14">
        <v>129840</v>
      </c>
    </row>
    <row r="20" spans="1:16" x14ac:dyDescent="0.3">
      <c r="A20" s="1">
        <v>46044</v>
      </c>
      <c r="B20" t="s">
        <v>216</v>
      </c>
      <c r="D20" s="11">
        <v>126</v>
      </c>
      <c r="E20" s="11">
        <v>820</v>
      </c>
      <c r="F20" s="11"/>
      <c r="G20" s="11">
        <f t="shared" si="2"/>
        <v>103320</v>
      </c>
      <c r="H20" s="11"/>
      <c r="I20" s="11">
        <f>(D20*E20)-Table3[[#This Row],[Paid]]</f>
        <v>103320</v>
      </c>
      <c r="L20" s="42" t="s">
        <v>103</v>
      </c>
      <c r="M20" s="14">
        <v>201</v>
      </c>
      <c r="N20" s="14">
        <v>129840</v>
      </c>
      <c r="O20" s="14"/>
      <c r="P20" s="14">
        <v>129840</v>
      </c>
    </row>
    <row r="21" spans="1:16" x14ac:dyDescent="0.3">
      <c r="A21" s="1">
        <v>46048</v>
      </c>
      <c r="B21" t="s">
        <v>169</v>
      </c>
      <c r="D21" s="11">
        <v>131</v>
      </c>
      <c r="E21" s="11">
        <v>580</v>
      </c>
      <c r="F21" s="11"/>
      <c r="G21" s="11">
        <f t="shared" si="2"/>
        <v>75980</v>
      </c>
      <c r="H21" s="11"/>
      <c r="I21" s="11">
        <f>(D21*E21)-Table3[[#This Row],[Paid]]</f>
        <v>75980</v>
      </c>
      <c r="L21" s="26">
        <v>46052</v>
      </c>
      <c r="M21" s="14">
        <v>533</v>
      </c>
      <c r="N21" s="14">
        <v>493025</v>
      </c>
      <c r="O21" s="14"/>
      <c r="P21" s="14">
        <v>493025</v>
      </c>
    </row>
    <row r="22" spans="1:16" x14ac:dyDescent="0.3">
      <c r="A22" s="1">
        <v>46049</v>
      </c>
      <c r="B22" t="s">
        <v>169</v>
      </c>
      <c r="D22" s="11">
        <v>133</v>
      </c>
      <c r="E22" s="11">
        <v>775</v>
      </c>
      <c r="F22" s="11"/>
      <c r="G22" s="11">
        <f t="shared" si="2"/>
        <v>103075</v>
      </c>
      <c r="H22" s="11"/>
      <c r="I22" s="11">
        <f>(D22*E22)-Table3[[#This Row],[Paid]]</f>
        <v>103075</v>
      </c>
      <c r="L22" s="42" t="s">
        <v>103</v>
      </c>
      <c r="M22" s="14">
        <v>533</v>
      </c>
      <c r="N22" s="14">
        <v>493025</v>
      </c>
      <c r="O22" s="14"/>
      <c r="P22" s="14">
        <v>493025</v>
      </c>
    </row>
    <row r="23" spans="1:16" x14ac:dyDescent="0.3">
      <c r="A23" s="1">
        <v>46050</v>
      </c>
      <c r="B23" t="s">
        <v>169</v>
      </c>
      <c r="D23" s="11">
        <v>23</v>
      </c>
      <c r="E23" s="11">
        <v>775</v>
      </c>
      <c r="F23" s="11"/>
      <c r="G23" s="11">
        <f t="shared" si="2"/>
        <v>17825</v>
      </c>
      <c r="H23" s="11"/>
      <c r="I23" s="11">
        <f>(D23*E23)-Table3[[#This Row],[Paid]]</f>
        <v>17825</v>
      </c>
      <c r="L23" s="26">
        <v>46054</v>
      </c>
      <c r="M23" s="14">
        <v>317</v>
      </c>
      <c r="N23" s="14">
        <v>263825</v>
      </c>
      <c r="O23" s="14"/>
      <c r="P23" s="14">
        <v>263825</v>
      </c>
    </row>
    <row r="24" spans="1:16" x14ac:dyDescent="0.3">
      <c r="A24" s="1">
        <v>46050</v>
      </c>
      <c r="B24" t="s">
        <v>169</v>
      </c>
      <c r="D24" s="11">
        <v>48</v>
      </c>
      <c r="E24" s="11">
        <v>580</v>
      </c>
      <c r="F24" s="11"/>
      <c r="G24" s="11">
        <f t="shared" si="2"/>
        <v>27840</v>
      </c>
      <c r="H24" s="11"/>
      <c r="I24" s="11">
        <f>(D24*E24)-Table3[[#This Row],[Paid]]</f>
        <v>27840</v>
      </c>
      <c r="L24" s="42" t="s">
        <v>103</v>
      </c>
      <c r="M24" s="14">
        <v>75</v>
      </c>
      <c r="N24" s="14">
        <v>58125</v>
      </c>
      <c r="O24" s="14"/>
      <c r="P24" s="14">
        <v>58125</v>
      </c>
    </row>
    <row r="25" spans="1:16" x14ac:dyDescent="0.3">
      <c r="A25" s="1">
        <v>46050</v>
      </c>
      <c r="B25" t="s">
        <v>169</v>
      </c>
      <c r="D25" s="11">
        <v>85</v>
      </c>
      <c r="E25" s="11">
        <v>580</v>
      </c>
      <c r="F25" s="11"/>
      <c r="G25" s="11">
        <f t="shared" si="2"/>
        <v>49300</v>
      </c>
      <c r="H25" s="11"/>
      <c r="I25" s="11">
        <f>(D25*E25)-Table3[[#This Row],[Paid]]</f>
        <v>49300</v>
      </c>
      <c r="L25" s="42" t="s">
        <v>356</v>
      </c>
      <c r="M25" s="14">
        <v>242</v>
      </c>
      <c r="N25" s="14">
        <v>205700</v>
      </c>
      <c r="O25" s="14"/>
      <c r="P25" s="14">
        <v>205700</v>
      </c>
    </row>
    <row r="26" spans="1:16" x14ac:dyDescent="0.3">
      <c r="A26" s="1">
        <v>46050</v>
      </c>
      <c r="B26" t="s">
        <v>169</v>
      </c>
      <c r="D26" s="11">
        <v>45</v>
      </c>
      <c r="E26" s="11">
        <v>775</v>
      </c>
      <c r="F26" s="11"/>
      <c r="G26" s="11">
        <f t="shared" si="2"/>
        <v>34875</v>
      </c>
      <c r="H26" s="11"/>
      <c r="I26" s="11">
        <f>(D26*E26)-Table3[[#This Row],[Paid]]</f>
        <v>34875</v>
      </c>
      <c r="L26" s="26">
        <v>46053</v>
      </c>
      <c r="M26" s="14">
        <v>73</v>
      </c>
      <c r="N26" s="14">
        <v>56575</v>
      </c>
      <c r="O26" s="14"/>
      <c r="P26" s="14">
        <v>56575</v>
      </c>
    </row>
    <row r="27" spans="1:16" x14ac:dyDescent="0.3">
      <c r="A27" s="1">
        <v>46049</v>
      </c>
      <c r="B27" t="s">
        <v>194</v>
      </c>
      <c r="D27" s="11">
        <v>237</v>
      </c>
      <c r="E27" s="11">
        <v>820</v>
      </c>
      <c r="F27" s="11"/>
      <c r="G27" s="11">
        <f t="shared" si="2"/>
        <v>194340</v>
      </c>
      <c r="H27" s="11"/>
      <c r="I27" s="11">
        <f>(D27*E27)-Table3[[#This Row],[Paid]]</f>
        <v>194340</v>
      </c>
      <c r="L27" s="42" t="s">
        <v>103</v>
      </c>
      <c r="M27" s="14">
        <v>73</v>
      </c>
      <c r="N27" s="14">
        <v>56575</v>
      </c>
      <c r="O27" s="14"/>
      <c r="P27" s="14">
        <v>56575</v>
      </c>
    </row>
    <row r="28" spans="1:16" x14ac:dyDescent="0.3">
      <c r="A28" s="1">
        <v>46052</v>
      </c>
      <c r="B28" t="s">
        <v>274</v>
      </c>
      <c r="D28" s="11">
        <v>533</v>
      </c>
      <c r="E28" s="11">
        <v>925</v>
      </c>
      <c r="F28" s="11">
        <v>90000</v>
      </c>
      <c r="G28" s="11">
        <f t="shared" si="2"/>
        <v>493025</v>
      </c>
      <c r="H28" s="11"/>
      <c r="I28" s="11">
        <f>(D28*E28)-Table3[[#This Row],[Paid]]</f>
        <v>493025</v>
      </c>
      <c r="L28" s="26">
        <v>46055</v>
      </c>
      <c r="M28" s="14">
        <v>132</v>
      </c>
      <c r="N28" s="14">
        <v>95865</v>
      </c>
      <c r="O28" s="14"/>
      <c r="P28" s="14">
        <v>95865</v>
      </c>
    </row>
    <row r="29" spans="1:16" x14ac:dyDescent="0.3">
      <c r="A29" s="1">
        <v>46054</v>
      </c>
      <c r="B29" t="s">
        <v>194</v>
      </c>
      <c r="C29" t="s">
        <v>356</v>
      </c>
      <c r="D29" s="11">
        <v>242</v>
      </c>
      <c r="E29" s="11">
        <v>850</v>
      </c>
      <c r="F29" s="11"/>
      <c r="G29" s="11">
        <f t="shared" si="2"/>
        <v>205700</v>
      </c>
      <c r="H29" s="11"/>
      <c r="I29" s="11">
        <f>(D29*E29)-Table3[[#This Row],[Paid]]</f>
        <v>205700</v>
      </c>
      <c r="K29" s="14"/>
      <c r="L29" s="42" t="s">
        <v>103</v>
      </c>
      <c r="M29" s="14">
        <v>132</v>
      </c>
      <c r="N29" s="14">
        <v>95865</v>
      </c>
      <c r="O29" s="14"/>
      <c r="P29" s="14">
        <v>95865</v>
      </c>
    </row>
    <row r="30" spans="1:16" x14ac:dyDescent="0.3">
      <c r="A30" s="1"/>
      <c r="D30" s="11"/>
      <c r="E30" s="11"/>
      <c r="F30" s="11"/>
      <c r="G30" s="11"/>
      <c r="H30" s="11"/>
      <c r="I30" s="11"/>
      <c r="L30" s="26">
        <v>46057</v>
      </c>
      <c r="M30" s="14">
        <v>140</v>
      </c>
      <c r="N30" s="14">
        <v>81200</v>
      </c>
      <c r="O30" s="14"/>
      <c r="P30" s="14">
        <v>81200</v>
      </c>
    </row>
    <row r="31" spans="1:16" x14ac:dyDescent="0.3">
      <c r="A31" s="1">
        <v>46053</v>
      </c>
      <c r="B31" t="s">
        <v>169</v>
      </c>
      <c r="D31" s="11">
        <v>73</v>
      </c>
      <c r="E31" s="11">
        <v>775</v>
      </c>
      <c r="F31" s="11"/>
      <c r="G31" s="11">
        <f t="shared" ref="G31:G67" si="3">D31*E31</f>
        <v>56575</v>
      </c>
      <c r="H31" s="11"/>
      <c r="I31" s="11">
        <f>(D31*E31)-Table3[[#This Row],[Paid]]</f>
        <v>56575</v>
      </c>
      <c r="L31" s="42" t="s">
        <v>103</v>
      </c>
      <c r="M31" s="14">
        <v>140</v>
      </c>
      <c r="N31" s="14">
        <v>81200</v>
      </c>
      <c r="O31" s="14"/>
      <c r="P31" s="14">
        <v>81200</v>
      </c>
    </row>
    <row r="32" spans="1:16" x14ac:dyDescent="0.3">
      <c r="A32" s="1">
        <v>46054</v>
      </c>
      <c r="B32" t="s">
        <v>169</v>
      </c>
      <c r="D32" s="11">
        <v>75</v>
      </c>
      <c r="E32" s="11">
        <v>775</v>
      </c>
      <c r="F32" s="11"/>
      <c r="G32" s="11">
        <f t="shared" si="3"/>
        <v>58125</v>
      </c>
      <c r="H32" s="11"/>
      <c r="I32" s="11">
        <f>(D32*E32)-Table3[[#This Row],[Paid]]</f>
        <v>58125</v>
      </c>
      <c r="L32" s="26">
        <v>46059</v>
      </c>
      <c r="M32" s="14">
        <v>472</v>
      </c>
      <c r="N32" s="14">
        <v>368275</v>
      </c>
      <c r="O32" s="14"/>
      <c r="P32" s="14">
        <v>368275</v>
      </c>
    </row>
    <row r="33" spans="1:16" x14ac:dyDescent="0.3">
      <c r="A33" s="1">
        <v>46055</v>
      </c>
      <c r="B33" t="s">
        <v>169</v>
      </c>
      <c r="D33" s="11">
        <v>99</v>
      </c>
      <c r="E33" s="122">
        <v>775</v>
      </c>
      <c r="F33" s="11"/>
      <c r="G33" s="11">
        <f t="shared" si="3"/>
        <v>76725</v>
      </c>
      <c r="H33" s="11"/>
      <c r="I33" s="11">
        <f>(D33*E33)-Table3[[#This Row],[Paid]]</f>
        <v>76725</v>
      </c>
      <c r="L33" s="42" t="s">
        <v>103</v>
      </c>
      <c r="M33" s="14">
        <v>472</v>
      </c>
      <c r="N33" s="14">
        <v>368275</v>
      </c>
      <c r="O33" s="14"/>
      <c r="P33" s="14">
        <v>368275</v>
      </c>
    </row>
    <row r="34" spans="1:16" x14ac:dyDescent="0.3">
      <c r="A34" s="1">
        <v>46055</v>
      </c>
      <c r="B34" t="s">
        <v>169</v>
      </c>
      <c r="D34" s="11">
        <v>33</v>
      </c>
      <c r="E34" s="11">
        <v>580</v>
      </c>
      <c r="F34" s="11"/>
      <c r="G34" s="11">
        <f t="shared" si="3"/>
        <v>19140</v>
      </c>
      <c r="H34" s="11"/>
      <c r="I34" s="11">
        <f>(D34*E34)-Table3[[#This Row],[Paid]]</f>
        <v>19140</v>
      </c>
      <c r="L34" s="26">
        <v>46056</v>
      </c>
      <c r="M34" s="14">
        <v>250</v>
      </c>
      <c r="N34" s="14">
        <v>212500</v>
      </c>
      <c r="O34" s="14"/>
      <c r="P34" s="14">
        <v>212500</v>
      </c>
    </row>
    <row r="35" spans="1:16" x14ac:dyDescent="0.3">
      <c r="A35" s="1">
        <v>46057</v>
      </c>
      <c r="B35" t="s">
        <v>169</v>
      </c>
      <c r="D35" s="11">
        <v>140</v>
      </c>
      <c r="E35" s="11">
        <v>580</v>
      </c>
      <c r="F35" s="11"/>
      <c r="G35" s="11">
        <f t="shared" si="3"/>
        <v>81200</v>
      </c>
      <c r="H35" s="11"/>
      <c r="I35" s="11">
        <f>(D35*E35)-Table3[[#This Row],[Paid]]</f>
        <v>81200</v>
      </c>
      <c r="L35" s="42" t="s">
        <v>103</v>
      </c>
      <c r="M35" s="14">
        <v>250</v>
      </c>
      <c r="N35" s="14">
        <v>212500</v>
      </c>
      <c r="O35" s="14"/>
      <c r="P35" s="14">
        <v>212500</v>
      </c>
    </row>
    <row r="36" spans="1:16" x14ac:dyDescent="0.3">
      <c r="A36" s="1">
        <v>46059</v>
      </c>
      <c r="B36" t="s">
        <v>169</v>
      </c>
      <c r="D36" s="11">
        <v>136</v>
      </c>
      <c r="E36" s="11">
        <v>775</v>
      </c>
      <c r="F36" s="11"/>
      <c r="G36" s="11">
        <f t="shared" si="3"/>
        <v>105400</v>
      </c>
      <c r="H36" s="11"/>
      <c r="I36" s="11">
        <f>(D36*E36)-Table3[[#This Row],[Paid]]</f>
        <v>105400</v>
      </c>
      <c r="L36" s="26">
        <v>46060</v>
      </c>
      <c r="M36" s="14">
        <v>242</v>
      </c>
      <c r="N36" s="14">
        <v>200860</v>
      </c>
      <c r="O36" s="14"/>
      <c r="P36" s="14">
        <v>200860</v>
      </c>
    </row>
    <row r="37" spans="1:16" x14ac:dyDescent="0.3">
      <c r="A37" s="1">
        <v>46059</v>
      </c>
      <c r="B37" t="s">
        <v>169</v>
      </c>
      <c r="D37" s="11">
        <v>105</v>
      </c>
      <c r="E37" s="11">
        <v>775</v>
      </c>
      <c r="F37" s="11"/>
      <c r="G37" s="11">
        <f t="shared" si="3"/>
        <v>81375</v>
      </c>
      <c r="H37" s="11"/>
      <c r="I37" s="11">
        <f>(D37*E37)-Table3[[#This Row],[Paid]]</f>
        <v>81375</v>
      </c>
      <c r="L37" s="42" t="s">
        <v>103</v>
      </c>
      <c r="M37" s="14">
        <v>242</v>
      </c>
      <c r="N37" s="14">
        <v>200860</v>
      </c>
      <c r="O37" s="14"/>
      <c r="P37" s="14">
        <v>200860</v>
      </c>
    </row>
    <row r="38" spans="1:16" x14ac:dyDescent="0.3">
      <c r="A38" s="1">
        <v>46059</v>
      </c>
      <c r="B38" t="s">
        <v>169</v>
      </c>
      <c r="D38" s="11">
        <v>33</v>
      </c>
      <c r="E38" s="11">
        <v>580</v>
      </c>
      <c r="F38" s="11"/>
      <c r="G38" s="11">
        <f t="shared" si="3"/>
        <v>19140</v>
      </c>
      <c r="H38" s="11"/>
      <c r="I38" s="11">
        <f>(D38*E38)-Table3[[#This Row],[Paid]]</f>
        <v>19140</v>
      </c>
      <c r="L38" s="26">
        <v>46061</v>
      </c>
      <c r="M38" s="14">
        <v>604</v>
      </c>
      <c r="N38" s="14">
        <v>495280</v>
      </c>
      <c r="O38" s="14"/>
      <c r="P38" s="14">
        <v>495280</v>
      </c>
    </row>
    <row r="39" spans="1:16" x14ac:dyDescent="0.3">
      <c r="A39" s="1">
        <v>46059</v>
      </c>
      <c r="B39" t="s">
        <v>194</v>
      </c>
      <c r="D39" s="11">
        <v>198</v>
      </c>
      <c r="E39" s="11">
        <v>820</v>
      </c>
      <c r="F39" s="11"/>
      <c r="G39" s="11">
        <f t="shared" si="3"/>
        <v>162360</v>
      </c>
      <c r="H39" s="11"/>
      <c r="I39" s="11">
        <f>(D39*E39)-Table3[[#This Row],[Paid]]</f>
        <v>162360</v>
      </c>
      <c r="L39" s="42" t="s">
        <v>103</v>
      </c>
      <c r="M39" s="14">
        <v>604</v>
      </c>
      <c r="N39" s="14">
        <v>495280</v>
      </c>
      <c r="O39" s="14"/>
      <c r="P39" s="14">
        <v>495280</v>
      </c>
    </row>
    <row r="40" spans="1:16" x14ac:dyDescent="0.3">
      <c r="A40" s="1">
        <v>46056</v>
      </c>
      <c r="B40" t="s">
        <v>194</v>
      </c>
      <c r="D40" s="11">
        <v>250</v>
      </c>
      <c r="E40" s="11">
        <v>850</v>
      </c>
      <c r="F40" s="11"/>
      <c r="G40" s="11">
        <f t="shared" si="3"/>
        <v>212500</v>
      </c>
      <c r="H40" s="11"/>
      <c r="I40" s="11">
        <f>(D40*E40)-Table3[[#This Row],[Paid]]</f>
        <v>212500</v>
      </c>
      <c r="L40" s="26">
        <v>46062</v>
      </c>
      <c r="M40" s="14">
        <v>215</v>
      </c>
      <c r="N40" s="14">
        <v>176300</v>
      </c>
      <c r="O40" s="14"/>
      <c r="P40" s="14">
        <v>176300</v>
      </c>
    </row>
    <row r="41" spans="1:16" x14ac:dyDescent="0.3">
      <c r="A41" s="1">
        <v>46060</v>
      </c>
      <c r="B41" t="s">
        <v>169</v>
      </c>
      <c r="D41" s="11">
        <v>242</v>
      </c>
      <c r="E41" s="11">
        <v>830</v>
      </c>
      <c r="F41" s="11"/>
      <c r="G41" s="11">
        <f t="shared" si="3"/>
        <v>200860</v>
      </c>
      <c r="H41" s="11"/>
      <c r="I41" s="11">
        <f>(D41*E41)-Table3[[#This Row],[Paid]]</f>
        <v>200860</v>
      </c>
      <c r="L41" s="42" t="s">
        <v>103</v>
      </c>
      <c r="M41" s="14">
        <v>215</v>
      </c>
      <c r="N41" s="14">
        <v>176300</v>
      </c>
      <c r="O41" s="14"/>
      <c r="P41" s="14">
        <v>176300</v>
      </c>
    </row>
    <row r="42" spans="1:16" x14ac:dyDescent="0.3">
      <c r="A42" s="1">
        <v>46061</v>
      </c>
      <c r="B42" t="s">
        <v>194</v>
      </c>
      <c r="D42" s="11">
        <v>206</v>
      </c>
      <c r="E42" s="11">
        <v>820</v>
      </c>
      <c r="F42" s="11"/>
      <c r="G42" s="11">
        <f t="shared" si="3"/>
        <v>168920</v>
      </c>
      <c r="H42" s="11"/>
      <c r="I42" s="11">
        <f>(D42*E42)-Table3[[#This Row],[Paid]]</f>
        <v>168920</v>
      </c>
      <c r="L42" s="26">
        <v>46063</v>
      </c>
      <c r="M42" s="14">
        <v>670</v>
      </c>
      <c r="N42" s="14">
        <v>455940</v>
      </c>
      <c r="O42" s="14"/>
      <c r="P42" s="14">
        <v>455940</v>
      </c>
    </row>
    <row r="43" spans="1:16" x14ac:dyDescent="0.3">
      <c r="A43" s="1">
        <v>46061</v>
      </c>
      <c r="B43" t="s">
        <v>216</v>
      </c>
      <c r="D43" s="11">
        <v>231</v>
      </c>
      <c r="E43" s="11">
        <v>820</v>
      </c>
      <c r="F43" s="11"/>
      <c r="G43" s="11">
        <f t="shared" si="3"/>
        <v>189420</v>
      </c>
      <c r="H43" s="11"/>
      <c r="I43" s="11">
        <f>(D43*E43)-Table3[[#This Row],[Paid]]</f>
        <v>189420</v>
      </c>
      <c r="L43" s="42" t="s">
        <v>103</v>
      </c>
      <c r="M43" s="14">
        <v>670</v>
      </c>
      <c r="N43" s="14">
        <v>455940</v>
      </c>
      <c r="O43" s="14"/>
      <c r="P43" s="14">
        <v>455940</v>
      </c>
    </row>
    <row r="44" spans="1:16" x14ac:dyDescent="0.3">
      <c r="A44" s="1">
        <v>46061</v>
      </c>
      <c r="B44" t="s">
        <v>216</v>
      </c>
      <c r="D44" s="11">
        <v>167</v>
      </c>
      <c r="E44" s="11">
        <v>820</v>
      </c>
      <c r="F44" s="11"/>
      <c r="G44" s="11">
        <f t="shared" si="3"/>
        <v>136940</v>
      </c>
      <c r="H44" s="11"/>
      <c r="I44" s="11">
        <f>(D44*E44)-Table3[[#This Row],[Paid]]</f>
        <v>136940</v>
      </c>
      <c r="L44" s="26">
        <v>46064</v>
      </c>
      <c r="M44" s="14">
        <v>157</v>
      </c>
      <c r="N44" s="14">
        <v>128740</v>
      </c>
      <c r="O44" s="14"/>
      <c r="P44" s="14">
        <v>128740</v>
      </c>
    </row>
    <row r="45" spans="1:16" x14ac:dyDescent="0.3">
      <c r="A45" s="1">
        <v>46062</v>
      </c>
      <c r="B45" t="s">
        <v>194</v>
      </c>
      <c r="D45" s="11">
        <v>215</v>
      </c>
      <c r="E45" s="11">
        <v>820</v>
      </c>
      <c r="F45" s="11"/>
      <c r="G45" s="11">
        <f t="shared" si="3"/>
        <v>176300</v>
      </c>
      <c r="H45" s="11"/>
      <c r="I45" s="11">
        <f>(D45*E45)-Table3[[#This Row],[Paid]]</f>
        <v>176300</v>
      </c>
      <c r="L45" s="42" t="s">
        <v>103</v>
      </c>
      <c r="M45" s="14">
        <v>157</v>
      </c>
      <c r="N45" s="14">
        <v>128740</v>
      </c>
      <c r="O45" s="14"/>
      <c r="P45" s="14">
        <v>128740</v>
      </c>
    </row>
    <row r="46" spans="1:16" x14ac:dyDescent="0.3">
      <c r="A46" s="1">
        <v>46044</v>
      </c>
      <c r="B46" t="s">
        <v>169</v>
      </c>
      <c r="D46" s="11">
        <v>70</v>
      </c>
      <c r="E46" s="11">
        <v>580</v>
      </c>
      <c r="F46" s="11"/>
      <c r="G46" s="11">
        <f t="shared" si="3"/>
        <v>40600</v>
      </c>
      <c r="H46" s="11"/>
      <c r="I46" s="11">
        <f>(D46*E46)-Table3[[#This Row],[Paid]]</f>
        <v>40600</v>
      </c>
      <c r="L46" s="26">
        <v>46066</v>
      </c>
      <c r="M46" s="14">
        <v>441</v>
      </c>
      <c r="N46" s="14">
        <v>361620</v>
      </c>
      <c r="O46" s="14"/>
      <c r="P46" s="14">
        <v>361620</v>
      </c>
    </row>
    <row r="47" spans="1:16" x14ac:dyDescent="0.3">
      <c r="A47" s="1">
        <v>46063</v>
      </c>
      <c r="B47" t="s">
        <v>169</v>
      </c>
      <c r="D47" s="11">
        <v>125</v>
      </c>
      <c r="E47" s="11">
        <v>580</v>
      </c>
      <c r="F47" s="11"/>
      <c r="G47" s="11">
        <f t="shared" si="3"/>
        <v>72500</v>
      </c>
      <c r="H47" s="11"/>
      <c r="I47" s="11">
        <f>(D47*E47)-Table3[[#This Row],[Paid]]</f>
        <v>72500</v>
      </c>
      <c r="L47" s="42" t="s">
        <v>103</v>
      </c>
      <c r="M47" s="14">
        <v>441</v>
      </c>
      <c r="N47" s="14">
        <v>361620</v>
      </c>
      <c r="O47" s="14"/>
      <c r="P47" s="14">
        <v>361620</v>
      </c>
    </row>
    <row r="48" spans="1:16" x14ac:dyDescent="0.3">
      <c r="A48" s="1">
        <v>46063</v>
      </c>
      <c r="B48" t="s">
        <v>169</v>
      </c>
      <c r="D48" s="11">
        <v>119</v>
      </c>
      <c r="E48" s="11">
        <v>580</v>
      </c>
      <c r="F48" s="11"/>
      <c r="G48" s="11">
        <f t="shared" si="3"/>
        <v>69020</v>
      </c>
      <c r="H48" s="11"/>
      <c r="I48" s="11">
        <f>(D48*E48)-Table3[[#This Row],[Paid]]</f>
        <v>69020</v>
      </c>
      <c r="L48" s="26">
        <v>46067</v>
      </c>
      <c r="M48" s="14">
        <v>1259</v>
      </c>
      <c r="N48" s="14">
        <v>1009520</v>
      </c>
      <c r="O48" s="14"/>
      <c r="P48" s="14">
        <v>1009520</v>
      </c>
    </row>
    <row r="49" spans="1:16" x14ac:dyDescent="0.3">
      <c r="A49" s="1">
        <v>46063</v>
      </c>
      <c r="B49" t="s">
        <v>169</v>
      </c>
      <c r="D49" s="11">
        <v>12</v>
      </c>
      <c r="E49" s="11">
        <v>775</v>
      </c>
      <c r="F49" s="11"/>
      <c r="G49" s="11">
        <f t="shared" si="3"/>
        <v>9300</v>
      </c>
      <c r="H49" s="11"/>
      <c r="I49" s="11">
        <f>(D49*E49)-Table3[[#This Row],[Paid]]</f>
        <v>9300</v>
      </c>
      <c r="L49" s="42" t="s">
        <v>103</v>
      </c>
      <c r="M49" s="14">
        <v>1259</v>
      </c>
      <c r="N49" s="14">
        <v>1009520</v>
      </c>
      <c r="O49" s="14"/>
      <c r="P49" s="14">
        <v>1009520</v>
      </c>
    </row>
    <row r="50" spans="1:16" x14ac:dyDescent="0.3">
      <c r="A50" s="1">
        <v>46063</v>
      </c>
      <c r="B50" t="s">
        <v>169</v>
      </c>
      <c r="D50" s="11">
        <v>260</v>
      </c>
      <c r="E50" s="11">
        <v>830</v>
      </c>
      <c r="F50" s="11"/>
      <c r="G50" s="11">
        <f t="shared" si="3"/>
        <v>215800</v>
      </c>
      <c r="H50" s="11"/>
      <c r="I50" s="11">
        <f>(D50*E50)-Table3[[#This Row],[Paid]]</f>
        <v>215800</v>
      </c>
      <c r="L50" s="26">
        <v>46068</v>
      </c>
      <c r="M50" s="14">
        <v>634</v>
      </c>
      <c r="N50" s="14">
        <v>522330</v>
      </c>
      <c r="O50" s="14"/>
      <c r="P50" s="14">
        <v>522330</v>
      </c>
    </row>
    <row r="51" spans="1:16" x14ac:dyDescent="0.3">
      <c r="A51" s="1">
        <v>46063</v>
      </c>
      <c r="B51" t="s">
        <v>196</v>
      </c>
      <c r="D51" s="11">
        <v>154</v>
      </c>
      <c r="E51" s="11">
        <v>580</v>
      </c>
      <c r="F51" s="11"/>
      <c r="G51" s="11">
        <f t="shared" si="3"/>
        <v>89320</v>
      </c>
      <c r="H51" s="11"/>
      <c r="I51" s="11">
        <f>(D51*E51)-Table3[[#This Row],[Paid]]</f>
        <v>89320</v>
      </c>
      <c r="L51" s="42" t="s">
        <v>103</v>
      </c>
      <c r="M51" s="14">
        <v>634</v>
      </c>
      <c r="N51" s="14">
        <v>522330</v>
      </c>
      <c r="O51" s="14"/>
      <c r="P51" s="14">
        <v>522330</v>
      </c>
    </row>
    <row r="52" spans="1:16" x14ac:dyDescent="0.3">
      <c r="A52" s="1">
        <v>46064</v>
      </c>
      <c r="B52" t="s">
        <v>194</v>
      </c>
      <c r="D52" s="11">
        <v>157</v>
      </c>
      <c r="E52" s="11">
        <v>820</v>
      </c>
      <c r="F52" s="11"/>
      <c r="G52" s="11">
        <f t="shared" si="3"/>
        <v>128740</v>
      </c>
      <c r="H52" s="11"/>
      <c r="I52" s="11">
        <f>(D52*E52)-Table3[[#This Row],[Paid]]</f>
        <v>128740</v>
      </c>
      <c r="L52" s="26">
        <v>46069</v>
      </c>
      <c r="M52" s="14">
        <v>248</v>
      </c>
      <c r="N52" s="14">
        <v>203360</v>
      </c>
      <c r="O52" s="14"/>
      <c r="P52" s="14">
        <v>203360</v>
      </c>
    </row>
    <row r="53" spans="1:16" x14ac:dyDescent="0.3">
      <c r="A53" s="1">
        <v>46066</v>
      </c>
      <c r="B53" t="s">
        <v>194</v>
      </c>
      <c r="D53" s="11">
        <v>204</v>
      </c>
      <c r="E53" s="11">
        <v>820</v>
      </c>
      <c r="F53" s="11"/>
      <c r="G53" s="11">
        <f t="shared" si="3"/>
        <v>167280</v>
      </c>
      <c r="H53" s="11"/>
      <c r="I53" s="11">
        <f>(D53*E53)-Table3[[#This Row],[Paid]]</f>
        <v>167280</v>
      </c>
      <c r="L53" s="42" t="s">
        <v>103</v>
      </c>
      <c r="M53" s="14">
        <v>248</v>
      </c>
      <c r="N53" s="14">
        <v>203360</v>
      </c>
      <c r="O53" s="14"/>
      <c r="P53" s="14">
        <v>203360</v>
      </c>
    </row>
    <row r="54" spans="1:16" x14ac:dyDescent="0.3">
      <c r="A54" s="1">
        <v>46066</v>
      </c>
      <c r="B54" t="s">
        <v>194</v>
      </c>
      <c r="D54" s="11">
        <v>237</v>
      </c>
      <c r="E54" s="11">
        <v>820</v>
      </c>
      <c r="F54" s="11"/>
      <c r="G54" s="11">
        <f t="shared" si="3"/>
        <v>194340</v>
      </c>
      <c r="H54" s="11"/>
      <c r="I54" s="11">
        <f>(D54*E54)-Table3[[#This Row],[Paid]]</f>
        <v>194340</v>
      </c>
      <c r="L54" s="26">
        <v>46070</v>
      </c>
      <c r="M54" s="14">
        <v>367</v>
      </c>
      <c r="N54" s="14">
        <v>294625</v>
      </c>
      <c r="O54" s="14"/>
      <c r="P54" s="14">
        <v>294625</v>
      </c>
    </row>
    <row r="55" spans="1:16" x14ac:dyDescent="0.3">
      <c r="A55" s="1">
        <v>46067</v>
      </c>
      <c r="B55" t="s">
        <v>274</v>
      </c>
      <c r="D55" s="11">
        <v>324</v>
      </c>
      <c r="E55" s="11">
        <v>925</v>
      </c>
      <c r="F55" s="11">
        <v>54940</v>
      </c>
      <c r="G55" s="11">
        <f t="shared" si="3"/>
        <v>299700</v>
      </c>
      <c r="H55" s="11"/>
      <c r="I55" s="11">
        <f>(D55*E55)-Table3[[#This Row],[Paid]]</f>
        <v>299700</v>
      </c>
      <c r="L55" s="42" t="s">
        <v>103</v>
      </c>
      <c r="M55" s="14">
        <v>367</v>
      </c>
      <c r="N55" s="14">
        <v>294625</v>
      </c>
      <c r="O55" s="14"/>
      <c r="P55" s="14">
        <v>294625</v>
      </c>
    </row>
    <row r="56" spans="1:16" x14ac:dyDescent="0.3">
      <c r="A56" s="1">
        <v>46067</v>
      </c>
      <c r="B56" t="s">
        <v>194</v>
      </c>
      <c r="D56" s="11">
        <v>382</v>
      </c>
      <c r="E56" s="11">
        <v>820</v>
      </c>
      <c r="F56" s="11"/>
      <c r="G56" s="11">
        <f t="shared" si="3"/>
        <v>313240</v>
      </c>
      <c r="H56" s="11"/>
      <c r="I56" s="11">
        <f>(D56*E56)-Table3[[#This Row],[Paid]]</f>
        <v>313240</v>
      </c>
      <c r="L56" s="26">
        <v>46071</v>
      </c>
      <c r="M56" s="14">
        <v>494</v>
      </c>
      <c r="N56" s="14">
        <v>330440</v>
      </c>
      <c r="O56" s="14"/>
      <c r="P56" s="14">
        <v>330440</v>
      </c>
    </row>
    <row r="57" spans="1:16" x14ac:dyDescent="0.3">
      <c r="A57" s="1">
        <v>46067</v>
      </c>
      <c r="B57" t="s">
        <v>194</v>
      </c>
      <c r="D57" s="11">
        <v>316</v>
      </c>
      <c r="E57" s="11">
        <v>820</v>
      </c>
      <c r="F57" s="11"/>
      <c r="G57" s="11">
        <f t="shared" si="3"/>
        <v>259120</v>
      </c>
      <c r="H57" s="11"/>
      <c r="I57" s="11">
        <f>(D57*E57)-Table3[[#This Row],[Paid]]</f>
        <v>259120</v>
      </c>
      <c r="L57" s="42" t="s">
        <v>103</v>
      </c>
      <c r="M57" s="14">
        <v>494</v>
      </c>
      <c r="N57" s="14">
        <v>330440</v>
      </c>
      <c r="O57" s="14"/>
      <c r="P57" s="14">
        <v>330440</v>
      </c>
    </row>
    <row r="58" spans="1:16" x14ac:dyDescent="0.3">
      <c r="A58" s="1">
        <v>46067</v>
      </c>
      <c r="B58" t="s">
        <v>169</v>
      </c>
      <c r="D58" s="11">
        <v>237</v>
      </c>
      <c r="E58" s="11">
        <v>580</v>
      </c>
      <c r="F58" s="11"/>
      <c r="G58" s="11">
        <f t="shared" si="3"/>
        <v>137460</v>
      </c>
      <c r="H58" s="11"/>
      <c r="I58" s="11">
        <f>(D58*E58)-Table3[[#This Row],[Paid]]</f>
        <v>137460</v>
      </c>
      <c r="L58" s="26">
        <v>46072</v>
      </c>
      <c r="M58" s="14">
        <v>335</v>
      </c>
      <c r="N58" s="14">
        <v>236175</v>
      </c>
      <c r="O58" s="14"/>
      <c r="P58" s="14">
        <v>236175</v>
      </c>
    </row>
    <row r="59" spans="1:16" x14ac:dyDescent="0.3">
      <c r="A59" s="1">
        <v>46068</v>
      </c>
      <c r="B59" t="s">
        <v>194</v>
      </c>
      <c r="D59" s="11">
        <v>184</v>
      </c>
      <c r="E59" s="11">
        <v>820</v>
      </c>
      <c r="F59" s="11"/>
      <c r="G59" s="11">
        <f t="shared" si="3"/>
        <v>150880</v>
      </c>
      <c r="H59" s="11"/>
      <c r="I59" s="11">
        <f>(D59*E59)-Table3[[#This Row],[Paid]]</f>
        <v>150880</v>
      </c>
      <c r="L59" s="42" t="s">
        <v>103</v>
      </c>
      <c r="M59" s="14">
        <v>335</v>
      </c>
      <c r="N59" s="14">
        <v>236175</v>
      </c>
      <c r="O59" s="14"/>
      <c r="P59" s="14">
        <v>236175</v>
      </c>
    </row>
    <row r="60" spans="1:16" x14ac:dyDescent="0.3">
      <c r="A60" s="1">
        <v>46068</v>
      </c>
      <c r="B60" t="s">
        <v>216</v>
      </c>
      <c r="D60" s="11">
        <v>205</v>
      </c>
      <c r="E60" s="11">
        <v>820</v>
      </c>
      <c r="F60" s="11"/>
      <c r="G60" s="11">
        <f t="shared" si="3"/>
        <v>168100</v>
      </c>
      <c r="H60" s="11"/>
      <c r="I60" s="11">
        <f>(D60*E60)-Table3[[#This Row],[Paid]]</f>
        <v>168100</v>
      </c>
      <c r="L60" s="26">
        <v>46073</v>
      </c>
      <c r="M60" s="14">
        <v>256</v>
      </c>
      <c r="N60" s="14">
        <v>209920</v>
      </c>
      <c r="O60" s="14"/>
      <c r="P60" s="14">
        <v>209920</v>
      </c>
    </row>
    <row r="61" spans="1:16" x14ac:dyDescent="0.3">
      <c r="A61" s="1">
        <v>46068</v>
      </c>
      <c r="B61" t="s">
        <v>169</v>
      </c>
      <c r="D61" s="11">
        <v>245</v>
      </c>
      <c r="E61" s="11">
        <v>830</v>
      </c>
      <c r="F61" s="11"/>
      <c r="G61" s="11">
        <f t="shared" si="3"/>
        <v>203350</v>
      </c>
      <c r="H61" s="11"/>
      <c r="I61" s="11">
        <f>(D61*E61)-Table3[[#This Row],[Paid]]</f>
        <v>203350</v>
      </c>
      <c r="L61" s="42" t="s">
        <v>103</v>
      </c>
      <c r="M61" s="14">
        <v>256</v>
      </c>
      <c r="N61" s="14">
        <v>209920</v>
      </c>
      <c r="O61" s="14"/>
      <c r="P61" s="14">
        <v>209920</v>
      </c>
    </row>
    <row r="62" spans="1:16" x14ac:dyDescent="0.3">
      <c r="A62" s="1">
        <v>46069</v>
      </c>
      <c r="B62" t="s">
        <v>216</v>
      </c>
      <c r="D62" s="11">
        <v>248</v>
      </c>
      <c r="E62" s="11">
        <v>820</v>
      </c>
      <c r="F62" s="11">
        <v>34000</v>
      </c>
      <c r="G62" s="11">
        <f t="shared" si="3"/>
        <v>203360</v>
      </c>
      <c r="H62" s="11"/>
      <c r="I62" s="11">
        <f>(D62*E62)-Table3[[#This Row],[Paid]]</f>
        <v>203360</v>
      </c>
      <c r="L62" s="26" t="s">
        <v>28</v>
      </c>
      <c r="M62" s="14">
        <v>8955</v>
      </c>
      <c r="N62" s="14">
        <v>7022290</v>
      </c>
      <c r="O62" s="14">
        <v>0</v>
      </c>
      <c r="P62" s="14">
        <v>11228244</v>
      </c>
    </row>
    <row r="63" spans="1:16" x14ac:dyDescent="0.3">
      <c r="A63" s="1">
        <v>46070</v>
      </c>
      <c r="B63" t="s">
        <v>274</v>
      </c>
      <c r="D63" s="11">
        <v>237</v>
      </c>
      <c r="E63" s="11">
        <v>925</v>
      </c>
      <c r="F63" s="11">
        <v>41000</v>
      </c>
      <c r="G63" s="11">
        <f t="shared" si="3"/>
        <v>219225</v>
      </c>
      <c r="H63" s="11"/>
      <c r="I63" s="11">
        <f>(D63*E63)-Table3[[#This Row],[Paid]]</f>
        <v>219225</v>
      </c>
    </row>
    <row r="64" spans="1:16" x14ac:dyDescent="0.3">
      <c r="A64" s="1">
        <v>46070</v>
      </c>
      <c r="B64" t="s">
        <v>169</v>
      </c>
      <c r="D64" s="11">
        <v>130</v>
      </c>
      <c r="E64" s="11">
        <v>580</v>
      </c>
      <c r="F64" s="11"/>
      <c r="G64" s="11">
        <f t="shared" si="3"/>
        <v>75400</v>
      </c>
      <c r="H64" s="11"/>
      <c r="I64" s="11">
        <f>(D64*E64)-Table3[[#This Row],[Paid]]</f>
        <v>75400</v>
      </c>
    </row>
    <row r="65" spans="1:9" x14ac:dyDescent="0.3">
      <c r="A65" s="1">
        <v>46071</v>
      </c>
      <c r="B65" t="s">
        <v>216</v>
      </c>
      <c r="D65" s="11">
        <v>183</v>
      </c>
      <c r="E65" s="11">
        <v>820</v>
      </c>
      <c r="F65" s="11"/>
      <c r="G65" s="11">
        <f t="shared" si="3"/>
        <v>150060</v>
      </c>
      <c r="H65" s="11"/>
      <c r="I65" s="11">
        <f>(D65*E65)-Table3[[#This Row],[Paid]]</f>
        <v>150060</v>
      </c>
    </row>
    <row r="66" spans="1:9" x14ac:dyDescent="0.3">
      <c r="A66" s="1">
        <v>46071</v>
      </c>
      <c r="B66" t="s">
        <v>169</v>
      </c>
      <c r="D66" s="11">
        <v>311</v>
      </c>
      <c r="E66" s="11">
        <v>580</v>
      </c>
      <c r="F66" s="11"/>
      <c r="G66" s="11">
        <f t="shared" si="3"/>
        <v>180380</v>
      </c>
      <c r="H66" s="11"/>
      <c r="I66" s="11">
        <f>(D66*E66)-Table3[[#This Row],[Paid]]</f>
        <v>180380</v>
      </c>
    </row>
    <row r="67" spans="1:9" x14ac:dyDescent="0.3">
      <c r="A67" s="1">
        <v>46072</v>
      </c>
      <c r="B67" t="s">
        <v>274</v>
      </c>
      <c r="D67" s="11">
        <v>335</v>
      </c>
      <c r="E67" s="11">
        <v>705</v>
      </c>
      <c r="F67" s="11">
        <v>35500</v>
      </c>
      <c r="G67" s="11">
        <f t="shared" si="3"/>
        <v>236175</v>
      </c>
      <c r="H67" s="11"/>
      <c r="I67" s="11">
        <f>(D67*E67)-Table3[[#This Row],[Paid]]</f>
        <v>236175</v>
      </c>
    </row>
    <row r="69" spans="1:9" x14ac:dyDescent="0.3">
      <c r="A69" s="1"/>
      <c r="D69" s="11"/>
      <c r="E69" s="11"/>
      <c r="F69" s="11"/>
      <c r="G69" s="11">
        <f t="shared" ref="G69:G82" si="4">D69*E69</f>
        <v>0</v>
      </c>
      <c r="H69" s="11"/>
      <c r="I69" s="11">
        <f>(D69*E69)-Table3[[#This Row],[Paid]]</f>
        <v>0</v>
      </c>
    </row>
    <row r="70" spans="1:9" x14ac:dyDescent="0.3">
      <c r="A70" s="114">
        <v>46046</v>
      </c>
      <c r="B70" t="s">
        <v>194</v>
      </c>
      <c r="D70" s="11"/>
      <c r="E70" s="11"/>
      <c r="F70" s="11"/>
      <c r="G70" s="11">
        <f t="shared" si="4"/>
        <v>0</v>
      </c>
      <c r="H70" s="11">
        <f>SUMIFS(Table14[Debit], Table14[Date], Table3[[#This Row],[Date]], Table14[Party], Table3[[#This Row],[Party Name]])</f>
        <v>200005</v>
      </c>
      <c r="I70" s="11">
        <f>(D70*E70)-Table3[[#This Row],[Paid]]</f>
        <v>-200005</v>
      </c>
    </row>
    <row r="71" spans="1:9" x14ac:dyDescent="0.3">
      <c r="A71" s="114">
        <v>46047</v>
      </c>
      <c r="B71" t="s">
        <v>194</v>
      </c>
      <c r="D71" s="11"/>
      <c r="E71" s="11"/>
      <c r="F71" s="11"/>
      <c r="G71" s="11">
        <f t="shared" si="4"/>
        <v>0</v>
      </c>
      <c r="H71" s="11">
        <f>SUMIFS(Table14[Debit], Table14[Date], Table3[[#This Row],[Date]], Table14[Party], Table3[[#This Row],[Party Name]])</f>
        <v>100000</v>
      </c>
      <c r="I71" s="11">
        <f>(D71*E71)-Table3[[#This Row],[Paid]]</f>
        <v>-100000</v>
      </c>
    </row>
    <row r="72" spans="1:9" x14ac:dyDescent="0.3">
      <c r="A72" s="114">
        <v>46048</v>
      </c>
      <c r="B72" t="s">
        <v>194</v>
      </c>
      <c r="D72" s="11"/>
      <c r="E72" s="11"/>
      <c r="F72" s="11"/>
      <c r="G72" s="11">
        <f t="shared" si="4"/>
        <v>0</v>
      </c>
      <c r="H72" s="11">
        <f>SUMIFS(Table14[Debit], Table14[Date], Table3[[#This Row],[Date]], Table14[Party], Table3[[#This Row],[Party Name]])</f>
        <v>100113</v>
      </c>
      <c r="I72" s="11">
        <f>(D72*E72)-Table3[[#This Row],[Paid]]</f>
        <v>-100113</v>
      </c>
    </row>
    <row r="73" spans="1:9" x14ac:dyDescent="0.3">
      <c r="A73" s="114">
        <v>46053</v>
      </c>
      <c r="B73" t="s">
        <v>194</v>
      </c>
      <c r="D73" s="11"/>
      <c r="E73" s="11"/>
      <c r="F73" s="11"/>
      <c r="G73" s="11">
        <f t="shared" si="4"/>
        <v>0</v>
      </c>
      <c r="H73" s="11">
        <f>SUMIFS(Table14[Debit], Table14[Date], Table3[[#This Row],[Date]], Table14[Party], Table3[[#This Row],[Party Name]])</f>
        <v>100200</v>
      </c>
      <c r="I73" s="11">
        <f>(D73*E73)-Table3[[#This Row],[Paid]]</f>
        <v>-100200</v>
      </c>
    </row>
    <row r="74" spans="1:9" x14ac:dyDescent="0.3">
      <c r="A74" s="114">
        <v>46054</v>
      </c>
      <c r="B74" t="s">
        <v>194</v>
      </c>
      <c r="D74" s="11"/>
      <c r="E74" s="11"/>
      <c r="F74" s="11"/>
      <c r="G74" s="11">
        <f t="shared" si="4"/>
        <v>0</v>
      </c>
      <c r="H74" s="11">
        <f>SUMIFS(Table14[Debit], Table14[Date], Table3[[#This Row],[Date]], Table14[Party], Table3[[#This Row],[Party Name]])</f>
        <v>100101</v>
      </c>
      <c r="I74" s="11">
        <f>(D74*E74)-Table3[[#This Row],[Paid]]</f>
        <v>-100101</v>
      </c>
    </row>
    <row r="75" spans="1:9" x14ac:dyDescent="0.3">
      <c r="A75" s="114">
        <v>46055</v>
      </c>
      <c r="B75" t="s">
        <v>194</v>
      </c>
      <c r="D75" s="11"/>
      <c r="E75" s="11"/>
      <c r="F75" s="11"/>
      <c r="G75" s="11">
        <f t="shared" si="4"/>
        <v>0</v>
      </c>
      <c r="H75" s="11">
        <f>SUMIFS(Table14[Debit], Table14[Date], Table3[[#This Row],[Date]], Table14[Party], Table3[[#This Row],[Party Name]])</f>
        <v>200144</v>
      </c>
      <c r="I75" s="11">
        <f>(D75*E75)-Table3[[#This Row],[Paid]]</f>
        <v>-200144</v>
      </c>
    </row>
    <row r="76" spans="1:9" x14ac:dyDescent="0.3">
      <c r="A76" s="114">
        <v>46056</v>
      </c>
      <c r="B76" t="s">
        <v>194</v>
      </c>
      <c r="D76" s="11"/>
      <c r="E76" s="11"/>
      <c r="F76" s="11"/>
      <c r="G76" s="11">
        <f t="shared" si="4"/>
        <v>0</v>
      </c>
      <c r="H76" s="11">
        <f>SUMIFS(Table14[Debit], Table14[Date], Table3[[#This Row],[Date]], Table14[Party], Table3[[#This Row],[Party Name]])</f>
        <v>150224</v>
      </c>
      <c r="I76" s="11">
        <f>(D76*E76)-Table3[[#This Row],[Paid]]</f>
        <v>-150224</v>
      </c>
    </row>
    <row r="77" spans="1:9" x14ac:dyDescent="0.3">
      <c r="A77" s="38">
        <v>46058</v>
      </c>
      <c r="B77" t="s">
        <v>194</v>
      </c>
      <c r="D77" s="11"/>
      <c r="E77" s="11"/>
      <c r="F77" s="11"/>
      <c r="G77" s="11">
        <f t="shared" si="4"/>
        <v>0</v>
      </c>
      <c r="H77" s="11">
        <f>SUMIFS(Table14[Debit], Table14[Date], Table3[[#This Row],[Date]], Table14[Party], Table3[[#This Row],[Party Name]])</f>
        <v>200119</v>
      </c>
      <c r="I77" s="11">
        <f>(D77*E77)-Table3[[#This Row],[Paid]]</f>
        <v>-200119</v>
      </c>
    </row>
    <row r="78" spans="1:9" x14ac:dyDescent="0.3">
      <c r="A78" s="38">
        <v>46060</v>
      </c>
      <c r="B78" t="s">
        <v>194</v>
      </c>
      <c r="D78" s="11"/>
      <c r="E78" s="11"/>
      <c r="F78" s="11"/>
      <c r="G78" s="11">
        <f t="shared" si="4"/>
        <v>0</v>
      </c>
      <c r="H78" s="11">
        <f>SUMIFS(Table14[Debit], Table14[Date], Table3[[#This Row],[Date]], Table14[Party], Table3[[#This Row],[Party Name]])</f>
        <v>100000</v>
      </c>
      <c r="I78" s="11">
        <f>(D78*E78)-Table3[[#This Row],[Paid]]</f>
        <v>-100000</v>
      </c>
    </row>
    <row r="79" spans="1:9" x14ac:dyDescent="0.3">
      <c r="A79" s="114">
        <v>46062</v>
      </c>
      <c r="B79" t="s">
        <v>194</v>
      </c>
      <c r="D79" s="11"/>
      <c r="E79" s="11"/>
      <c r="F79" s="11"/>
      <c r="G79" s="11">
        <f t="shared" si="4"/>
        <v>0</v>
      </c>
      <c r="H79" s="11">
        <f>SUMIFS(Table14[Debit], Table14[Date], Table3[[#This Row],[Date]], Table14[Party], Table3[[#This Row],[Party Name]])</f>
        <v>200153</v>
      </c>
      <c r="I79" s="11">
        <f>(D79*E79)-Table3[[#This Row],[Paid]]</f>
        <v>-200153</v>
      </c>
    </row>
    <row r="80" spans="1:9" x14ac:dyDescent="0.3">
      <c r="A80" s="114"/>
      <c r="B80" t="s">
        <v>194</v>
      </c>
      <c r="D80" s="11"/>
      <c r="E80" s="11"/>
      <c r="F80" s="11"/>
      <c r="G80" s="11">
        <f t="shared" si="4"/>
        <v>0</v>
      </c>
      <c r="H80" s="11">
        <f>SUMIFS(Table14[Debit], Table14[Date], Table3[[#This Row],[Date]], Table14[Party], Table3[[#This Row],[Party Name]])</f>
        <v>0</v>
      </c>
      <c r="I80" s="11">
        <f>(D80*E80)-Table3[[#This Row],[Paid]]</f>
        <v>0</v>
      </c>
    </row>
    <row r="81" spans="1:9" x14ac:dyDescent="0.3">
      <c r="A81" s="114">
        <v>46063</v>
      </c>
      <c r="B81" t="s">
        <v>194</v>
      </c>
      <c r="D81" s="11"/>
      <c r="E81" s="11"/>
      <c r="F81" s="11"/>
      <c r="G81" s="11">
        <f t="shared" si="4"/>
        <v>0</v>
      </c>
      <c r="H81" s="11">
        <f>SUMIFS(Table14[Debit], Table14[Date], Table3[[#This Row],[Date]], Table14[Party], Table3[[#This Row],[Party Name]])</f>
        <v>7000</v>
      </c>
      <c r="I81" s="11">
        <f>(D81*E81)-Table3[[#This Row],[Paid]]</f>
        <v>-7000</v>
      </c>
    </row>
    <row r="82" spans="1:9" x14ac:dyDescent="0.3">
      <c r="A82" s="114">
        <v>46064</v>
      </c>
      <c r="B82" t="s">
        <v>194</v>
      </c>
      <c r="D82" s="11"/>
      <c r="E82" s="11"/>
      <c r="F82" s="11"/>
      <c r="G82" s="11">
        <f t="shared" si="4"/>
        <v>0</v>
      </c>
      <c r="H82" s="11">
        <f>SUMIFS(Table14[Debit], Table14[Date], Table3[[#This Row],[Date]], Table14[Party], Table3[[#This Row],[Party Name]])</f>
        <v>150000</v>
      </c>
      <c r="I82" s="11">
        <f>(D82*E82)-Table3[[#This Row],[Paid]]</f>
        <v>-150000</v>
      </c>
    </row>
    <row r="83" spans="1:9" x14ac:dyDescent="0.3">
      <c r="A83" s="38">
        <v>46065</v>
      </c>
      <c r="B83" t="s">
        <v>194</v>
      </c>
      <c r="D83" s="11"/>
      <c r="E83" s="11"/>
      <c r="F83" s="11"/>
      <c r="G83" s="11">
        <f t="shared" ref="G83:G121" si="5">D83*E83</f>
        <v>0</v>
      </c>
      <c r="H83" s="11">
        <f>SUMIFS(Table14[Debit], Table14[Date], Table3[[#This Row],[Date]], Table14[Party], Table3[[#This Row],[Party Name]])</f>
        <v>400361</v>
      </c>
      <c r="I83" s="11">
        <f>(D83*E83)-Table3[[#This Row],[Paid]]</f>
        <v>-400361</v>
      </c>
    </row>
    <row r="84" spans="1:9" x14ac:dyDescent="0.3">
      <c r="A84" s="38"/>
      <c r="B84" t="s">
        <v>194</v>
      </c>
      <c r="D84" s="11"/>
      <c r="E84" s="11"/>
      <c r="F84" s="11"/>
      <c r="G84" s="11">
        <f t="shared" si="5"/>
        <v>0</v>
      </c>
      <c r="H84" s="11">
        <f>SUMIFS(Table14[Debit], Table14[Date], Table3[[#This Row],[Date]], Table14[Party], Table3[[#This Row],[Party Name]])</f>
        <v>0</v>
      </c>
      <c r="I84" s="11">
        <f>(D84*E84)-Table3[[#This Row],[Paid]]</f>
        <v>0</v>
      </c>
    </row>
    <row r="85" spans="1:9" x14ac:dyDescent="0.3">
      <c r="A85" s="38">
        <v>46066</v>
      </c>
      <c r="B85" t="s">
        <v>194</v>
      </c>
      <c r="D85" s="11"/>
      <c r="E85" s="11"/>
      <c r="F85" s="11"/>
      <c r="G85" s="11">
        <f t="shared" si="5"/>
        <v>0</v>
      </c>
      <c r="H85" s="11">
        <f>SUMIFS(Table14[Debit], Table14[Date], Table3[[#This Row],[Date]], Table14[Party], Table3[[#This Row],[Party Name]])</f>
        <v>3000</v>
      </c>
      <c r="I85" s="11">
        <f>(D85*E85)-Table3[[#This Row],[Paid]]</f>
        <v>-3000</v>
      </c>
    </row>
    <row r="86" spans="1:9" x14ac:dyDescent="0.3">
      <c r="A86" s="114">
        <v>46067</v>
      </c>
      <c r="B86" t="s">
        <v>194</v>
      </c>
      <c r="D86" s="11"/>
      <c r="E86" s="11"/>
      <c r="F86" s="11"/>
      <c r="G86" s="11">
        <f t="shared" si="5"/>
        <v>0</v>
      </c>
      <c r="H86" s="11">
        <f>SUMIFS(Table14[Debit], Table14[Date], Table3[[#This Row],[Date]], Table14[Party], Table3[[#This Row],[Party Name]])</f>
        <v>302003</v>
      </c>
      <c r="I86" s="11">
        <f>(D86*E86)-Table3[[#This Row],[Paid]]</f>
        <v>-302003</v>
      </c>
    </row>
    <row r="87" spans="1:9" x14ac:dyDescent="0.3">
      <c r="A87" s="114"/>
      <c r="B87" t="s">
        <v>194</v>
      </c>
      <c r="D87" s="11"/>
      <c r="E87" s="11"/>
      <c r="F87" s="11"/>
      <c r="G87" s="11">
        <f t="shared" si="5"/>
        <v>0</v>
      </c>
      <c r="H87" s="11">
        <f>SUMIFS(Table14[Debit], Table14[Date], Table3[[#This Row],[Date]], Table14[Party], Table3[[#This Row],[Party Name]])</f>
        <v>0</v>
      </c>
      <c r="I87" s="11">
        <f>(D87*E87)-Table3[[#This Row],[Paid]]</f>
        <v>0</v>
      </c>
    </row>
    <row r="88" spans="1:9" x14ac:dyDescent="0.3">
      <c r="A88" s="114">
        <v>46069</v>
      </c>
      <c r="B88" t="s">
        <v>194</v>
      </c>
      <c r="D88" s="11"/>
      <c r="E88" s="11"/>
      <c r="F88" s="11"/>
      <c r="G88" s="11">
        <f t="shared" si="5"/>
        <v>0</v>
      </c>
      <c r="H88" s="11">
        <f>SUMIFS(Table14[Debit], Table14[Date], Table3[[#This Row],[Date]], Table14[Party], Table3[[#This Row],[Party Name]])</f>
        <v>251000</v>
      </c>
      <c r="I88" s="11">
        <f>(D88*E88)-Table3[[#This Row],[Paid]]</f>
        <v>-251000</v>
      </c>
    </row>
    <row r="89" spans="1:9" x14ac:dyDescent="0.3">
      <c r="A89" s="114"/>
      <c r="B89" t="s">
        <v>194</v>
      </c>
      <c r="D89" s="11"/>
      <c r="E89" s="11"/>
      <c r="F89" s="11"/>
      <c r="G89" s="11">
        <f t="shared" si="5"/>
        <v>0</v>
      </c>
      <c r="H89" s="11">
        <f>SUMIFS(Table14[Debit], Table14[Date], Table3[[#This Row],[Date]], Table14[Party], Table3[[#This Row],[Party Name]])</f>
        <v>0</v>
      </c>
      <c r="I89" s="11">
        <f>(D89*E89)-Table3[[#This Row],[Paid]]</f>
        <v>0</v>
      </c>
    </row>
    <row r="90" spans="1:9" x14ac:dyDescent="0.3">
      <c r="A90" s="114">
        <v>46070</v>
      </c>
      <c r="B90" t="s">
        <v>194</v>
      </c>
      <c r="D90" s="11"/>
      <c r="E90" s="11"/>
      <c r="F90" s="11"/>
      <c r="G90" s="11">
        <f t="shared" si="5"/>
        <v>0</v>
      </c>
      <c r="H90" s="11">
        <f>SUMIFS(Table14[Debit], Table14[Date], Table3[[#This Row],[Date]], Table14[Party], Table3[[#This Row],[Party Name]])</f>
        <v>200775</v>
      </c>
      <c r="I90" s="11">
        <f>(D90*E90)-Table3[[#This Row],[Paid]]</f>
        <v>-200775</v>
      </c>
    </row>
    <row r="91" spans="1:9" x14ac:dyDescent="0.3">
      <c r="A91" s="1">
        <v>46065</v>
      </c>
      <c r="B91" t="s">
        <v>172</v>
      </c>
      <c r="D91" s="11"/>
      <c r="E91" s="11"/>
      <c r="F91" s="11"/>
      <c r="G91" s="11">
        <f t="shared" si="5"/>
        <v>0</v>
      </c>
      <c r="H91" s="11">
        <f>SUMIFS(Table14[Debit], Table14[Date], Table3[[#This Row],[Date]], Table14[Party], Table3[[#This Row],[Party Name]])</f>
        <v>97520</v>
      </c>
      <c r="I91" s="11">
        <f>(D91*E91)-Table3[[#This Row],[Paid]]</f>
        <v>-97520</v>
      </c>
    </row>
    <row r="92" spans="1:9" x14ac:dyDescent="0.3">
      <c r="A92" s="114">
        <v>46045</v>
      </c>
      <c r="B92" t="s">
        <v>169</v>
      </c>
      <c r="D92" s="11"/>
      <c r="E92" s="11"/>
      <c r="F92" s="11"/>
      <c r="G92" s="11">
        <f t="shared" si="5"/>
        <v>0</v>
      </c>
      <c r="H92" s="11">
        <f>SUMIFS(Table14[Debit], Table14[Date], Table3[[#This Row],[Date]], Table14[Party], Table3[[#This Row],[Party Name]])</f>
        <v>120000</v>
      </c>
      <c r="I92" s="11">
        <f>(D92*E92)-Table3[[#This Row],[Paid]]</f>
        <v>-120000</v>
      </c>
    </row>
    <row r="93" spans="1:9" x14ac:dyDescent="0.3">
      <c r="A93" s="114">
        <v>46050</v>
      </c>
      <c r="B93" t="s">
        <v>169</v>
      </c>
      <c r="D93" s="11"/>
      <c r="E93" s="11"/>
      <c r="F93" s="11"/>
      <c r="G93" s="11">
        <f t="shared" si="5"/>
        <v>0</v>
      </c>
      <c r="H93" s="11">
        <f>SUMIFS(Table14[Debit], Table14[Date], Table3[[#This Row],[Date]], Table14[Party], Table3[[#This Row],[Party Name]])</f>
        <v>125000</v>
      </c>
      <c r="I93" s="11">
        <f>(D93*E93)-Table3[[#This Row],[Paid]]</f>
        <v>-125000</v>
      </c>
    </row>
    <row r="94" spans="1:9" x14ac:dyDescent="0.3">
      <c r="A94" s="114">
        <v>46055</v>
      </c>
      <c r="B94" t="s">
        <v>169</v>
      </c>
      <c r="D94" s="11"/>
      <c r="E94" s="11"/>
      <c r="F94" s="11"/>
      <c r="G94" s="11">
        <f t="shared" si="5"/>
        <v>0</v>
      </c>
      <c r="H94" s="11">
        <f>SUMIFS(Table14[Debit], Table14[Date], Table3[[#This Row],[Date]], Table14[Party], Table3[[#This Row],[Party Name]])</f>
        <v>150000</v>
      </c>
      <c r="I94" s="11">
        <f>(D94*E94)-Table3[[#This Row],[Paid]]</f>
        <v>-150000</v>
      </c>
    </row>
    <row r="95" spans="1:9" x14ac:dyDescent="0.3">
      <c r="A95" s="114">
        <v>46056</v>
      </c>
      <c r="B95" t="s">
        <v>169</v>
      </c>
      <c r="D95" s="11"/>
      <c r="E95" s="11"/>
      <c r="F95" s="11"/>
      <c r="G95" s="11">
        <f t="shared" si="5"/>
        <v>0</v>
      </c>
      <c r="H95" s="11">
        <f>SUMIFS(Table14[Debit], Table14[Date], Table3[[#This Row],[Date]], Table14[Party], Table3[[#This Row],[Party Name]])</f>
        <v>100500</v>
      </c>
      <c r="I95" s="11">
        <f>(D95*E95)-Table3[[#This Row],[Paid]]</f>
        <v>-100500</v>
      </c>
    </row>
    <row r="96" spans="1:9" x14ac:dyDescent="0.3">
      <c r="A96" s="114">
        <v>46057</v>
      </c>
      <c r="B96" t="s">
        <v>169</v>
      </c>
      <c r="D96" s="11"/>
      <c r="E96" s="11"/>
      <c r="F96" s="11"/>
      <c r="G96" s="11">
        <f t="shared" si="5"/>
        <v>0</v>
      </c>
      <c r="H96" s="11">
        <f>SUMIFS(Table14[Debit], Table14[Date], Table3[[#This Row],[Date]], Table14[Party], Table3[[#This Row],[Party Name]])</f>
        <v>150000</v>
      </c>
      <c r="I96" s="11">
        <f>(D96*E96)-Table3[[#This Row],[Paid]]</f>
        <v>-150000</v>
      </c>
    </row>
    <row r="97" spans="1:9" x14ac:dyDescent="0.3">
      <c r="A97" s="38">
        <v>46059</v>
      </c>
      <c r="B97" t="s">
        <v>169</v>
      </c>
      <c r="D97" s="11"/>
      <c r="E97" s="11"/>
      <c r="F97" s="11"/>
      <c r="G97" s="11">
        <f t="shared" si="5"/>
        <v>0</v>
      </c>
      <c r="H97" s="11">
        <f>SUMIFS(Table14[Debit], Table14[Date], Table3[[#This Row],[Date]], Table14[Party], Table3[[#This Row],[Party Name]])</f>
        <v>150500</v>
      </c>
      <c r="I97" s="11">
        <f>(D97*E97)-Table3[[#This Row],[Paid]]</f>
        <v>-150500</v>
      </c>
    </row>
    <row r="98" spans="1:9" x14ac:dyDescent="0.3">
      <c r="A98" s="114">
        <v>46060</v>
      </c>
      <c r="B98" t="s">
        <v>169</v>
      </c>
      <c r="D98" s="11"/>
      <c r="E98" s="11"/>
      <c r="F98" s="11"/>
      <c r="G98" s="11">
        <f t="shared" si="5"/>
        <v>0</v>
      </c>
      <c r="H98" s="11">
        <f>SUMIFS(Table14[Debit], Table14[Date], Table3[[#This Row],[Date]], Table14[Party], Table3[[#This Row],[Party Name]])</f>
        <v>164808</v>
      </c>
      <c r="I98" s="11">
        <f>(D98*E98)-Table3[[#This Row],[Paid]]</f>
        <v>-164808</v>
      </c>
    </row>
    <row r="99" spans="1:9" x14ac:dyDescent="0.3">
      <c r="A99" s="38"/>
      <c r="B99" t="s">
        <v>169</v>
      </c>
      <c r="D99" s="11"/>
      <c r="E99" s="11"/>
      <c r="F99" s="11"/>
      <c r="G99" s="11">
        <f t="shared" si="5"/>
        <v>0</v>
      </c>
      <c r="H99" s="11">
        <f>SUMIFS(Table14[Debit], Table14[Date], Table3[[#This Row],[Date]], Table14[Party], Table3[[#This Row],[Party Name]])</f>
        <v>0</v>
      </c>
      <c r="I99" s="11">
        <f>(D99*E99)-Table3[[#This Row],[Paid]]</f>
        <v>0</v>
      </c>
    </row>
    <row r="100" spans="1:9" x14ac:dyDescent="0.3">
      <c r="A100" s="114">
        <v>46062</v>
      </c>
      <c r="B100" t="s">
        <v>169</v>
      </c>
      <c r="D100" s="11"/>
      <c r="E100" s="11"/>
      <c r="F100" s="11"/>
      <c r="G100" s="11">
        <f t="shared" si="5"/>
        <v>0</v>
      </c>
      <c r="H100" s="11">
        <f>SUMIFS(Table14[Debit], Table14[Date], Table3[[#This Row],[Date]], Table14[Party], Table3[[#This Row],[Party Name]])</f>
        <v>150000</v>
      </c>
      <c r="I100" s="11">
        <f>(D100*E100)-Table3[[#This Row],[Paid]]</f>
        <v>-150000</v>
      </c>
    </row>
    <row r="101" spans="1:9" x14ac:dyDescent="0.3">
      <c r="A101" s="114">
        <v>46063</v>
      </c>
      <c r="B101" t="s">
        <v>169</v>
      </c>
      <c r="D101" s="11"/>
      <c r="E101" s="11"/>
      <c r="F101" s="11"/>
      <c r="G101" s="11">
        <f t="shared" si="5"/>
        <v>0</v>
      </c>
      <c r="H101" s="11">
        <f>SUMIFS(Table14[Debit], Table14[Date], Table3[[#This Row],[Date]], Table14[Party], Table3[[#This Row],[Party Name]])</f>
        <v>178500</v>
      </c>
      <c r="I101" s="11">
        <f>(D101*E101)-Table3[[#This Row],[Paid]]</f>
        <v>-178500</v>
      </c>
    </row>
    <row r="102" spans="1:9" x14ac:dyDescent="0.3">
      <c r="A102" s="114"/>
      <c r="B102" t="s">
        <v>169</v>
      </c>
      <c r="D102" s="11"/>
      <c r="E102" s="11"/>
      <c r="F102" s="11"/>
      <c r="G102" s="11">
        <f t="shared" si="5"/>
        <v>0</v>
      </c>
      <c r="H102" s="11">
        <f>SUMIFS(Table14[Debit], Table14[Date], Table3[[#This Row],[Date]], Table14[Party], Table3[[#This Row],[Party Name]])</f>
        <v>0</v>
      </c>
      <c r="I102" s="11">
        <f>(D102*E102)-Table3[[#This Row],[Paid]]</f>
        <v>0</v>
      </c>
    </row>
    <row r="103" spans="1:9" x14ac:dyDescent="0.3">
      <c r="A103" s="114"/>
      <c r="B103" t="s">
        <v>169</v>
      </c>
      <c r="D103" s="11"/>
      <c r="E103" s="11"/>
      <c r="F103" s="11"/>
      <c r="G103" s="11">
        <f t="shared" si="5"/>
        <v>0</v>
      </c>
      <c r="H103" s="11">
        <f>SUMIFS(Table14[Debit], Table14[Date], Table3[[#This Row],[Date]], Table14[Party], Table3[[#This Row],[Party Name]])</f>
        <v>0</v>
      </c>
      <c r="I103" s="11">
        <f>(D103*E103)-Table3[[#This Row],[Paid]]</f>
        <v>0</v>
      </c>
    </row>
    <row r="104" spans="1:9" x14ac:dyDescent="0.3">
      <c r="A104" s="38">
        <v>46066</v>
      </c>
      <c r="B104" t="s">
        <v>169</v>
      </c>
      <c r="D104" s="11"/>
      <c r="E104" s="11"/>
      <c r="F104" s="11"/>
      <c r="G104" s="11">
        <f t="shared" si="5"/>
        <v>0</v>
      </c>
      <c r="H104" s="11">
        <f>SUMIFS(Table14[Debit], Table14[Date], Table3[[#This Row],[Date]], Table14[Party], Table3[[#This Row],[Party Name]])</f>
        <v>150000</v>
      </c>
      <c r="I104" s="11">
        <f>(D104*E104)-Table3[[#This Row],[Paid]]</f>
        <v>-150000</v>
      </c>
    </row>
    <row r="105" spans="1:9" x14ac:dyDescent="0.3">
      <c r="A105" s="114">
        <v>46069</v>
      </c>
      <c r="B105" t="s">
        <v>169</v>
      </c>
      <c r="D105" s="11"/>
      <c r="E105" s="11"/>
      <c r="F105" s="11"/>
      <c r="G105" s="11">
        <f t="shared" si="5"/>
        <v>0</v>
      </c>
      <c r="H105" s="11">
        <f>SUMIFS(Table14[Debit], Table14[Date], Table3[[#This Row],[Date]], Table14[Party], Table3[[#This Row],[Party Name]])</f>
        <v>202046</v>
      </c>
      <c r="I105" s="11">
        <f>(D105*E105)-Table3[[#This Row],[Paid]]</f>
        <v>-202046</v>
      </c>
    </row>
    <row r="106" spans="1:9" x14ac:dyDescent="0.3">
      <c r="A106" s="114"/>
      <c r="B106" t="s">
        <v>169</v>
      </c>
      <c r="D106" s="11"/>
      <c r="E106" s="11"/>
      <c r="F106" s="11"/>
      <c r="G106" s="11">
        <f t="shared" si="5"/>
        <v>0</v>
      </c>
      <c r="H106" s="11">
        <f>SUMIFS(Table14[Debit], Table14[Date], Table3[[#This Row],[Date]], Table14[Party], Table3[[#This Row],[Party Name]])</f>
        <v>0</v>
      </c>
      <c r="I106" s="11">
        <f>(D106*E106)-Table3[[#This Row],[Paid]]</f>
        <v>0</v>
      </c>
    </row>
    <row r="107" spans="1:9" x14ac:dyDescent="0.3">
      <c r="A107" s="38">
        <v>46072</v>
      </c>
      <c r="B107" t="s">
        <v>169</v>
      </c>
      <c r="D107" s="11"/>
      <c r="E107" s="11"/>
      <c r="F107" s="11"/>
      <c r="G107" s="11">
        <f t="shared" si="5"/>
        <v>0</v>
      </c>
      <c r="H107" s="11">
        <f>SUMIFS(Table14[Debit], Table14[Date], Table3[[#This Row],[Date]], Table14[Party], Table3[[#This Row],[Party Name]])</f>
        <v>150000</v>
      </c>
      <c r="I107" s="11">
        <f>(D107*E107)-Table3[[#This Row],[Paid]]</f>
        <v>-150000</v>
      </c>
    </row>
    <row r="108" spans="1:9" x14ac:dyDescent="0.3">
      <c r="A108" s="114">
        <v>46045</v>
      </c>
      <c r="B108" t="s">
        <v>274</v>
      </c>
      <c r="D108" s="11"/>
      <c r="E108" s="11"/>
      <c r="F108" s="11"/>
      <c r="G108" s="11">
        <f t="shared" si="5"/>
        <v>0</v>
      </c>
      <c r="H108" s="11">
        <f>SUMIFS(Table14[Debit], Table14[Date], Table3[[#This Row],[Date]], Table14[Party], Table3[[#This Row],[Party Name]])</f>
        <v>200100</v>
      </c>
      <c r="I108" s="11">
        <f>(D108*E108)-Table3[[#This Row],[Paid]]</f>
        <v>-200100</v>
      </c>
    </row>
    <row r="109" spans="1:9" x14ac:dyDescent="0.3">
      <c r="A109" s="114">
        <v>46053</v>
      </c>
      <c r="B109" t="s">
        <v>274</v>
      </c>
      <c r="D109" s="11"/>
      <c r="E109" s="11"/>
      <c r="F109" s="11"/>
      <c r="G109" s="11">
        <f t="shared" si="5"/>
        <v>0</v>
      </c>
      <c r="H109" s="11">
        <f>SUMIFS(Table14[Debit], Table14[Date], Table3[[#This Row],[Date]], Table14[Party], Table3[[#This Row],[Party Name]])</f>
        <v>90000</v>
      </c>
      <c r="I109" s="11">
        <f>(D109*E109)-Table3[[#This Row],[Paid]]</f>
        <v>-90000</v>
      </c>
    </row>
    <row r="110" spans="1:9" x14ac:dyDescent="0.3">
      <c r="A110" s="114">
        <v>46054</v>
      </c>
      <c r="B110" t="s">
        <v>274</v>
      </c>
      <c r="D110" s="11"/>
      <c r="E110" s="11"/>
      <c r="F110" s="11"/>
      <c r="G110" s="11">
        <f t="shared" si="5"/>
        <v>0</v>
      </c>
      <c r="H110" s="11">
        <f>SUMIFS(Table14[Debit], Table14[Date], Table3[[#This Row],[Date]], Table14[Party], Table3[[#This Row],[Party Name]])</f>
        <v>200280</v>
      </c>
      <c r="I110" s="11">
        <f>(D110*E110)-Table3[[#This Row],[Paid]]</f>
        <v>-200280</v>
      </c>
    </row>
    <row r="111" spans="1:9" x14ac:dyDescent="0.3">
      <c r="A111" s="114">
        <v>46063</v>
      </c>
      <c r="B111" t="s">
        <v>274</v>
      </c>
      <c r="D111" s="11"/>
      <c r="E111" s="11"/>
      <c r="F111" s="11"/>
      <c r="G111" s="11">
        <f t="shared" si="5"/>
        <v>0</v>
      </c>
      <c r="H111" s="11">
        <f>SUMIFS(Table14[Debit], Table14[Date], Table3[[#This Row],[Date]], Table14[Party], Table3[[#This Row],[Party Name]])</f>
        <v>202170</v>
      </c>
      <c r="I111" s="11">
        <f>(D111*E111)-Table3[[#This Row],[Paid]]</f>
        <v>-202170</v>
      </c>
    </row>
    <row r="112" spans="1:9" x14ac:dyDescent="0.3">
      <c r="A112" s="114"/>
      <c r="B112" t="s">
        <v>274</v>
      </c>
      <c r="D112" s="11"/>
      <c r="E112" s="11"/>
      <c r="F112" s="11"/>
      <c r="G112" s="11">
        <f t="shared" si="5"/>
        <v>0</v>
      </c>
      <c r="H112" s="11">
        <f>SUMIFS(Table14[Debit], Table14[Date], Table3[[#This Row],[Date]], Table14[Party], Table3[[#This Row],[Party Name]])</f>
        <v>0</v>
      </c>
      <c r="I112" s="11">
        <f>(D112*E112)-Table3[[#This Row],[Paid]]</f>
        <v>0</v>
      </c>
    </row>
    <row r="113" spans="1:9" x14ac:dyDescent="0.3">
      <c r="A113" s="114"/>
      <c r="B113" t="s">
        <v>274</v>
      </c>
      <c r="D113" s="11"/>
      <c r="E113" s="11"/>
      <c r="F113" s="11"/>
      <c r="G113" s="11">
        <f t="shared" si="5"/>
        <v>0</v>
      </c>
      <c r="H113" s="11">
        <f>SUMIFS(Table14[Debit], Table14[Date], Table3[[#This Row],[Date]], Table14[Party], Table3[[#This Row],[Party Name]])</f>
        <v>0</v>
      </c>
      <c r="I113" s="11">
        <f>(D113*E113)-Table3[[#This Row],[Paid]]</f>
        <v>0</v>
      </c>
    </row>
    <row r="114" spans="1:9" x14ac:dyDescent="0.3">
      <c r="A114" s="114">
        <v>46067</v>
      </c>
      <c r="B114" t="s">
        <v>274</v>
      </c>
      <c r="D114" s="11"/>
      <c r="E114" s="11"/>
      <c r="F114" s="11"/>
      <c r="G114" s="11">
        <f t="shared" si="5"/>
        <v>0</v>
      </c>
      <c r="H114" s="11">
        <f>SUMIFS(Table14[Debit], Table14[Date], Table3[[#This Row],[Date]], Table14[Party], Table3[[#This Row],[Party Name]])</f>
        <v>201040</v>
      </c>
      <c r="I114" s="11">
        <f>(D114*E114)-Table3[[#This Row],[Paid]]</f>
        <v>-201040</v>
      </c>
    </row>
    <row r="115" spans="1:9" x14ac:dyDescent="0.3">
      <c r="A115" s="114">
        <v>46068</v>
      </c>
      <c r="B115" t="s">
        <v>274</v>
      </c>
      <c r="D115" s="11"/>
      <c r="E115" s="11"/>
      <c r="F115" s="11"/>
      <c r="G115" s="11">
        <f t="shared" si="5"/>
        <v>0</v>
      </c>
      <c r="H115" s="11">
        <f>SUMIFS(Table14[Debit], Table14[Date], Table3[[#This Row],[Date]], Table14[Party], Table3[[#This Row],[Party Name]])</f>
        <v>54950</v>
      </c>
      <c r="I115" s="11">
        <f>(D115*E115)-Table3[[#This Row],[Paid]]</f>
        <v>-54950</v>
      </c>
    </row>
    <row r="116" spans="1:9" x14ac:dyDescent="0.3">
      <c r="A116" s="114">
        <v>46070</v>
      </c>
      <c r="B116" t="s">
        <v>274</v>
      </c>
      <c r="D116" s="11"/>
      <c r="E116" s="11"/>
      <c r="F116" s="11"/>
      <c r="G116" s="11">
        <f t="shared" si="5"/>
        <v>0</v>
      </c>
      <c r="H116" s="11">
        <f>SUMIFS(Table14[Debit], Table14[Date], Table3[[#This Row],[Date]], Table14[Party], Table3[[#This Row],[Party Name]])</f>
        <v>41000</v>
      </c>
      <c r="I116" s="11">
        <f>(D116*E116)-Table3[[#This Row],[Paid]]</f>
        <v>-41000</v>
      </c>
    </row>
    <row r="117" spans="1:9" x14ac:dyDescent="0.3">
      <c r="A117" s="114">
        <v>46072</v>
      </c>
      <c r="B117" t="s">
        <v>274</v>
      </c>
      <c r="D117" s="11"/>
      <c r="E117" s="11"/>
      <c r="F117" s="11"/>
      <c r="G117" s="11">
        <f t="shared" si="5"/>
        <v>0</v>
      </c>
      <c r="H117" s="11">
        <f>SUMIFS(Table14[Debit], Table14[Date], Table3[[#This Row],[Date]], Table14[Party], Table3[[#This Row],[Party Name]])</f>
        <v>35500</v>
      </c>
      <c r="I117" s="11">
        <f>(D117*E117)-Table3[[#This Row],[Paid]]</f>
        <v>-35500</v>
      </c>
    </row>
    <row r="118" spans="1:9" x14ac:dyDescent="0.3">
      <c r="A118" s="1">
        <v>46070</v>
      </c>
      <c r="B118" t="s">
        <v>149</v>
      </c>
      <c r="D118" s="11"/>
      <c r="E118" s="11"/>
      <c r="F118" s="11"/>
      <c r="G118" s="11">
        <f t="shared" si="5"/>
        <v>0</v>
      </c>
      <c r="H118" s="11">
        <f>SUMIFS(Table14[Debit], Table14[Date], Table3[[#This Row],[Date]], Table14[Party], Table3[[#This Row],[Party Name]])</f>
        <v>20380</v>
      </c>
      <c r="I118" s="11">
        <f>(D118*E118)-Table3[[#This Row],[Paid]]</f>
        <v>-20380</v>
      </c>
    </row>
    <row r="119" spans="1:9" x14ac:dyDescent="0.3">
      <c r="A119" s="114"/>
      <c r="D119" s="11"/>
      <c r="E119" s="11"/>
      <c r="F119" s="11"/>
      <c r="G119" s="11">
        <f t="shared" si="5"/>
        <v>0</v>
      </c>
      <c r="H119" s="11">
        <f>SUMIFS(Table14[Debit], Table14[Date], Table3[[#This Row],[Date]], Table14[Party], Table3[[#This Row],[Party Name]])</f>
        <v>0</v>
      </c>
      <c r="I119" s="11">
        <f>(D119*E119)-Table3[[#This Row],[Paid]]</f>
        <v>0</v>
      </c>
    </row>
    <row r="120" spans="1:9" x14ac:dyDescent="0.3">
      <c r="A120" s="38">
        <v>46046</v>
      </c>
      <c r="B120" t="s">
        <v>196</v>
      </c>
      <c r="D120" s="11"/>
      <c r="E120" s="11"/>
      <c r="F120" s="11"/>
      <c r="G120" s="11">
        <f t="shared" si="5"/>
        <v>0</v>
      </c>
      <c r="H120" s="11">
        <f>SUMIFS(Table14[Debit], Table14[Date], Table3[[#This Row],[Date]], Table14[Party], Table3[[#This Row],[Party Name]])</f>
        <v>35000</v>
      </c>
      <c r="I120" s="11">
        <f>(D120*E120)-Table3[[#This Row],[Paid]]</f>
        <v>-35000</v>
      </c>
    </row>
    <row r="121" spans="1:9" x14ac:dyDescent="0.3">
      <c r="A121" s="114">
        <v>46048</v>
      </c>
      <c r="B121" t="s">
        <v>196</v>
      </c>
      <c r="D121" s="11"/>
      <c r="E121" s="11"/>
      <c r="F121" s="11"/>
      <c r="G121" s="11">
        <f t="shared" si="5"/>
        <v>0</v>
      </c>
      <c r="H121" s="11">
        <f>SUMIFS(Table14[Debit], Table14[Date], Table3[[#This Row],[Date]], Table14[Party], Table3[[#This Row],[Party Name]])</f>
        <v>46360</v>
      </c>
      <c r="I121" s="11">
        <f>(D121*E121)-Table3[[#This Row],[Paid]]</f>
        <v>-46360</v>
      </c>
    </row>
    <row r="122" spans="1:9" x14ac:dyDescent="0.3">
      <c r="A122" s="114">
        <v>46071</v>
      </c>
      <c r="B122" t="s">
        <v>196</v>
      </c>
      <c r="D122" s="11"/>
      <c r="E122" s="11"/>
      <c r="F122" s="11"/>
      <c r="G122" s="11">
        <f>D122*E122</f>
        <v>0</v>
      </c>
      <c r="H122" s="11">
        <f>SUMIFS(Table14[Debit], Table14[Date], Table3[[#This Row],[Date]], Table14[Party], Table3[[#This Row],[Party Name]])</f>
        <v>10000</v>
      </c>
      <c r="I122" s="11">
        <f>(D122*E122)-Table3[[#This Row],[Paid]]</f>
        <v>-10000</v>
      </c>
    </row>
    <row r="123" spans="1:9" x14ac:dyDescent="0.3">
      <c r="A123" s="38">
        <v>46046</v>
      </c>
      <c r="B123" t="s">
        <v>216</v>
      </c>
      <c r="D123" s="11"/>
      <c r="E123" s="11"/>
      <c r="F123" s="11"/>
      <c r="G123" s="11">
        <f t="shared" ref="G123:G128" si="6">D123*E123</f>
        <v>0</v>
      </c>
      <c r="H123" s="11">
        <f>SUMIFS(Table14[Debit], Table14[Date], Table3[[#This Row],[Date]], Table14[Party], Table3[[#This Row],[Party Name]])</f>
        <v>130000</v>
      </c>
      <c r="I123" s="11">
        <f>(D123*E123)-Table3[[#This Row],[Paid]]</f>
        <v>-130000</v>
      </c>
    </row>
    <row r="124" spans="1:9" x14ac:dyDescent="0.3">
      <c r="A124" s="114">
        <v>46050</v>
      </c>
      <c r="B124" t="s">
        <v>216</v>
      </c>
      <c r="D124" s="11"/>
      <c r="E124" s="11"/>
      <c r="F124" s="11"/>
      <c r="G124" s="11">
        <f t="shared" si="6"/>
        <v>0</v>
      </c>
      <c r="H124" s="11">
        <f>SUMIFS(Table14[Debit], Table14[Date], Table3[[#This Row],[Date]], Table14[Party], Table3[[#This Row],[Party Name]])</f>
        <v>150000</v>
      </c>
      <c r="I124" s="11">
        <f>(D124*E124)-Table3[[#This Row],[Paid]]</f>
        <v>-150000</v>
      </c>
    </row>
    <row r="125" spans="1:9" x14ac:dyDescent="0.3">
      <c r="A125" s="114">
        <v>46055</v>
      </c>
      <c r="B125" t="s">
        <v>216</v>
      </c>
      <c r="D125" s="11"/>
      <c r="E125" s="11"/>
      <c r="F125" s="11"/>
      <c r="G125" s="11">
        <f t="shared" si="6"/>
        <v>0</v>
      </c>
      <c r="H125" s="11">
        <f>SUMIFS(Table14[Debit], Table14[Date], Table3[[#This Row],[Date]], Table14[Party], Table3[[#This Row],[Party Name]])</f>
        <v>100200</v>
      </c>
      <c r="I125" s="11">
        <f>(D125*E125)-Table3[[#This Row],[Paid]]</f>
        <v>-100200</v>
      </c>
    </row>
    <row r="126" spans="1:9" x14ac:dyDescent="0.3">
      <c r="A126" s="38">
        <v>46059</v>
      </c>
      <c r="B126" t="s">
        <v>216</v>
      </c>
      <c r="D126" s="11"/>
      <c r="E126" s="11"/>
      <c r="F126" s="11"/>
      <c r="G126" s="11">
        <f t="shared" si="6"/>
        <v>0</v>
      </c>
      <c r="H126" s="11">
        <f>SUMIFS(Table14[Debit], Table14[Date], Table3[[#This Row],[Date]], Table14[Party], Table3[[#This Row],[Party Name]])</f>
        <v>100000</v>
      </c>
      <c r="I126" s="11">
        <f>(D126*E126)-Table3[[#This Row],[Paid]]</f>
        <v>-100000</v>
      </c>
    </row>
    <row r="127" spans="1:9" x14ac:dyDescent="0.3">
      <c r="A127" s="114">
        <v>46060</v>
      </c>
      <c r="B127" t="s">
        <v>216</v>
      </c>
      <c r="D127" s="11"/>
      <c r="E127" s="11"/>
      <c r="F127" s="11"/>
      <c r="G127" s="11">
        <f t="shared" si="6"/>
        <v>0</v>
      </c>
      <c r="H127" s="11">
        <f>SUMIFS(Table14[Debit], Table14[Date], Table3[[#This Row],[Date]], Table14[Party], Table3[[#This Row],[Party Name]])</f>
        <v>100060</v>
      </c>
      <c r="I127" s="11">
        <f>(D127*E127)-Table3[[#This Row],[Paid]]</f>
        <v>-100060</v>
      </c>
    </row>
    <row r="128" spans="1:9" x14ac:dyDescent="0.3">
      <c r="A128" s="38">
        <v>46062</v>
      </c>
      <c r="B128" t="s">
        <v>216</v>
      </c>
      <c r="D128" s="11"/>
      <c r="E128" s="11"/>
      <c r="F128" s="11"/>
      <c r="G128" s="11">
        <f t="shared" si="6"/>
        <v>0</v>
      </c>
      <c r="H128" s="11">
        <f>SUMIFS(Table14[Debit], Table14[Date], Table3[[#This Row],[Date]], Table14[Party], Table3[[#This Row],[Party Name]])</f>
        <v>119195</v>
      </c>
      <c r="I128" s="11">
        <f>(D128*E128)-Table3[[#This Row],[Paid]]</f>
        <v>-119195</v>
      </c>
    </row>
    <row r="129" spans="1:9" x14ac:dyDescent="0.3">
      <c r="A129" s="38"/>
      <c r="B129" t="s">
        <v>216</v>
      </c>
      <c r="D129" s="11"/>
      <c r="E129" s="11"/>
      <c r="F129" s="11"/>
      <c r="G129" s="11">
        <f t="shared" ref="G129:G136" si="7">D129*E129</f>
        <v>0</v>
      </c>
      <c r="H129" s="11">
        <f>SUMIFS(Table14[Debit], Table14[Date], Table3[[#This Row],[Date]], Table14[Party], Table3[[#This Row],[Party Name]])</f>
        <v>0</v>
      </c>
      <c r="I129" s="11">
        <f>(D129*E129)-Table3[[#This Row],[Paid]]</f>
        <v>0</v>
      </c>
    </row>
    <row r="130" spans="1:9" x14ac:dyDescent="0.3">
      <c r="A130" s="114">
        <v>46063</v>
      </c>
      <c r="B130" t="s">
        <v>216</v>
      </c>
      <c r="D130" s="11"/>
      <c r="E130" s="11"/>
      <c r="F130" s="11"/>
      <c r="G130" s="11">
        <f t="shared" si="7"/>
        <v>0</v>
      </c>
      <c r="H130" s="11">
        <f>SUMIFS(Table14[Debit], Table14[Date], Table3[[#This Row],[Date]], Table14[Party], Table3[[#This Row],[Party Name]])</f>
        <v>105111</v>
      </c>
      <c r="I130" s="11">
        <f>(D130*E130)-Table3[[#This Row],[Paid]]</f>
        <v>-105111</v>
      </c>
    </row>
    <row r="131" spans="1:9" x14ac:dyDescent="0.3">
      <c r="A131" s="114"/>
      <c r="B131" t="s">
        <v>216</v>
      </c>
      <c r="D131" s="11"/>
      <c r="E131" s="11"/>
      <c r="F131" s="11"/>
      <c r="G131" s="11">
        <f t="shared" si="7"/>
        <v>0</v>
      </c>
      <c r="H131" s="11">
        <f>SUMIFS(Table14[Debit], Table14[Date], Table3[[#This Row],[Date]], Table14[Party], Table3[[#This Row],[Party Name]])</f>
        <v>0</v>
      </c>
      <c r="I131" s="11">
        <f>(D131*E131)-Table3[[#This Row],[Paid]]</f>
        <v>0</v>
      </c>
    </row>
    <row r="132" spans="1:9" x14ac:dyDescent="0.3">
      <c r="A132" s="38">
        <v>46065</v>
      </c>
      <c r="B132" t="s">
        <v>216</v>
      </c>
      <c r="D132" s="11"/>
      <c r="E132" s="11"/>
      <c r="F132" s="11"/>
      <c r="G132" s="11">
        <f t="shared" si="7"/>
        <v>0</v>
      </c>
      <c r="H132" s="11">
        <f>SUMIFS(Table14[Debit], Table14[Date], Table3[[#This Row],[Date]], Table14[Party], Table3[[#This Row],[Party Name]])</f>
        <v>100270</v>
      </c>
      <c r="I132" s="11">
        <f>(D132*E132)-Table3[[#This Row],[Paid]]</f>
        <v>-100270</v>
      </c>
    </row>
    <row r="133" spans="1:9" x14ac:dyDescent="0.3">
      <c r="A133" s="114">
        <v>46068</v>
      </c>
      <c r="B133" t="s">
        <v>216</v>
      </c>
      <c r="D133" s="11"/>
      <c r="E133" s="11"/>
      <c r="F133" s="11"/>
      <c r="G133" s="11">
        <f t="shared" si="7"/>
        <v>0</v>
      </c>
      <c r="H133" s="11">
        <f>SUMIFS(Table14[Debit], Table14[Date], Table3[[#This Row],[Date]], Table14[Party], Table3[[#This Row],[Party Name]])</f>
        <v>100500</v>
      </c>
      <c r="I133" s="11">
        <f>(D133*E133)-Table3[[#This Row],[Paid]]</f>
        <v>-100500</v>
      </c>
    </row>
    <row r="134" spans="1:9" x14ac:dyDescent="0.3">
      <c r="A134" s="114">
        <v>46069</v>
      </c>
      <c r="B134" t="s">
        <v>216</v>
      </c>
      <c r="D134" s="11"/>
      <c r="E134" s="11"/>
      <c r="F134" s="11"/>
      <c r="G134" s="11">
        <f t="shared" si="7"/>
        <v>0</v>
      </c>
      <c r="H134" s="11">
        <f>SUMIFS(Table14[Debit], Table14[Date], Table3[[#This Row],[Date]], Table14[Party], Table3[[#This Row],[Party Name]])</f>
        <v>36000</v>
      </c>
      <c r="I134" s="11">
        <f>(D134*E134)-Table3[[#This Row],[Paid]]</f>
        <v>-36000</v>
      </c>
    </row>
    <row r="135" spans="1:9" x14ac:dyDescent="0.3">
      <c r="A135" s="114"/>
      <c r="B135" t="s">
        <v>216</v>
      </c>
      <c r="D135" s="11"/>
      <c r="E135" s="11"/>
      <c r="F135" s="11"/>
      <c r="G135" s="11">
        <f t="shared" si="7"/>
        <v>0</v>
      </c>
      <c r="H135" s="11">
        <f>SUMIFS(Table14[Debit], Table14[Date], Table3[[#This Row],[Date]], Table14[Party], Table3[[#This Row],[Party Name]])</f>
        <v>0</v>
      </c>
      <c r="I135" s="11">
        <f>(D135*E135)-Table3[[#This Row],[Paid]]</f>
        <v>0</v>
      </c>
    </row>
    <row r="136" spans="1:9" x14ac:dyDescent="0.3">
      <c r="A136" s="114">
        <v>46070</v>
      </c>
      <c r="B136" t="s">
        <v>216</v>
      </c>
      <c r="D136" s="11"/>
      <c r="E136" s="11"/>
      <c r="F136" s="11"/>
      <c r="G136" s="11">
        <f t="shared" si="7"/>
        <v>0</v>
      </c>
      <c r="H136" s="11">
        <f>SUMIFS(Table14[Debit], Table14[Date], Table3[[#This Row],[Date]], Table14[Party], Table3[[#This Row],[Party Name]])</f>
        <v>136000</v>
      </c>
      <c r="I136" s="11">
        <f>(D136*E136)-Table3[[#This Row],[Paid]]</f>
        <v>-136000</v>
      </c>
    </row>
    <row r="137" spans="1:9" x14ac:dyDescent="0.3">
      <c r="A137" s="114">
        <v>46071</v>
      </c>
      <c r="B137" t="s">
        <v>216</v>
      </c>
      <c r="D137" s="11"/>
      <c r="E137" s="11"/>
      <c r="F137" s="11"/>
      <c r="G137" s="11">
        <f t="shared" ref="G137:G140" si="8">D137*E137</f>
        <v>0</v>
      </c>
      <c r="H137" s="11">
        <f>SUMIFS(Table14[Debit], Table14[Date], Table3[[#This Row],[Date]], Table14[Party], Table3[[#This Row],[Party Name]])</f>
        <v>100130</v>
      </c>
      <c r="I137" s="11">
        <f>(D137*E137)-Table3[[#This Row],[Paid]]</f>
        <v>-100130</v>
      </c>
    </row>
    <row r="138" spans="1:9" x14ac:dyDescent="0.3">
      <c r="A138" s="1"/>
      <c r="D138" s="11"/>
      <c r="E138" s="11"/>
      <c r="F138" s="11"/>
      <c r="G138" s="11">
        <f t="shared" si="8"/>
        <v>0</v>
      </c>
      <c r="H138" s="11">
        <f>SUMIFS(Table14[Debit], Table14[Date], Table3[[#This Row],[Date]], Table14[Party], Table3[[#This Row],[Party Name]])</f>
        <v>0</v>
      </c>
      <c r="I138" s="11">
        <f>(D138*E138)-Table3[[#This Row],[Paid]]</f>
        <v>0</v>
      </c>
    </row>
    <row r="139" spans="1:9" x14ac:dyDescent="0.3">
      <c r="A139" s="1"/>
      <c r="D139" s="11"/>
      <c r="E139" s="11"/>
      <c r="F139" s="11"/>
      <c r="G139" s="11">
        <f t="shared" si="8"/>
        <v>0</v>
      </c>
      <c r="H139" s="11">
        <f>SUMIFS(Table14[Debit], Table14[Date], Table3[[#This Row],[Date]], Table14[Party], Table3[[#This Row],[Party Name]])</f>
        <v>0</v>
      </c>
      <c r="I139" s="11">
        <f>(D139*E139)-Table3[[#This Row],[Paid]]</f>
        <v>0</v>
      </c>
    </row>
    <row r="140" spans="1:9" x14ac:dyDescent="0.3">
      <c r="A140" s="1"/>
      <c r="D140" s="11"/>
      <c r="E140" s="11"/>
      <c r="F140" s="11"/>
      <c r="G140" s="11">
        <f t="shared" si="8"/>
        <v>0</v>
      </c>
      <c r="H140" s="11">
        <f>SUMIFS(Table14[Debit], Table14[Date], Table3[[#This Row],[Date]], Table14[Party], Table3[[#This Row],[Party Name]])</f>
        <v>0</v>
      </c>
      <c r="I140" s="11">
        <f>(D140*E140)-Table3[[#This Row],[Paid]]</f>
        <v>0</v>
      </c>
    </row>
    <row r="141" spans="1:9" x14ac:dyDescent="0.3">
      <c r="A141" s="1"/>
      <c r="D141" s="11"/>
      <c r="E141" s="11"/>
      <c r="F141" s="11"/>
      <c r="G141" s="11">
        <f t="shared" ref="G141:G142" si="9">D141*E141</f>
        <v>0</v>
      </c>
      <c r="H141" s="11">
        <f>SUMIFS(Table14[Debit], Table14[Date], Table3[[#This Row],[Date]], Table14[Party], Table3[[#This Row],[Party Name]])</f>
        <v>0</v>
      </c>
      <c r="I141" s="11">
        <f>(D141*E141)-Table3[[#This Row],[Paid]]</f>
        <v>0</v>
      </c>
    </row>
    <row r="142" spans="1:9" x14ac:dyDescent="0.3">
      <c r="A142" s="1"/>
      <c r="D142" s="11"/>
      <c r="E142" s="11"/>
      <c r="F142" s="11"/>
      <c r="G142" s="11">
        <f t="shared" si="9"/>
        <v>0</v>
      </c>
      <c r="H142" s="11">
        <f>SUMIFS(Table14[Debit], Table14[Date], Table3[[#This Row],[Date]], Table14[Party], Table3[[#This Row],[Party Name]])</f>
        <v>0</v>
      </c>
      <c r="I142" s="11">
        <f>(D142*E142)-Table3[[#This Row],[Paid]]</f>
        <v>0</v>
      </c>
    </row>
    <row r="143" spans="1:9" x14ac:dyDescent="0.3">
      <c r="A143" s="1"/>
      <c r="D143" s="14"/>
      <c r="E143" s="14"/>
      <c r="F143" s="14"/>
      <c r="G143" s="14">
        <f>SUBTOTAL(109,Table3[Total])</f>
        <v>6812370</v>
      </c>
      <c r="H143" s="14">
        <f>SUBTOTAL(109,Table3[Paid])</f>
        <v>7068318</v>
      </c>
      <c r="I143" s="14">
        <f>SUBTOTAL(109,Table3[balance])</f>
        <v>3950006</v>
      </c>
    </row>
  </sheetData>
  <phoneticPr fontId="4" type="noConversion"/>
  <pageMargins left="0.7" right="0.7" top="0.75" bottom="0.75" header="0.3" footer="0.3"/>
  <pageSetup scale="37" firstPageNumber="0" fitToHeight="0" orientation="portrait"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C7D8-36BA-4EBA-8685-891B9162141F}">
  <dimension ref="A1:P536"/>
  <sheetViews>
    <sheetView topLeftCell="A514" zoomScale="104" workbookViewId="0">
      <selection activeCell="I531" sqref="I531"/>
    </sheetView>
  </sheetViews>
  <sheetFormatPr defaultRowHeight="14.4" x14ac:dyDescent="0.3"/>
  <cols>
    <col min="1" max="1" width="12.109375" customWidth="1"/>
    <col min="2" max="2" width="19.6640625" bestFit="1" customWidth="1"/>
    <col min="3" max="3" width="13.5546875" bestFit="1" customWidth="1"/>
    <col min="4" max="4" width="12.6640625" bestFit="1" customWidth="1"/>
    <col min="5" max="5" width="14.88671875" customWidth="1"/>
    <col min="6" max="6" width="13.33203125" bestFit="1" customWidth="1"/>
    <col min="7" max="7" width="14.6640625" bestFit="1" customWidth="1"/>
    <col min="8" max="8" width="16.109375" customWidth="1"/>
    <col min="9" max="9" width="14.44140625" bestFit="1" customWidth="1"/>
    <col min="10" max="10" width="16.44140625" bestFit="1" customWidth="1"/>
    <col min="11" max="11" width="12.33203125" bestFit="1" customWidth="1"/>
    <col min="12" max="12" width="11.88671875" bestFit="1" customWidth="1"/>
    <col min="13" max="13" width="11.109375" customWidth="1"/>
    <col min="14" max="14" width="10.88671875" customWidth="1"/>
    <col min="15" max="15" width="12.5546875" customWidth="1"/>
    <col min="16" max="16" width="13.6640625" customWidth="1"/>
    <col min="18" max="18" width="11.5546875" customWidth="1"/>
  </cols>
  <sheetData>
    <row r="1" spans="1:16" x14ac:dyDescent="0.3">
      <c r="A1" t="s">
        <v>75</v>
      </c>
      <c r="B1" t="s">
        <v>110</v>
      </c>
      <c r="C1" t="s">
        <v>70</v>
      </c>
      <c r="D1" t="s">
        <v>69</v>
      </c>
      <c r="E1" t="s">
        <v>36</v>
      </c>
      <c r="F1" t="s">
        <v>111</v>
      </c>
      <c r="G1" t="s">
        <v>112</v>
      </c>
    </row>
    <row r="2" spans="1:16" x14ac:dyDescent="0.3">
      <c r="A2" s="85">
        <v>46042</v>
      </c>
      <c r="B2" s="80" t="s">
        <v>209</v>
      </c>
      <c r="C2" s="11"/>
      <c r="D2" s="86">
        <f>[1]Cashbook!$N$5</f>
        <v>3576278</v>
      </c>
      <c r="E2" s="80"/>
      <c r="F2" s="87" t="s">
        <v>108</v>
      </c>
    </row>
    <row r="3" spans="1:16" x14ac:dyDescent="0.3">
      <c r="A3" s="85">
        <v>46042</v>
      </c>
      <c r="B3" s="80" t="s">
        <v>209</v>
      </c>
      <c r="C3" s="11"/>
      <c r="D3" s="86">
        <f>[1]Cashbook!$N$6</f>
        <v>-610916</v>
      </c>
      <c r="E3" s="80"/>
      <c r="F3" s="87" t="s">
        <v>109</v>
      </c>
      <c r="J3" s="47" t="s">
        <v>45</v>
      </c>
      <c r="K3" s="35" t="s">
        <v>46</v>
      </c>
      <c r="M3" s="47" t="s">
        <v>45</v>
      </c>
      <c r="N3" s="50" t="s">
        <v>104</v>
      </c>
      <c r="O3" s="88" t="s">
        <v>105</v>
      </c>
      <c r="P3" t="s">
        <v>106</v>
      </c>
    </row>
    <row r="4" spans="1:16" x14ac:dyDescent="0.3">
      <c r="A4" s="114">
        <v>46042</v>
      </c>
      <c r="B4" s="80" t="s">
        <v>220</v>
      </c>
      <c r="C4" s="134">
        <v>4049561</v>
      </c>
      <c r="D4" s="86"/>
      <c r="E4" s="80" t="s">
        <v>273</v>
      </c>
      <c r="F4" s="87" t="s">
        <v>108</v>
      </c>
      <c r="J4" s="45" t="s">
        <v>70</v>
      </c>
      <c r="K4" s="46">
        <f>Table14[[#Totals],[Debit]]</f>
        <v>25988515.203986831</v>
      </c>
      <c r="M4" s="45" t="s">
        <v>107</v>
      </c>
      <c r="N4" s="51">
        <f>SUMIFS(Table14[Withdrawal],Table14[Party],"Cash",Table14[Mode],"Transfer")</f>
        <v>0</v>
      </c>
    </row>
    <row r="5" spans="1:16" x14ac:dyDescent="0.3">
      <c r="A5" s="114">
        <v>46042</v>
      </c>
      <c r="B5" s="80" t="s">
        <v>222</v>
      </c>
      <c r="C5" s="11">
        <v>734060</v>
      </c>
      <c r="D5" s="86"/>
      <c r="E5" s="80" t="s">
        <v>273</v>
      </c>
      <c r="F5" s="87" t="s">
        <v>108</v>
      </c>
      <c r="J5" s="45" t="s">
        <v>69</v>
      </c>
      <c r="K5" s="46">
        <f>Table14[[#Totals],[Credit]]</f>
        <v>31270241.203986831</v>
      </c>
      <c r="M5" s="45" t="s">
        <v>108</v>
      </c>
      <c r="N5" s="46">
        <f>(SUMIFS(Table14[Credit],Table14[Mode],"Bank")-SUMIFS(Table14[Debit],Table14[Mode],"Bank")-SUMIFS(Table14[Withdrawal],Table14[Mode],"Transfer"))</f>
        <v>5892642</v>
      </c>
      <c r="O5">
        <v>360000</v>
      </c>
    </row>
    <row r="6" spans="1:16" x14ac:dyDescent="0.3">
      <c r="A6" s="114">
        <v>46014</v>
      </c>
      <c r="B6" s="80" t="s">
        <v>210</v>
      </c>
      <c r="C6" s="11"/>
      <c r="D6" s="86">
        <v>562846</v>
      </c>
      <c r="E6" s="80" t="s">
        <v>273</v>
      </c>
      <c r="F6" s="87" t="s">
        <v>108</v>
      </c>
      <c r="J6" s="52" t="s">
        <v>43</v>
      </c>
      <c r="K6" s="53">
        <f>(K5-K4)</f>
        <v>5281726</v>
      </c>
      <c r="M6" s="45" t="s">
        <v>109</v>
      </c>
      <c r="N6" s="46">
        <f>((SUMIFS(Table14[Credit],Table14[Mode],"Cash")-SUMIFS(Table14[Debit],Table14[Mode],"Cash"))+SUMIFS(Table14[Withdrawal],Table14[Party],"Cash",Table14[Mode],"Transfer"))</f>
        <v>-610916</v>
      </c>
      <c r="O6">
        <v>50000</v>
      </c>
    </row>
    <row r="7" spans="1:16" x14ac:dyDescent="0.3">
      <c r="A7" s="38">
        <v>46043</v>
      </c>
      <c r="B7" t="s">
        <v>220</v>
      </c>
      <c r="C7" s="11"/>
      <c r="D7" s="11">
        <v>15000</v>
      </c>
      <c r="E7" t="s">
        <v>109</v>
      </c>
      <c r="F7" s="110" t="s">
        <v>108</v>
      </c>
      <c r="M7" s="48" t="s">
        <v>5</v>
      </c>
      <c r="N7" s="49">
        <f>SUM(N5:N6)</f>
        <v>5281726</v>
      </c>
      <c r="O7" s="89">
        <f>SUM(O5,O6)</f>
        <v>410000</v>
      </c>
      <c r="P7" s="14">
        <f>Table18[[#Totals],[amount]]-Table18[[#Totals],[Actual]]</f>
        <v>4871726</v>
      </c>
    </row>
    <row r="8" spans="1:16" x14ac:dyDescent="0.3">
      <c r="A8" s="114">
        <v>46043</v>
      </c>
      <c r="B8" t="s">
        <v>55</v>
      </c>
      <c r="C8" s="11">
        <v>4180</v>
      </c>
      <c r="D8" s="11"/>
      <c r="E8" t="s">
        <v>221</v>
      </c>
      <c r="F8" s="110" t="s">
        <v>108</v>
      </c>
    </row>
    <row r="9" spans="1:16" x14ac:dyDescent="0.3">
      <c r="A9" s="38">
        <v>46043</v>
      </c>
      <c r="B9" t="s">
        <v>222</v>
      </c>
      <c r="C9" s="11">
        <v>6600</v>
      </c>
      <c r="D9" s="11"/>
      <c r="E9" t="s">
        <v>223</v>
      </c>
      <c r="F9" s="110" t="s">
        <v>108</v>
      </c>
    </row>
    <row r="10" spans="1:16" x14ac:dyDescent="0.3">
      <c r="A10" s="114">
        <v>46043</v>
      </c>
      <c r="B10" t="s">
        <v>54</v>
      </c>
      <c r="C10" s="11">
        <v>1000</v>
      </c>
      <c r="D10" s="11"/>
      <c r="E10" t="s">
        <v>224</v>
      </c>
      <c r="F10" s="110" t="s">
        <v>108</v>
      </c>
    </row>
    <row r="11" spans="1:16" x14ac:dyDescent="0.3">
      <c r="A11" s="38">
        <v>46043</v>
      </c>
      <c r="B11" t="s">
        <v>225</v>
      </c>
      <c r="C11" s="11">
        <v>1000</v>
      </c>
      <c r="D11" s="11"/>
      <c r="E11" t="s">
        <v>226</v>
      </c>
      <c r="F11" s="110" t="s">
        <v>108</v>
      </c>
    </row>
    <row r="12" spans="1:16" x14ac:dyDescent="0.3">
      <c r="A12" s="114">
        <v>46043</v>
      </c>
      <c r="B12" t="s">
        <v>54</v>
      </c>
      <c r="C12" s="11">
        <v>2000</v>
      </c>
      <c r="D12" s="11"/>
      <c r="E12" t="s">
        <v>227</v>
      </c>
      <c r="F12" s="110" t="s">
        <v>108</v>
      </c>
    </row>
    <row r="13" spans="1:16" x14ac:dyDescent="0.3">
      <c r="A13" s="38">
        <v>46043</v>
      </c>
      <c r="B13" t="s">
        <v>220</v>
      </c>
      <c r="C13" s="11"/>
      <c r="D13" s="11">
        <v>4180</v>
      </c>
      <c r="E13" t="s">
        <v>221</v>
      </c>
      <c r="F13" s="110" t="s">
        <v>108</v>
      </c>
    </row>
    <row r="14" spans="1:16" x14ac:dyDescent="0.3">
      <c r="A14" s="114">
        <v>46043</v>
      </c>
      <c r="B14" t="s">
        <v>220</v>
      </c>
      <c r="C14" s="11"/>
      <c r="D14" s="11">
        <v>15513</v>
      </c>
      <c r="E14" t="s">
        <v>228</v>
      </c>
      <c r="F14" s="110" t="s">
        <v>108</v>
      </c>
    </row>
    <row r="15" spans="1:16" x14ac:dyDescent="0.3">
      <c r="A15" s="38">
        <v>46043</v>
      </c>
      <c r="B15" t="s">
        <v>55</v>
      </c>
      <c r="C15" s="11">
        <v>15513</v>
      </c>
      <c r="D15" s="11"/>
      <c r="E15" t="s">
        <v>228</v>
      </c>
      <c r="F15" s="110" t="s">
        <v>108</v>
      </c>
    </row>
    <row r="16" spans="1:16" x14ac:dyDescent="0.3">
      <c r="A16" s="114">
        <v>46043</v>
      </c>
      <c r="B16" t="s">
        <v>229</v>
      </c>
      <c r="C16" s="11">
        <v>20000</v>
      </c>
      <c r="D16" s="11"/>
      <c r="E16" t="s">
        <v>230</v>
      </c>
      <c r="F16" s="110" t="s">
        <v>108</v>
      </c>
    </row>
    <row r="17" spans="1:6" x14ac:dyDescent="0.3">
      <c r="A17" s="38">
        <v>46043</v>
      </c>
      <c r="B17" t="s">
        <v>225</v>
      </c>
      <c r="C17" s="11">
        <v>3000</v>
      </c>
      <c r="D17" s="11"/>
      <c r="E17" t="s">
        <v>231</v>
      </c>
      <c r="F17" s="110" t="s">
        <v>108</v>
      </c>
    </row>
    <row r="18" spans="1:6" x14ac:dyDescent="0.3">
      <c r="A18" s="114">
        <v>46043</v>
      </c>
      <c r="B18" t="s">
        <v>55</v>
      </c>
      <c r="C18" s="11">
        <v>25500</v>
      </c>
      <c r="D18" s="11"/>
      <c r="E18" t="s">
        <v>232</v>
      </c>
      <c r="F18" s="110" t="s">
        <v>108</v>
      </c>
    </row>
    <row r="19" spans="1:6" x14ac:dyDescent="0.3">
      <c r="A19" s="38">
        <v>46043</v>
      </c>
      <c r="B19" t="s">
        <v>193</v>
      </c>
      <c r="C19" s="11">
        <v>49200</v>
      </c>
      <c r="D19" s="11"/>
      <c r="E19" t="s">
        <v>164</v>
      </c>
      <c r="F19" s="110" t="s">
        <v>108</v>
      </c>
    </row>
    <row r="20" spans="1:6" x14ac:dyDescent="0.3">
      <c r="A20" s="114">
        <v>46043</v>
      </c>
      <c r="B20" t="s">
        <v>220</v>
      </c>
      <c r="C20" s="95"/>
      <c r="D20" s="95">
        <v>49200</v>
      </c>
      <c r="E20" t="s">
        <v>164</v>
      </c>
      <c r="F20" s="110" t="s">
        <v>108</v>
      </c>
    </row>
    <row r="21" spans="1:6" x14ac:dyDescent="0.3">
      <c r="A21" s="38">
        <v>46043</v>
      </c>
      <c r="B21" t="s">
        <v>220</v>
      </c>
      <c r="C21" s="11"/>
      <c r="D21" s="11">
        <v>25500</v>
      </c>
      <c r="E21" t="s">
        <v>232</v>
      </c>
      <c r="F21" s="110" t="s">
        <v>108</v>
      </c>
    </row>
    <row r="22" spans="1:6" x14ac:dyDescent="0.3">
      <c r="A22" s="114">
        <v>46043</v>
      </c>
      <c r="B22" t="s">
        <v>233</v>
      </c>
      <c r="C22" s="11"/>
      <c r="D22" s="11">
        <v>300000</v>
      </c>
      <c r="E22" t="s">
        <v>234</v>
      </c>
      <c r="F22" s="110" t="s">
        <v>108</v>
      </c>
    </row>
    <row r="23" spans="1:6" x14ac:dyDescent="0.3">
      <c r="A23" s="38">
        <v>46043</v>
      </c>
      <c r="B23" t="s">
        <v>220</v>
      </c>
      <c r="C23" s="95">
        <v>300000</v>
      </c>
      <c r="D23" s="95"/>
      <c r="E23" t="s">
        <v>235</v>
      </c>
      <c r="F23" s="110" t="s">
        <v>108</v>
      </c>
    </row>
    <row r="24" spans="1:6" x14ac:dyDescent="0.3">
      <c r="A24" s="38">
        <v>46044</v>
      </c>
      <c r="B24" t="s">
        <v>54</v>
      </c>
      <c r="C24" s="95">
        <v>11100</v>
      </c>
      <c r="D24" s="95"/>
      <c r="E24" t="s">
        <v>227</v>
      </c>
      <c r="F24" s="110" t="s">
        <v>108</v>
      </c>
    </row>
    <row r="25" spans="1:6" x14ac:dyDescent="0.3">
      <c r="A25" s="38">
        <v>46044</v>
      </c>
      <c r="B25" t="s">
        <v>220</v>
      </c>
      <c r="C25" s="95"/>
      <c r="D25" s="95">
        <v>118500</v>
      </c>
      <c r="E25" t="s">
        <v>236</v>
      </c>
      <c r="F25" s="110" t="s">
        <v>108</v>
      </c>
    </row>
    <row r="26" spans="1:6" x14ac:dyDescent="0.3">
      <c r="A26" s="38">
        <v>46044</v>
      </c>
      <c r="B26" t="s">
        <v>225</v>
      </c>
      <c r="C26" s="11">
        <v>100000</v>
      </c>
      <c r="D26" s="11"/>
      <c r="E26" t="s">
        <v>237</v>
      </c>
      <c r="F26" s="110" t="s">
        <v>108</v>
      </c>
    </row>
    <row r="27" spans="1:6" x14ac:dyDescent="0.3">
      <c r="A27" s="38">
        <v>46044</v>
      </c>
      <c r="B27" t="s">
        <v>229</v>
      </c>
      <c r="C27" s="11">
        <v>25950</v>
      </c>
      <c r="D27" s="11"/>
      <c r="E27" t="s">
        <v>238</v>
      </c>
      <c r="F27" s="110" t="s">
        <v>108</v>
      </c>
    </row>
    <row r="28" spans="1:6" x14ac:dyDescent="0.3">
      <c r="A28" s="38">
        <v>46044</v>
      </c>
      <c r="B28" t="s">
        <v>239</v>
      </c>
      <c r="C28" s="11"/>
      <c r="D28" s="11">
        <v>100000</v>
      </c>
      <c r="E28" t="s">
        <v>240</v>
      </c>
      <c r="F28" s="110" t="s">
        <v>108</v>
      </c>
    </row>
    <row r="29" spans="1:6" x14ac:dyDescent="0.3">
      <c r="A29" s="38">
        <v>46044</v>
      </c>
      <c r="B29" t="s">
        <v>50</v>
      </c>
      <c r="C29" s="11">
        <v>500</v>
      </c>
      <c r="D29" s="11"/>
      <c r="E29" t="s">
        <v>241</v>
      </c>
      <c r="F29" s="110" t="s">
        <v>108</v>
      </c>
    </row>
    <row r="30" spans="1:6" x14ac:dyDescent="0.3">
      <c r="A30" s="38">
        <v>46044</v>
      </c>
      <c r="B30" t="s">
        <v>225</v>
      </c>
      <c r="C30" s="11">
        <v>10000</v>
      </c>
      <c r="D30" s="11"/>
      <c r="E30" t="s">
        <v>242</v>
      </c>
      <c r="F30" s="110" t="s">
        <v>108</v>
      </c>
    </row>
    <row r="31" spans="1:6" x14ac:dyDescent="0.3">
      <c r="A31" s="38">
        <v>46044</v>
      </c>
      <c r="B31" t="s">
        <v>225</v>
      </c>
      <c r="C31" s="11">
        <v>10000</v>
      </c>
      <c r="D31" s="11"/>
      <c r="E31" t="s">
        <v>243</v>
      </c>
      <c r="F31" s="110" t="s">
        <v>108</v>
      </c>
    </row>
    <row r="32" spans="1:6" x14ac:dyDescent="0.3">
      <c r="A32" s="38">
        <v>46044</v>
      </c>
      <c r="B32" t="s">
        <v>222</v>
      </c>
      <c r="C32" s="11">
        <v>1000</v>
      </c>
      <c r="D32" s="11"/>
      <c r="E32" t="s">
        <v>244</v>
      </c>
      <c r="F32" s="110" t="s">
        <v>108</v>
      </c>
    </row>
    <row r="33" spans="1:6" x14ac:dyDescent="0.3">
      <c r="A33" s="38">
        <v>46044</v>
      </c>
      <c r="B33" t="s">
        <v>52</v>
      </c>
      <c r="C33" s="11">
        <v>50000</v>
      </c>
      <c r="D33" s="11"/>
      <c r="E33" t="s">
        <v>245</v>
      </c>
      <c r="F33" s="110" t="s">
        <v>108</v>
      </c>
    </row>
    <row r="34" spans="1:6" x14ac:dyDescent="0.3">
      <c r="A34" s="38">
        <v>46044</v>
      </c>
      <c r="B34" t="s">
        <v>222</v>
      </c>
      <c r="C34" s="11">
        <v>4000</v>
      </c>
      <c r="D34" s="11"/>
      <c r="E34" t="s">
        <v>246</v>
      </c>
      <c r="F34" s="110" t="s">
        <v>108</v>
      </c>
    </row>
    <row r="35" spans="1:6" x14ac:dyDescent="0.3">
      <c r="A35" s="38">
        <v>46044</v>
      </c>
      <c r="B35" t="s">
        <v>54</v>
      </c>
      <c r="C35" s="11">
        <v>500</v>
      </c>
      <c r="D35" s="11"/>
      <c r="E35" t="s">
        <v>247</v>
      </c>
      <c r="F35" s="110" t="s">
        <v>108</v>
      </c>
    </row>
    <row r="36" spans="1:6" x14ac:dyDescent="0.3">
      <c r="A36" s="38">
        <v>46045</v>
      </c>
      <c r="B36" t="s">
        <v>248</v>
      </c>
      <c r="C36" s="11">
        <v>20000</v>
      </c>
      <c r="D36" s="11"/>
      <c r="E36" t="s">
        <v>249</v>
      </c>
      <c r="F36" s="110" t="s">
        <v>108</v>
      </c>
    </row>
    <row r="37" spans="1:6" x14ac:dyDescent="0.3">
      <c r="A37" s="114">
        <v>46045</v>
      </c>
      <c r="B37" t="s">
        <v>54</v>
      </c>
      <c r="C37" s="11">
        <v>5000</v>
      </c>
      <c r="D37" s="11"/>
      <c r="E37" t="s">
        <v>250</v>
      </c>
      <c r="F37" s="110" t="s">
        <v>108</v>
      </c>
    </row>
    <row r="38" spans="1:6" x14ac:dyDescent="0.3">
      <c r="A38" s="114"/>
      <c r="C38" s="11"/>
      <c r="D38" s="11"/>
      <c r="F38" s="110"/>
    </row>
    <row r="39" spans="1:6" x14ac:dyDescent="0.3">
      <c r="A39" s="114">
        <v>46045</v>
      </c>
      <c r="B39" t="s">
        <v>50</v>
      </c>
      <c r="C39" s="11">
        <v>130</v>
      </c>
      <c r="D39" s="11"/>
      <c r="E39" t="s">
        <v>251</v>
      </c>
      <c r="F39" s="110" t="s">
        <v>108</v>
      </c>
    </row>
    <row r="40" spans="1:6" x14ac:dyDescent="0.3">
      <c r="A40" s="38">
        <v>46045</v>
      </c>
      <c r="B40" t="s">
        <v>220</v>
      </c>
      <c r="C40" s="11"/>
      <c r="D40" s="11">
        <v>199000</v>
      </c>
      <c r="E40" t="s">
        <v>252</v>
      </c>
      <c r="F40" s="110" t="s">
        <v>108</v>
      </c>
    </row>
    <row r="41" spans="1:6" x14ac:dyDescent="0.3">
      <c r="A41" s="114">
        <v>46045</v>
      </c>
      <c r="B41" t="s">
        <v>94</v>
      </c>
      <c r="C41" s="11">
        <v>200100</v>
      </c>
      <c r="D41" s="11"/>
      <c r="E41" t="s">
        <v>253</v>
      </c>
      <c r="F41" s="110" t="s">
        <v>108</v>
      </c>
    </row>
    <row r="42" spans="1:6" x14ac:dyDescent="0.3">
      <c r="A42" s="38">
        <v>46045</v>
      </c>
      <c r="B42" t="s">
        <v>254</v>
      </c>
      <c r="C42" s="11"/>
      <c r="D42" s="11">
        <v>124302</v>
      </c>
      <c r="E42" t="s">
        <v>255</v>
      </c>
      <c r="F42" s="110" t="s">
        <v>108</v>
      </c>
    </row>
    <row r="43" spans="1:6" x14ac:dyDescent="0.3">
      <c r="A43" s="114">
        <v>46045</v>
      </c>
      <c r="B43" t="s">
        <v>169</v>
      </c>
      <c r="C43" s="11">
        <v>120000</v>
      </c>
      <c r="D43" s="11"/>
      <c r="E43" t="s">
        <v>256</v>
      </c>
      <c r="F43" s="110" t="s">
        <v>108</v>
      </c>
    </row>
    <row r="44" spans="1:6" x14ac:dyDescent="0.3">
      <c r="A44" s="38">
        <v>46046</v>
      </c>
      <c r="B44" t="s">
        <v>220</v>
      </c>
      <c r="C44" s="95"/>
      <c r="D44" s="95">
        <v>330000</v>
      </c>
      <c r="E44" t="s">
        <v>257</v>
      </c>
      <c r="F44" s="110" t="s">
        <v>108</v>
      </c>
    </row>
    <row r="45" spans="1:6" x14ac:dyDescent="0.3">
      <c r="A45" s="114">
        <v>46046</v>
      </c>
      <c r="B45" t="s">
        <v>258</v>
      </c>
      <c r="C45" s="11">
        <v>200005</v>
      </c>
      <c r="D45" s="11"/>
      <c r="E45" t="s">
        <v>259</v>
      </c>
      <c r="F45" s="110" t="s">
        <v>108</v>
      </c>
    </row>
    <row r="46" spans="1:6" x14ac:dyDescent="0.3">
      <c r="A46" s="38">
        <v>46046</v>
      </c>
      <c r="B46" t="s">
        <v>260</v>
      </c>
      <c r="C46" s="11">
        <v>130000</v>
      </c>
      <c r="D46" s="11"/>
      <c r="E46" t="s">
        <v>261</v>
      </c>
      <c r="F46" s="110" t="s">
        <v>108</v>
      </c>
    </row>
    <row r="47" spans="1:6" x14ac:dyDescent="0.3">
      <c r="A47" s="114">
        <v>46046</v>
      </c>
      <c r="B47" t="s">
        <v>220</v>
      </c>
      <c r="C47" s="11"/>
      <c r="D47" s="11">
        <v>70000</v>
      </c>
      <c r="E47" t="s">
        <v>262</v>
      </c>
      <c r="F47" s="110" t="s">
        <v>108</v>
      </c>
    </row>
    <row r="48" spans="1:6" x14ac:dyDescent="0.3">
      <c r="A48" s="38">
        <v>46046</v>
      </c>
      <c r="B48" t="s">
        <v>196</v>
      </c>
      <c r="C48" s="11">
        <v>35000</v>
      </c>
      <c r="D48" s="11"/>
      <c r="E48" t="s">
        <v>263</v>
      </c>
      <c r="F48" s="110" t="s">
        <v>108</v>
      </c>
    </row>
    <row r="49" spans="1:6" x14ac:dyDescent="0.3">
      <c r="A49" s="114">
        <v>46046</v>
      </c>
      <c r="B49" t="s">
        <v>55</v>
      </c>
      <c r="C49" s="11">
        <v>1200</v>
      </c>
      <c r="D49" s="11"/>
      <c r="E49" t="s">
        <v>264</v>
      </c>
      <c r="F49" s="110" t="s">
        <v>108</v>
      </c>
    </row>
    <row r="50" spans="1:6" x14ac:dyDescent="0.3">
      <c r="A50" s="38">
        <v>46046</v>
      </c>
      <c r="B50" t="s">
        <v>55</v>
      </c>
      <c r="C50" s="11">
        <v>1700</v>
      </c>
      <c r="D50" s="11"/>
      <c r="E50" t="s">
        <v>265</v>
      </c>
      <c r="F50" s="110" t="s">
        <v>108</v>
      </c>
    </row>
    <row r="51" spans="1:6" x14ac:dyDescent="0.3">
      <c r="A51" s="114">
        <v>46046</v>
      </c>
      <c r="B51" t="s">
        <v>55</v>
      </c>
      <c r="C51" s="11">
        <v>1320</v>
      </c>
      <c r="D51" s="11"/>
      <c r="F51" s="110" t="s">
        <v>108</v>
      </c>
    </row>
    <row r="52" spans="1:6" x14ac:dyDescent="0.3">
      <c r="A52" s="38">
        <v>46047</v>
      </c>
      <c r="B52" t="s">
        <v>220</v>
      </c>
      <c r="C52" s="11"/>
      <c r="D52" s="11">
        <v>100000</v>
      </c>
      <c r="E52" t="s">
        <v>266</v>
      </c>
      <c r="F52" s="110" t="s">
        <v>108</v>
      </c>
    </row>
    <row r="53" spans="1:6" x14ac:dyDescent="0.3">
      <c r="A53" s="114">
        <v>46047</v>
      </c>
      <c r="B53" t="s">
        <v>258</v>
      </c>
      <c r="C53" s="11">
        <v>100000</v>
      </c>
      <c r="D53" s="11"/>
      <c r="E53" t="s">
        <v>267</v>
      </c>
      <c r="F53" s="110" t="s">
        <v>108</v>
      </c>
    </row>
    <row r="54" spans="1:6" x14ac:dyDescent="0.3">
      <c r="A54" s="38">
        <v>46047</v>
      </c>
      <c r="B54" t="s">
        <v>225</v>
      </c>
      <c r="C54" s="11">
        <v>2000</v>
      </c>
      <c r="D54" s="11"/>
      <c r="E54" t="s">
        <v>268</v>
      </c>
      <c r="F54" s="110" t="s">
        <v>108</v>
      </c>
    </row>
    <row r="55" spans="1:6" x14ac:dyDescent="0.3">
      <c r="A55" s="114">
        <v>46047</v>
      </c>
      <c r="B55" t="s">
        <v>222</v>
      </c>
      <c r="C55" s="11">
        <v>4250</v>
      </c>
      <c r="D55" s="11"/>
      <c r="E55" t="s">
        <v>269</v>
      </c>
      <c r="F55" s="110" t="s">
        <v>108</v>
      </c>
    </row>
    <row r="56" spans="1:6" x14ac:dyDescent="0.3">
      <c r="A56" s="38">
        <v>46047</v>
      </c>
      <c r="B56" t="s">
        <v>54</v>
      </c>
      <c r="C56" s="11">
        <v>3700</v>
      </c>
      <c r="D56" s="11"/>
      <c r="E56" t="s">
        <v>270</v>
      </c>
      <c r="F56" s="110" t="s">
        <v>108</v>
      </c>
    </row>
    <row r="57" spans="1:6" x14ac:dyDescent="0.3">
      <c r="A57" s="114">
        <v>46046</v>
      </c>
      <c r="B57" t="s">
        <v>54</v>
      </c>
      <c r="C57" s="11">
        <v>5000</v>
      </c>
      <c r="D57" s="11"/>
      <c r="E57" t="s">
        <v>271</v>
      </c>
      <c r="F57" s="110" t="s">
        <v>108</v>
      </c>
    </row>
    <row r="58" spans="1:6" x14ac:dyDescent="0.3">
      <c r="A58" s="38">
        <v>46047</v>
      </c>
      <c r="B58" t="s">
        <v>222</v>
      </c>
      <c r="C58" s="11">
        <v>2000</v>
      </c>
      <c r="D58" s="11"/>
      <c r="E58" t="s">
        <v>272</v>
      </c>
      <c r="F58" s="110" t="s">
        <v>108</v>
      </c>
    </row>
    <row r="59" spans="1:6" x14ac:dyDescent="0.3">
      <c r="A59" s="114">
        <v>46048</v>
      </c>
      <c r="B59" t="s">
        <v>193</v>
      </c>
      <c r="C59" s="11">
        <v>159250</v>
      </c>
      <c r="D59" s="11"/>
      <c r="E59" t="s">
        <v>64</v>
      </c>
      <c r="F59" s="110" t="s">
        <v>108</v>
      </c>
    </row>
    <row r="60" spans="1:6" x14ac:dyDescent="0.3">
      <c r="A60" s="114">
        <v>46048</v>
      </c>
      <c r="B60" t="s">
        <v>220</v>
      </c>
      <c r="C60" s="11"/>
      <c r="D60" s="11">
        <v>159250</v>
      </c>
      <c r="E60" t="s">
        <v>283</v>
      </c>
      <c r="F60" s="110" t="s">
        <v>108</v>
      </c>
    </row>
    <row r="61" spans="1:6" x14ac:dyDescent="0.3">
      <c r="A61" s="114">
        <v>46048</v>
      </c>
      <c r="B61" t="s">
        <v>196</v>
      </c>
      <c r="C61" s="11">
        <v>46360</v>
      </c>
      <c r="D61" s="11"/>
      <c r="E61" t="s">
        <v>214</v>
      </c>
      <c r="F61" s="110" t="s">
        <v>108</v>
      </c>
    </row>
    <row r="62" spans="1:6" x14ac:dyDescent="0.3">
      <c r="A62" s="114">
        <v>46048</v>
      </c>
      <c r="B62" t="s">
        <v>55</v>
      </c>
      <c r="C62" s="11">
        <v>1880</v>
      </c>
      <c r="D62" s="11"/>
      <c r="E62" t="s">
        <v>275</v>
      </c>
      <c r="F62" s="110" t="s">
        <v>108</v>
      </c>
    </row>
    <row r="63" spans="1:6" x14ac:dyDescent="0.3">
      <c r="A63" s="114">
        <v>46048</v>
      </c>
      <c r="B63" t="s">
        <v>55</v>
      </c>
      <c r="C63" s="11">
        <v>530</v>
      </c>
      <c r="D63" s="11"/>
      <c r="F63" s="110" t="s">
        <v>108</v>
      </c>
    </row>
    <row r="64" spans="1:6" x14ac:dyDescent="0.3">
      <c r="A64" s="114">
        <v>46048</v>
      </c>
      <c r="B64" t="s">
        <v>54</v>
      </c>
      <c r="C64" s="11">
        <v>1500</v>
      </c>
      <c r="D64" s="11"/>
      <c r="E64" t="s">
        <v>276</v>
      </c>
      <c r="F64" s="110" t="s">
        <v>108</v>
      </c>
    </row>
    <row r="65" spans="1:6" x14ac:dyDescent="0.3">
      <c r="A65" s="114">
        <v>46048</v>
      </c>
      <c r="B65" t="s">
        <v>55</v>
      </c>
      <c r="C65" s="11">
        <v>2900</v>
      </c>
      <c r="D65" s="11"/>
      <c r="E65" t="s">
        <v>277</v>
      </c>
      <c r="F65" s="110" t="s">
        <v>108</v>
      </c>
    </row>
    <row r="66" spans="1:6" x14ac:dyDescent="0.3">
      <c r="A66" s="114">
        <v>46048</v>
      </c>
      <c r="B66" t="s">
        <v>225</v>
      </c>
      <c r="C66" s="11">
        <v>5000</v>
      </c>
      <c r="D66" s="11"/>
      <c r="E66" t="s">
        <v>278</v>
      </c>
      <c r="F66" s="110" t="s">
        <v>108</v>
      </c>
    </row>
    <row r="67" spans="1:6" x14ac:dyDescent="0.3">
      <c r="A67" s="114">
        <v>46048</v>
      </c>
      <c r="B67" t="s">
        <v>220</v>
      </c>
      <c r="C67" s="11"/>
      <c r="D67" s="11">
        <v>50000</v>
      </c>
      <c r="E67" t="s">
        <v>279</v>
      </c>
      <c r="F67" s="110" t="s">
        <v>108</v>
      </c>
    </row>
    <row r="68" spans="1:6" x14ac:dyDescent="0.3">
      <c r="A68" s="114">
        <v>46048</v>
      </c>
      <c r="B68" t="s">
        <v>55</v>
      </c>
      <c r="C68" s="11">
        <v>4000</v>
      </c>
      <c r="D68" s="11"/>
      <c r="F68" s="110" t="s">
        <v>108</v>
      </c>
    </row>
    <row r="69" spans="1:6" x14ac:dyDescent="0.3">
      <c r="A69" s="114">
        <v>46048</v>
      </c>
      <c r="B69" t="s">
        <v>258</v>
      </c>
      <c r="C69" s="11">
        <v>100113</v>
      </c>
      <c r="D69" s="11"/>
      <c r="E69" t="s">
        <v>280</v>
      </c>
      <c r="F69" s="110" t="s">
        <v>108</v>
      </c>
    </row>
    <row r="70" spans="1:6" x14ac:dyDescent="0.3">
      <c r="A70" s="114">
        <v>46048</v>
      </c>
      <c r="B70" t="s">
        <v>220</v>
      </c>
      <c r="C70" s="95"/>
      <c r="D70" s="95">
        <v>45000</v>
      </c>
      <c r="E70" t="s">
        <v>281</v>
      </c>
      <c r="F70" s="110" t="s">
        <v>108</v>
      </c>
    </row>
    <row r="71" spans="1:6" x14ac:dyDescent="0.3">
      <c r="A71" s="114">
        <v>46048</v>
      </c>
      <c r="B71" t="s">
        <v>220</v>
      </c>
      <c r="C71" s="11"/>
      <c r="D71" s="11">
        <v>100000</v>
      </c>
      <c r="E71" t="s">
        <v>282</v>
      </c>
      <c r="F71" s="110" t="s">
        <v>108</v>
      </c>
    </row>
    <row r="72" spans="1:6" x14ac:dyDescent="0.3">
      <c r="A72" s="114">
        <v>46048</v>
      </c>
      <c r="B72" t="s">
        <v>210</v>
      </c>
      <c r="C72" s="11">
        <v>760</v>
      </c>
      <c r="D72" s="11"/>
      <c r="F72" s="110" t="s">
        <v>108</v>
      </c>
    </row>
    <row r="73" spans="1:6" x14ac:dyDescent="0.3">
      <c r="A73" s="114">
        <v>46048</v>
      </c>
      <c r="B73" t="s">
        <v>54</v>
      </c>
      <c r="C73" s="11">
        <v>1800</v>
      </c>
      <c r="D73" s="11"/>
      <c r="E73" t="s">
        <v>227</v>
      </c>
      <c r="F73" s="110" t="s">
        <v>108</v>
      </c>
    </row>
    <row r="74" spans="1:6" x14ac:dyDescent="0.3">
      <c r="A74" s="114">
        <v>46048</v>
      </c>
      <c r="B74" t="s">
        <v>222</v>
      </c>
      <c r="C74" s="11">
        <v>3000</v>
      </c>
      <c r="D74" s="11"/>
      <c r="E74" t="s">
        <v>272</v>
      </c>
      <c r="F74" s="110" t="s">
        <v>108</v>
      </c>
    </row>
    <row r="75" spans="1:6" x14ac:dyDescent="0.3">
      <c r="A75" s="114">
        <v>46049</v>
      </c>
      <c r="B75" t="s">
        <v>220</v>
      </c>
      <c r="C75" s="11"/>
      <c r="D75" s="11">
        <v>20000</v>
      </c>
      <c r="E75" t="s">
        <v>284</v>
      </c>
      <c r="F75" s="110" t="s">
        <v>108</v>
      </c>
    </row>
    <row r="76" spans="1:6" x14ac:dyDescent="0.3">
      <c r="A76" s="114">
        <v>46049</v>
      </c>
      <c r="B76" t="s">
        <v>50</v>
      </c>
      <c r="C76" s="11">
        <v>3000</v>
      </c>
      <c r="D76" s="11"/>
      <c r="E76" t="s">
        <v>285</v>
      </c>
      <c r="F76" s="110" t="s">
        <v>108</v>
      </c>
    </row>
    <row r="77" spans="1:6" x14ac:dyDescent="0.3">
      <c r="A77" s="114">
        <v>46049</v>
      </c>
      <c r="B77" t="s">
        <v>55</v>
      </c>
      <c r="C77" s="11">
        <v>3500</v>
      </c>
      <c r="D77" s="11"/>
      <c r="E77" t="s">
        <v>286</v>
      </c>
      <c r="F77" s="110" t="s">
        <v>108</v>
      </c>
    </row>
    <row r="78" spans="1:6" x14ac:dyDescent="0.3">
      <c r="A78" s="114">
        <v>46049</v>
      </c>
      <c r="B78" t="s">
        <v>225</v>
      </c>
      <c r="C78" s="11">
        <v>2000</v>
      </c>
      <c r="D78" s="11"/>
      <c r="E78" t="s">
        <v>243</v>
      </c>
      <c r="F78" s="110" t="s">
        <v>108</v>
      </c>
    </row>
    <row r="79" spans="1:6" x14ac:dyDescent="0.3">
      <c r="A79" s="114">
        <v>46049</v>
      </c>
      <c r="B79" t="s">
        <v>54</v>
      </c>
      <c r="C79" s="11">
        <v>500</v>
      </c>
      <c r="D79" s="11"/>
      <c r="E79" t="s">
        <v>224</v>
      </c>
      <c r="F79" s="110" t="s">
        <v>108</v>
      </c>
    </row>
    <row r="80" spans="1:6" x14ac:dyDescent="0.3">
      <c r="A80" s="114">
        <v>46049</v>
      </c>
      <c r="B80" t="s">
        <v>287</v>
      </c>
      <c r="C80" s="11"/>
      <c r="D80" s="11">
        <v>125000</v>
      </c>
      <c r="E80" t="s">
        <v>288</v>
      </c>
      <c r="F80" s="110" t="s">
        <v>108</v>
      </c>
    </row>
    <row r="81" spans="1:6" x14ac:dyDescent="0.3">
      <c r="A81" s="114">
        <v>46049</v>
      </c>
      <c r="B81" t="s">
        <v>287</v>
      </c>
      <c r="C81" s="11"/>
      <c r="D81" s="11">
        <v>100000</v>
      </c>
      <c r="E81" t="s">
        <v>289</v>
      </c>
      <c r="F81" s="110" t="s">
        <v>108</v>
      </c>
    </row>
    <row r="82" spans="1:6" x14ac:dyDescent="0.3">
      <c r="A82" s="114">
        <v>46049</v>
      </c>
      <c r="B82" t="s">
        <v>225</v>
      </c>
      <c r="C82" s="11">
        <v>100000</v>
      </c>
      <c r="D82" s="11"/>
      <c r="E82" t="s">
        <v>237</v>
      </c>
      <c r="F82" s="110" t="s">
        <v>108</v>
      </c>
    </row>
    <row r="83" spans="1:6" x14ac:dyDescent="0.3">
      <c r="A83" s="114">
        <v>46049</v>
      </c>
      <c r="B83" t="s">
        <v>210</v>
      </c>
      <c r="C83" s="11">
        <v>950</v>
      </c>
      <c r="D83" s="11"/>
      <c r="F83" s="110" t="s">
        <v>108</v>
      </c>
    </row>
    <row r="84" spans="1:6" x14ac:dyDescent="0.3">
      <c r="A84" s="114">
        <v>46050</v>
      </c>
      <c r="B84" t="s">
        <v>55</v>
      </c>
      <c r="C84" s="11">
        <v>1610</v>
      </c>
      <c r="D84" s="11"/>
      <c r="E84" t="s">
        <v>290</v>
      </c>
      <c r="F84" s="110" t="s">
        <v>108</v>
      </c>
    </row>
    <row r="85" spans="1:6" x14ac:dyDescent="0.3">
      <c r="A85" s="114">
        <v>46050</v>
      </c>
      <c r="B85" t="s">
        <v>220</v>
      </c>
      <c r="C85" s="11"/>
      <c r="D85" s="11">
        <v>60000</v>
      </c>
      <c r="E85" t="s">
        <v>291</v>
      </c>
      <c r="F85" s="110" t="s">
        <v>108</v>
      </c>
    </row>
    <row r="86" spans="1:6" x14ac:dyDescent="0.3">
      <c r="A86" s="114">
        <v>46050</v>
      </c>
      <c r="B86" t="s">
        <v>260</v>
      </c>
      <c r="C86" s="11">
        <v>150000</v>
      </c>
      <c r="D86" s="11"/>
      <c r="E86" t="s">
        <v>292</v>
      </c>
      <c r="F86" s="110" t="s">
        <v>108</v>
      </c>
    </row>
    <row r="87" spans="1:6" x14ac:dyDescent="0.3">
      <c r="A87" s="114">
        <v>46045</v>
      </c>
      <c r="B87" t="s">
        <v>233</v>
      </c>
      <c r="C87" s="11"/>
      <c r="D87" s="11">
        <v>40000</v>
      </c>
      <c r="E87" t="s">
        <v>293</v>
      </c>
      <c r="F87" s="110" t="s">
        <v>108</v>
      </c>
    </row>
    <row r="88" spans="1:6" x14ac:dyDescent="0.3">
      <c r="A88" s="114">
        <v>46045</v>
      </c>
      <c r="B88" t="s">
        <v>220</v>
      </c>
      <c r="C88" s="11">
        <v>40000</v>
      </c>
      <c r="D88" s="11"/>
      <c r="E88" t="s">
        <v>235</v>
      </c>
      <c r="F88" s="110" t="s">
        <v>108</v>
      </c>
    </row>
    <row r="89" spans="1:6" x14ac:dyDescent="0.3">
      <c r="A89" s="114">
        <v>46050</v>
      </c>
      <c r="B89" t="s">
        <v>233</v>
      </c>
      <c r="C89" s="11"/>
      <c r="D89" s="11">
        <v>300000</v>
      </c>
      <c r="E89" t="s">
        <v>294</v>
      </c>
      <c r="F89" s="110" t="s">
        <v>108</v>
      </c>
    </row>
    <row r="90" spans="1:6" x14ac:dyDescent="0.3">
      <c r="A90" s="114">
        <v>46050</v>
      </c>
      <c r="B90" t="s">
        <v>50</v>
      </c>
      <c r="C90" s="11">
        <v>15000</v>
      </c>
      <c r="D90" s="11"/>
      <c r="E90" t="s">
        <v>295</v>
      </c>
      <c r="F90" s="110" t="s">
        <v>108</v>
      </c>
    </row>
    <row r="91" spans="1:6" x14ac:dyDescent="0.3">
      <c r="A91" s="114">
        <v>46050</v>
      </c>
      <c r="B91" t="s">
        <v>50</v>
      </c>
      <c r="C91" s="11">
        <v>2800</v>
      </c>
      <c r="D91" s="11"/>
      <c r="E91" t="s">
        <v>296</v>
      </c>
      <c r="F91" s="110" t="s">
        <v>108</v>
      </c>
    </row>
    <row r="92" spans="1:6" x14ac:dyDescent="0.3">
      <c r="A92" s="114">
        <v>46050</v>
      </c>
      <c r="B92" t="s">
        <v>169</v>
      </c>
      <c r="C92" s="11">
        <v>125000</v>
      </c>
      <c r="D92" s="11"/>
      <c r="E92" t="s">
        <v>297</v>
      </c>
      <c r="F92" s="110" t="s">
        <v>108</v>
      </c>
    </row>
    <row r="93" spans="1:6" x14ac:dyDescent="0.3">
      <c r="A93" s="114">
        <v>46050</v>
      </c>
      <c r="B93" t="s">
        <v>298</v>
      </c>
      <c r="C93" s="11"/>
      <c r="D93" s="11">
        <v>300000</v>
      </c>
      <c r="E93" t="s">
        <v>299</v>
      </c>
      <c r="F93" s="110" t="s">
        <v>108</v>
      </c>
    </row>
    <row r="94" spans="1:6" x14ac:dyDescent="0.3">
      <c r="A94" s="114">
        <v>46050</v>
      </c>
      <c r="B94" t="s">
        <v>54</v>
      </c>
      <c r="C94" s="11"/>
      <c r="D94" s="11"/>
      <c r="E94" t="s">
        <v>300</v>
      </c>
      <c r="F94" s="110" t="s">
        <v>108</v>
      </c>
    </row>
    <row r="95" spans="1:6" x14ac:dyDescent="0.3">
      <c r="A95" s="114">
        <v>46050</v>
      </c>
      <c r="B95" t="s">
        <v>225</v>
      </c>
      <c r="C95" s="11">
        <v>5000</v>
      </c>
      <c r="D95" s="11"/>
      <c r="E95" t="s">
        <v>301</v>
      </c>
      <c r="F95" s="110" t="s">
        <v>108</v>
      </c>
    </row>
    <row r="96" spans="1:6" x14ac:dyDescent="0.3">
      <c r="A96" s="114">
        <v>46050</v>
      </c>
      <c r="B96" t="s">
        <v>225</v>
      </c>
      <c r="C96" s="11">
        <v>1000</v>
      </c>
      <c r="D96" s="11"/>
      <c r="E96" t="s">
        <v>242</v>
      </c>
      <c r="F96" s="110" t="s">
        <v>108</v>
      </c>
    </row>
    <row r="97" spans="1:13" x14ac:dyDescent="0.3">
      <c r="A97" s="114">
        <v>46050</v>
      </c>
      <c r="B97" t="s">
        <v>225</v>
      </c>
      <c r="C97" s="11">
        <v>1000</v>
      </c>
      <c r="D97" s="11"/>
      <c r="E97" t="s">
        <v>243</v>
      </c>
      <c r="F97" s="110" t="s">
        <v>108</v>
      </c>
    </row>
    <row r="98" spans="1:13" x14ac:dyDescent="0.3">
      <c r="A98" s="114">
        <v>46050</v>
      </c>
      <c r="B98" t="s">
        <v>225</v>
      </c>
      <c r="C98" s="11">
        <v>500</v>
      </c>
      <c r="D98" s="11"/>
      <c r="E98" t="s">
        <v>268</v>
      </c>
      <c r="F98" s="110" t="s">
        <v>108</v>
      </c>
    </row>
    <row r="99" spans="1:13" x14ac:dyDescent="0.3">
      <c r="A99" s="114">
        <v>46051</v>
      </c>
      <c r="B99" t="s">
        <v>298</v>
      </c>
      <c r="C99" s="11"/>
      <c r="D99" s="11">
        <v>400000</v>
      </c>
      <c r="F99" s="110" t="s">
        <v>108</v>
      </c>
    </row>
    <row r="100" spans="1:13" x14ac:dyDescent="0.3">
      <c r="A100" s="114">
        <v>46051</v>
      </c>
      <c r="B100" t="s">
        <v>220</v>
      </c>
      <c r="C100" s="11"/>
      <c r="D100" s="11">
        <v>20000</v>
      </c>
      <c r="E100" t="s">
        <v>305</v>
      </c>
      <c r="F100" s="110" t="s">
        <v>108</v>
      </c>
    </row>
    <row r="101" spans="1:13" x14ac:dyDescent="0.3">
      <c r="A101" s="114">
        <v>46051</v>
      </c>
      <c r="B101" t="s">
        <v>220</v>
      </c>
      <c r="C101" s="11"/>
      <c r="D101" s="11">
        <v>50000</v>
      </c>
      <c r="E101" t="s">
        <v>310</v>
      </c>
      <c r="F101" s="110" t="s">
        <v>108</v>
      </c>
    </row>
    <row r="102" spans="1:13" x14ac:dyDescent="0.3">
      <c r="A102" s="114">
        <v>46051</v>
      </c>
      <c r="B102" t="s">
        <v>220</v>
      </c>
      <c r="C102" s="11"/>
      <c r="D102" s="11">
        <v>100000</v>
      </c>
      <c r="E102" t="s">
        <v>311</v>
      </c>
      <c r="F102" s="110" t="s">
        <v>108</v>
      </c>
    </row>
    <row r="103" spans="1:13" x14ac:dyDescent="0.3">
      <c r="A103" s="114"/>
      <c r="B103" t="s">
        <v>54</v>
      </c>
      <c r="C103" s="11">
        <v>5000</v>
      </c>
      <c r="D103" s="11"/>
      <c r="E103" t="s">
        <v>406</v>
      </c>
      <c r="F103" s="110" t="s">
        <v>108</v>
      </c>
    </row>
    <row r="104" spans="1:13" x14ac:dyDescent="0.3">
      <c r="A104" s="114">
        <v>46051</v>
      </c>
      <c r="B104" t="s">
        <v>52</v>
      </c>
      <c r="C104" s="11"/>
      <c r="D104" s="11"/>
      <c r="E104" t="s">
        <v>243</v>
      </c>
      <c r="F104" s="110" t="s">
        <v>108</v>
      </c>
    </row>
    <row r="105" spans="1:13" x14ac:dyDescent="0.3">
      <c r="A105" s="114">
        <v>46051</v>
      </c>
      <c r="B105" t="s">
        <v>225</v>
      </c>
      <c r="C105" s="11">
        <v>20000</v>
      </c>
      <c r="D105" s="11"/>
      <c r="E105" t="s">
        <v>268</v>
      </c>
      <c r="F105" s="110" t="s">
        <v>108</v>
      </c>
      <c r="I105">
        <v>15400</v>
      </c>
      <c r="K105">
        <v>4300</v>
      </c>
      <c r="L105">
        <v>4300</v>
      </c>
      <c r="M105">
        <v>4300</v>
      </c>
    </row>
    <row r="106" spans="1:13" x14ac:dyDescent="0.3">
      <c r="A106" s="114">
        <v>46051</v>
      </c>
      <c r="B106" t="s">
        <v>54</v>
      </c>
      <c r="C106" s="11">
        <v>4000</v>
      </c>
      <c r="D106" s="11"/>
      <c r="E106" t="s">
        <v>306</v>
      </c>
      <c r="F106" s="110" t="s">
        <v>108</v>
      </c>
      <c r="I106">
        <v>4300</v>
      </c>
      <c r="K106">
        <v>1200</v>
      </c>
      <c r="L106">
        <v>1200</v>
      </c>
      <c r="M106">
        <v>1200</v>
      </c>
    </row>
    <row r="107" spans="1:13" x14ac:dyDescent="0.3">
      <c r="A107" s="114">
        <v>46051</v>
      </c>
      <c r="B107" t="s">
        <v>54</v>
      </c>
      <c r="C107" s="11">
        <v>2400</v>
      </c>
      <c r="D107" s="11"/>
      <c r="E107" t="s">
        <v>307</v>
      </c>
      <c r="F107" s="110" t="s">
        <v>108</v>
      </c>
      <c r="I107">
        <v>13400</v>
      </c>
      <c r="K107">
        <v>22700</v>
      </c>
      <c r="L107">
        <v>22700</v>
      </c>
      <c r="M107">
        <v>22700</v>
      </c>
    </row>
    <row r="108" spans="1:13" x14ac:dyDescent="0.3">
      <c r="A108" s="114">
        <v>46051</v>
      </c>
      <c r="B108" t="s">
        <v>52</v>
      </c>
      <c r="C108" s="11"/>
      <c r="D108" s="11"/>
      <c r="E108" t="s">
        <v>308</v>
      </c>
      <c r="F108" s="110" t="s">
        <v>108</v>
      </c>
      <c r="I108">
        <v>14900</v>
      </c>
      <c r="K108">
        <v>15000</v>
      </c>
      <c r="L108">
        <v>15000</v>
      </c>
      <c r="M108">
        <v>15000</v>
      </c>
    </row>
    <row r="109" spans="1:13" x14ac:dyDescent="0.3">
      <c r="A109" s="114">
        <v>46051</v>
      </c>
      <c r="B109" t="s">
        <v>229</v>
      </c>
      <c r="C109" s="11">
        <v>9000</v>
      </c>
      <c r="D109" s="11"/>
      <c r="E109" t="s">
        <v>309</v>
      </c>
      <c r="F109" s="110" t="s">
        <v>108</v>
      </c>
      <c r="I109">
        <v>15000</v>
      </c>
      <c r="K109">
        <v>15150</v>
      </c>
      <c r="L109">
        <v>15150</v>
      </c>
      <c r="M109">
        <v>15150</v>
      </c>
    </row>
    <row r="110" spans="1:13" x14ac:dyDescent="0.3">
      <c r="A110" s="114">
        <v>46051</v>
      </c>
      <c r="B110" t="s">
        <v>52</v>
      </c>
      <c r="C110" s="11"/>
      <c r="D110" s="11"/>
      <c r="E110" t="s">
        <v>312</v>
      </c>
      <c r="F110" s="110" t="s">
        <v>108</v>
      </c>
      <c r="I110">
        <v>11650</v>
      </c>
      <c r="K110">
        <v>22400</v>
      </c>
      <c r="L110">
        <v>22400</v>
      </c>
      <c r="M110">
        <v>22400</v>
      </c>
    </row>
    <row r="111" spans="1:13" x14ac:dyDescent="0.3">
      <c r="A111" s="114">
        <v>46051</v>
      </c>
      <c r="B111" t="s">
        <v>54</v>
      </c>
      <c r="C111" s="11">
        <v>5000</v>
      </c>
      <c r="D111" s="11"/>
      <c r="E111" t="s">
        <v>271</v>
      </c>
      <c r="F111" s="110" t="s">
        <v>108</v>
      </c>
      <c r="I111">
        <v>22700</v>
      </c>
      <c r="K111">
        <v>25000</v>
      </c>
      <c r="L111">
        <v>25000</v>
      </c>
      <c r="M111">
        <v>25000</v>
      </c>
    </row>
    <row r="112" spans="1:13" x14ac:dyDescent="0.3">
      <c r="A112" s="114">
        <v>46051</v>
      </c>
      <c r="B112" t="s">
        <v>210</v>
      </c>
      <c r="C112" s="11">
        <v>760</v>
      </c>
      <c r="D112" s="11"/>
      <c r="F112" s="110" t="s">
        <v>108</v>
      </c>
      <c r="I112">
        <v>17000</v>
      </c>
      <c r="K112">
        <v>20880</v>
      </c>
      <c r="L112">
        <v>20880</v>
      </c>
      <c r="M112">
        <v>20880</v>
      </c>
    </row>
    <row r="113" spans="1:13" x14ac:dyDescent="0.3">
      <c r="A113" s="114">
        <v>46051</v>
      </c>
      <c r="B113" t="s">
        <v>222</v>
      </c>
      <c r="C113" s="11">
        <v>600</v>
      </c>
      <c r="D113" s="11"/>
      <c r="E113" t="s">
        <v>313</v>
      </c>
      <c r="F113" s="110" t="s">
        <v>108</v>
      </c>
      <c r="I113">
        <v>15000</v>
      </c>
      <c r="K113">
        <v>20000</v>
      </c>
      <c r="L113">
        <v>20000</v>
      </c>
      <c r="M113">
        <v>20000</v>
      </c>
    </row>
    <row r="114" spans="1:13" x14ac:dyDescent="0.3">
      <c r="A114" s="114">
        <v>46053</v>
      </c>
      <c r="B114" t="s">
        <v>52</v>
      </c>
      <c r="C114" s="11">
        <v>12800</v>
      </c>
      <c r="D114" s="11"/>
      <c r="E114" t="s">
        <v>314</v>
      </c>
      <c r="F114" s="110" t="s">
        <v>108</v>
      </c>
      <c r="I114">
        <v>1200</v>
      </c>
      <c r="K114">
        <v>150000</v>
      </c>
      <c r="L114">
        <v>150000</v>
      </c>
      <c r="M114">
        <v>150000</v>
      </c>
    </row>
    <row r="115" spans="1:13" x14ac:dyDescent="0.3">
      <c r="A115" s="114">
        <v>46053</v>
      </c>
      <c r="B115" t="s">
        <v>225</v>
      </c>
      <c r="C115" s="11">
        <v>5000</v>
      </c>
      <c r="D115" s="11"/>
      <c r="E115" t="s">
        <v>315</v>
      </c>
      <c r="F115" s="110" t="s">
        <v>108</v>
      </c>
      <c r="I115">
        <v>25600</v>
      </c>
      <c r="K115">
        <v>45200</v>
      </c>
      <c r="L115">
        <v>45200</v>
      </c>
      <c r="M115">
        <v>45200</v>
      </c>
    </row>
    <row r="116" spans="1:13" x14ac:dyDescent="0.3">
      <c r="A116" s="114">
        <v>46052</v>
      </c>
      <c r="B116" t="s">
        <v>54</v>
      </c>
      <c r="C116" s="11">
        <v>2400</v>
      </c>
      <c r="D116" s="11"/>
      <c r="E116" t="s">
        <v>227</v>
      </c>
      <c r="F116" s="110" t="s">
        <v>108</v>
      </c>
      <c r="I116">
        <v>15300</v>
      </c>
      <c r="K116">
        <v>44800</v>
      </c>
      <c r="L116">
        <v>44800</v>
      </c>
      <c r="M116">
        <v>44800</v>
      </c>
    </row>
    <row r="117" spans="1:13" x14ac:dyDescent="0.3">
      <c r="A117" s="114">
        <v>46052</v>
      </c>
      <c r="B117" t="s">
        <v>229</v>
      </c>
      <c r="C117" s="95">
        <v>4050</v>
      </c>
      <c r="D117" s="95"/>
      <c r="E117" t="s">
        <v>309</v>
      </c>
      <c r="F117" s="110" t="s">
        <v>108</v>
      </c>
      <c r="I117">
        <v>16650</v>
      </c>
      <c r="K117">
        <v>5200</v>
      </c>
      <c r="L117">
        <v>5200</v>
      </c>
      <c r="M117">
        <v>5200</v>
      </c>
    </row>
    <row r="118" spans="1:13" x14ac:dyDescent="0.3">
      <c r="A118" s="114">
        <v>46052</v>
      </c>
      <c r="B118" t="s">
        <v>50</v>
      </c>
      <c r="C118" s="11">
        <v>5854</v>
      </c>
      <c r="D118" s="11"/>
      <c r="E118" t="s">
        <v>241</v>
      </c>
      <c r="F118" s="110" t="s">
        <v>108</v>
      </c>
      <c r="I118">
        <v>20000</v>
      </c>
      <c r="K118">
        <v>39400</v>
      </c>
      <c r="L118">
        <v>39400</v>
      </c>
      <c r="M118">
        <v>39400</v>
      </c>
    </row>
    <row r="119" spans="1:13" x14ac:dyDescent="0.3">
      <c r="A119" s="114">
        <v>46052</v>
      </c>
      <c r="B119" t="s">
        <v>55</v>
      </c>
      <c r="C119" s="11">
        <v>10000</v>
      </c>
      <c r="D119" s="11"/>
      <c r="E119" t="s">
        <v>316</v>
      </c>
      <c r="F119" s="110" t="s">
        <v>108</v>
      </c>
      <c r="I119">
        <v>5200</v>
      </c>
      <c r="K119">
        <v>21600</v>
      </c>
      <c r="L119">
        <v>21600</v>
      </c>
      <c r="M119">
        <v>21600</v>
      </c>
    </row>
    <row r="120" spans="1:13" x14ac:dyDescent="0.3">
      <c r="A120" s="114">
        <v>46052</v>
      </c>
      <c r="B120" t="s">
        <v>220</v>
      </c>
      <c r="C120" s="11"/>
      <c r="D120" s="11">
        <v>25000</v>
      </c>
      <c r="E120" t="s">
        <v>317</v>
      </c>
      <c r="F120" s="110" t="s">
        <v>108</v>
      </c>
      <c r="I120">
        <v>46400</v>
      </c>
      <c r="K120">
        <v>46400</v>
      </c>
      <c r="L120">
        <v>46400</v>
      </c>
      <c r="M120">
        <v>46400</v>
      </c>
    </row>
    <row r="121" spans="1:13" x14ac:dyDescent="0.3">
      <c r="A121" s="114">
        <v>46052</v>
      </c>
      <c r="B121" t="s">
        <v>55</v>
      </c>
      <c r="C121" s="11">
        <v>1100</v>
      </c>
      <c r="D121" s="11"/>
      <c r="E121" t="s">
        <v>318</v>
      </c>
      <c r="F121" s="110" t="s">
        <v>108</v>
      </c>
      <c r="I121">
        <v>16300</v>
      </c>
      <c r="K121">
        <v>8400</v>
      </c>
      <c r="L121">
        <v>8400</v>
      </c>
      <c r="M121">
        <v>8400</v>
      </c>
    </row>
    <row r="122" spans="1:13" x14ac:dyDescent="0.3">
      <c r="A122" s="114">
        <v>46052</v>
      </c>
      <c r="B122" t="s">
        <v>210</v>
      </c>
      <c r="C122" s="11">
        <v>1000</v>
      </c>
      <c r="D122" s="11"/>
      <c r="E122" t="s">
        <v>319</v>
      </c>
      <c r="F122" s="110" t="s">
        <v>108</v>
      </c>
      <c r="I122">
        <v>21700</v>
      </c>
      <c r="K122">
        <v>35000</v>
      </c>
      <c r="L122">
        <v>35000</v>
      </c>
      <c r="M122">
        <v>35000</v>
      </c>
    </row>
    <row r="123" spans="1:13" x14ac:dyDescent="0.3">
      <c r="A123" s="114">
        <v>46053</v>
      </c>
      <c r="B123" t="s">
        <v>55</v>
      </c>
      <c r="C123" s="11">
        <v>3760</v>
      </c>
      <c r="D123" s="11"/>
      <c r="E123" t="s">
        <v>320</v>
      </c>
      <c r="F123" s="110" t="s">
        <v>108</v>
      </c>
      <c r="I123">
        <v>6000</v>
      </c>
      <c r="K123">
        <v>80000</v>
      </c>
      <c r="L123">
        <v>80000</v>
      </c>
      <c r="M123">
        <v>80000</v>
      </c>
    </row>
    <row r="124" spans="1:13" x14ac:dyDescent="0.3">
      <c r="A124" s="114">
        <v>46053</v>
      </c>
      <c r="B124" t="s">
        <v>55</v>
      </c>
      <c r="C124" s="11">
        <v>1850</v>
      </c>
      <c r="D124" s="11"/>
      <c r="F124" s="110" t="s">
        <v>108</v>
      </c>
      <c r="I124">
        <v>45000</v>
      </c>
      <c r="K124">
        <v>9500</v>
      </c>
      <c r="L124">
        <v>9500</v>
      </c>
      <c r="M124">
        <v>9500</v>
      </c>
    </row>
    <row r="125" spans="1:13" x14ac:dyDescent="0.3">
      <c r="A125" s="114">
        <v>46053</v>
      </c>
      <c r="B125" t="s">
        <v>287</v>
      </c>
      <c r="C125" s="11"/>
      <c r="D125" s="11">
        <v>90000</v>
      </c>
      <c r="E125" t="s">
        <v>321</v>
      </c>
      <c r="F125" s="110" t="s">
        <v>108</v>
      </c>
      <c r="I125">
        <v>21600</v>
      </c>
      <c r="K125">
        <v>34000</v>
      </c>
      <c r="L125">
        <v>34000</v>
      </c>
      <c r="M125">
        <v>34000</v>
      </c>
    </row>
    <row r="126" spans="1:13" x14ac:dyDescent="0.3">
      <c r="A126" s="114">
        <v>46053</v>
      </c>
      <c r="B126" t="s">
        <v>55</v>
      </c>
      <c r="C126" s="11">
        <v>2750</v>
      </c>
      <c r="D126" s="11"/>
      <c r="E126" t="s">
        <v>322</v>
      </c>
      <c r="F126" s="110" t="s">
        <v>108</v>
      </c>
      <c r="I126">
        <v>39400</v>
      </c>
      <c r="K126">
        <v>21700</v>
      </c>
      <c r="L126">
        <v>21700</v>
      </c>
      <c r="M126">
        <v>21700</v>
      </c>
    </row>
    <row r="127" spans="1:13" x14ac:dyDescent="0.3">
      <c r="A127" s="114">
        <v>46053</v>
      </c>
      <c r="B127" t="s">
        <v>233</v>
      </c>
      <c r="C127" s="11"/>
      <c r="D127" s="11">
        <v>150000</v>
      </c>
      <c r="E127" t="s">
        <v>323</v>
      </c>
      <c r="F127" s="110" t="s">
        <v>108</v>
      </c>
      <c r="I127">
        <v>8400</v>
      </c>
      <c r="K127">
        <v>17000</v>
      </c>
      <c r="L127">
        <v>17000</v>
      </c>
      <c r="M127">
        <v>17000</v>
      </c>
    </row>
    <row r="128" spans="1:13" x14ac:dyDescent="0.3">
      <c r="A128" s="114">
        <v>46053</v>
      </c>
      <c r="B128" t="s">
        <v>233</v>
      </c>
      <c r="C128" s="11"/>
      <c r="D128" s="11">
        <v>20000</v>
      </c>
      <c r="E128" t="s">
        <v>109</v>
      </c>
      <c r="F128" s="110" t="s">
        <v>108</v>
      </c>
      <c r="I128">
        <v>45200</v>
      </c>
      <c r="K128">
        <v>25600</v>
      </c>
      <c r="L128">
        <v>25600</v>
      </c>
      <c r="M128">
        <v>25600</v>
      </c>
    </row>
    <row r="129" spans="1:13" x14ac:dyDescent="0.3">
      <c r="A129" s="114">
        <v>46053</v>
      </c>
      <c r="B129" t="s">
        <v>117</v>
      </c>
      <c r="C129" s="11">
        <v>20400</v>
      </c>
      <c r="D129" s="11"/>
      <c r="E129" t="s">
        <v>303</v>
      </c>
      <c r="F129" s="110" t="s">
        <v>108</v>
      </c>
      <c r="I129">
        <v>34000</v>
      </c>
      <c r="K129">
        <v>14900</v>
      </c>
      <c r="L129">
        <v>14900</v>
      </c>
      <c r="M129">
        <v>14900</v>
      </c>
    </row>
    <row r="130" spans="1:13" x14ac:dyDescent="0.3">
      <c r="A130" s="114">
        <v>46053</v>
      </c>
      <c r="B130" t="s">
        <v>94</v>
      </c>
      <c r="C130" s="11">
        <v>90000</v>
      </c>
      <c r="D130" s="11"/>
      <c r="E130" t="s">
        <v>324</v>
      </c>
      <c r="F130" s="110" t="s">
        <v>108</v>
      </c>
      <c r="I130">
        <v>22400</v>
      </c>
      <c r="K130">
        <v>11650</v>
      </c>
      <c r="L130">
        <v>11650</v>
      </c>
      <c r="M130">
        <v>11650</v>
      </c>
    </row>
    <row r="131" spans="1:13" x14ac:dyDescent="0.3">
      <c r="A131" s="114">
        <v>46053</v>
      </c>
      <c r="B131" t="s">
        <v>258</v>
      </c>
      <c r="C131" s="11">
        <v>100200</v>
      </c>
      <c r="D131" s="11"/>
      <c r="E131" t="s">
        <v>325</v>
      </c>
      <c r="F131" s="110" t="s">
        <v>108</v>
      </c>
      <c r="I131">
        <v>5700</v>
      </c>
      <c r="K131">
        <v>15300</v>
      </c>
      <c r="L131">
        <v>15400</v>
      </c>
      <c r="M131">
        <v>15400</v>
      </c>
    </row>
    <row r="132" spans="1:13" x14ac:dyDescent="0.3">
      <c r="A132" s="114">
        <v>46053</v>
      </c>
      <c r="B132" t="s">
        <v>210</v>
      </c>
      <c r="C132" s="11"/>
      <c r="D132" s="11">
        <f>[1]Profit!$F$21</f>
        <v>136637.20398683249</v>
      </c>
      <c r="E132" t="s">
        <v>404</v>
      </c>
      <c r="F132" s="110" t="s">
        <v>108</v>
      </c>
      <c r="I132">
        <v>80000</v>
      </c>
      <c r="K132">
        <v>15000</v>
      </c>
      <c r="L132">
        <v>16300</v>
      </c>
      <c r="M132">
        <v>16300</v>
      </c>
    </row>
    <row r="133" spans="1:13" x14ac:dyDescent="0.3">
      <c r="A133" s="114">
        <v>46053</v>
      </c>
      <c r="B133" t="s">
        <v>405</v>
      </c>
      <c r="C133" s="11">
        <f>[1]Profit!$F$21</f>
        <v>136637.20398683249</v>
      </c>
      <c r="D133" s="11"/>
      <c r="E133" t="s">
        <v>404</v>
      </c>
      <c r="F133" s="110" t="s">
        <v>108</v>
      </c>
      <c r="I133">
        <v>2500</v>
      </c>
      <c r="K133">
        <v>6000</v>
      </c>
      <c r="L133">
        <v>15300</v>
      </c>
      <c r="M133">
        <v>15300</v>
      </c>
    </row>
    <row r="134" spans="1:13" x14ac:dyDescent="0.3">
      <c r="A134" s="114">
        <v>46053</v>
      </c>
      <c r="B134" t="s">
        <v>248</v>
      </c>
      <c r="C134" s="11">
        <v>20000</v>
      </c>
      <c r="D134" s="11"/>
      <c r="E134" t="s">
        <v>249</v>
      </c>
      <c r="F134" s="110" t="s">
        <v>108</v>
      </c>
      <c r="I134">
        <v>9500</v>
      </c>
      <c r="K134">
        <v>16550</v>
      </c>
      <c r="L134">
        <v>15000</v>
      </c>
      <c r="M134">
        <v>15000</v>
      </c>
    </row>
    <row r="135" spans="1:13" x14ac:dyDescent="0.3">
      <c r="A135" s="114">
        <v>46054</v>
      </c>
      <c r="B135" t="s">
        <v>298</v>
      </c>
      <c r="C135" s="95"/>
      <c r="D135" s="95">
        <v>300000</v>
      </c>
      <c r="E135" t="s">
        <v>326</v>
      </c>
      <c r="F135" s="110" t="s">
        <v>108</v>
      </c>
      <c r="I135">
        <v>20880</v>
      </c>
      <c r="K135">
        <v>13400</v>
      </c>
      <c r="L135">
        <v>6000</v>
      </c>
      <c r="M135">
        <v>6000</v>
      </c>
    </row>
    <row r="136" spans="1:13" x14ac:dyDescent="0.3">
      <c r="A136" s="114">
        <v>46054</v>
      </c>
      <c r="B136" t="s">
        <v>258</v>
      </c>
      <c r="C136" s="11">
        <v>100101</v>
      </c>
      <c r="D136" s="11"/>
      <c r="E136" t="s">
        <v>327</v>
      </c>
      <c r="F136" s="110" t="s">
        <v>108</v>
      </c>
      <c r="I136">
        <v>150000</v>
      </c>
      <c r="K136">
        <v>11650</v>
      </c>
      <c r="L136">
        <v>16550</v>
      </c>
      <c r="M136">
        <v>16550</v>
      </c>
    </row>
    <row r="137" spans="1:13" x14ac:dyDescent="0.3">
      <c r="A137" s="114">
        <v>46054</v>
      </c>
      <c r="B137" t="s">
        <v>55</v>
      </c>
      <c r="C137" s="11">
        <v>2900</v>
      </c>
      <c r="D137" s="11"/>
      <c r="E137" t="s">
        <v>328</v>
      </c>
      <c r="F137" s="110" t="s">
        <v>108</v>
      </c>
      <c r="K137">
        <v>2500</v>
      </c>
      <c r="L137">
        <v>13400</v>
      </c>
      <c r="M137">
        <v>13400</v>
      </c>
    </row>
    <row r="138" spans="1:13" x14ac:dyDescent="0.3">
      <c r="A138" s="114">
        <v>46054</v>
      </c>
      <c r="B138" t="s">
        <v>50</v>
      </c>
      <c r="C138" s="11">
        <v>1000</v>
      </c>
      <c r="D138" s="11"/>
      <c r="E138" t="s">
        <v>329</v>
      </c>
      <c r="F138" s="110" t="s">
        <v>108</v>
      </c>
      <c r="K138">
        <v>5700</v>
      </c>
      <c r="L138">
        <v>11650</v>
      </c>
      <c r="M138">
        <v>11650</v>
      </c>
    </row>
    <row r="139" spans="1:13" x14ac:dyDescent="0.3">
      <c r="A139" s="114">
        <v>46054</v>
      </c>
      <c r="B139" t="s">
        <v>50</v>
      </c>
      <c r="C139" s="11">
        <v>3720</v>
      </c>
      <c r="D139" s="11"/>
      <c r="E139" t="s">
        <v>330</v>
      </c>
      <c r="F139" s="110" t="s">
        <v>108</v>
      </c>
      <c r="L139">
        <v>2500</v>
      </c>
      <c r="M139">
        <v>2500</v>
      </c>
    </row>
    <row r="140" spans="1:13" x14ac:dyDescent="0.3">
      <c r="A140" s="114">
        <v>46054</v>
      </c>
      <c r="B140" t="s">
        <v>94</v>
      </c>
      <c r="C140" s="11">
        <v>200280</v>
      </c>
      <c r="D140" s="11"/>
      <c r="E140" t="s">
        <v>331</v>
      </c>
      <c r="F140" s="110" t="s">
        <v>108</v>
      </c>
      <c r="L140">
        <v>5700</v>
      </c>
      <c r="M140">
        <v>5700</v>
      </c>
    </row>
    <row r="141" spans="1:13" x14ac:dyDescent="0.3">
      <c r="A141" s="114">
        <v>46052</v>
      </c>
      <c r="B141" t="s">
        <v>222</v>
      </c>
      <c r="C141" s="11">
        <v>2500</v>
      </c>
      <c r="D141" s="11"/>
      <c r="E141" t="s">
        <v>269</v>
      </c>
      <c r="F141" s="110" t="s">
        <v>108</v>
      </c>
      <c r="L141">
        <v>5000</v>
      </c>
      <c r="M141">
        <v>5000</v>
      </c>
    </row>
    <row r="142" spans="1:13" x14ac:dyDescent="0.3">
      <c r="A142" s="114">
        <v>46053</v>
      </c>
      <c r="B142" t="s">
        <v>210</v>
      </c>
      <c r="C142" s="11">
        <v>5750</v>
      </c>
      <c r="D142" s="11"/>
      <c r="F142" s="110" t="s">
        <v>108</v>
      </c>
    </row>
    <row r="143" spans="1:13" x14ac:dyDescent="0.3">
      <c r="A143" s="114">
        <v>46053</v>
      </c>
      <c r="B143" t="s">
        <v>220</v>
      </c>
      <c r="C143" s="11">
        <v>20000</v>
      </c>
      <c r="D143" s="11"/>
      <c r="E143" t="s">
        <v>332</v>
      </c>
      <c r="F143" s="110" t="s">
        <v>108</v>
      </c>
    </row>
    <row r="144" spans="1:13" x14ac:dyDescent="0.3">
      <c r="A144" s="114">
        <v>46055</v>
      </c>
      <c r="B144" t="s">
        <v>175</v>
      </c>
      <c r="C144" s="11"/>
      <c r="D144" s="11">
        <v>300000</v>
      </c>
      <c r="E144" t="s">
        <v>336</v>
      </c>
      <c r="F144" s="110" t="s">
        <v>108</v>
      </c>
    </row>
    <row r="145" spans="1:6" x14ac:dyDescent="0.3">
      <c r="A145" s="114">
        <v>46055</v>
      </c>
      <c r="B145" t="s">
        <v>337</v>
      </c>
      <c r="C145" s="11">
        <v>1000</v>
      </c>
      <c r="D145" s="11"/>
      <c r="E145" t="s">
        <v>338</v>
      </c>
      <c r="F145" s="110" t="s">
        <v>108</v>
      </c>
    </row>
    <row r="146" spans="1:6" x14ac:dyDescent="0.3">
      <c r="A146" s="114">
        <v>46055</v>
      </c>
      <c r="B146" t="s">
        <v>169</v>
      </c>
      <c r="C146" s="11">
        <v>150000</v>
      </c>
      <c r="D146" s="11"/>
      <c r="E146" t="s">
        <v>339</v>
      </c>
      <c r="F146" s="110" t="s">
        <v>108</v>
      </c>
    </row>
    <row r="147" spans="1:6" x14ac:dyDescent="0.3">
      <c r="A147" s="114">
        <v>46055</v>
      </c>
      <c r="B147" t="s">
        <v>260</v>
      </c>
      <c r="C147" s="11">
        <v>100200</v>
      </c>
      <c r="D147" s="11"/>
      <c r="E147" t="s">
        <v>340</v>
      </c>
      <c r="F147" s="110" t="s">
        <v>108</v>
      </c>
    </row>
    <row r="148" spans="1:6" x14ac:dyDescent="0.3">
      <c r="A148" s="114">
        <v>46055</v>
      </c>
      <c r="B148" t="s">
        <v>52</v>
      </c>
      <c r="C148" s="11">
        <v>28000</v>
      </c>
      <c r="D148" s="11"/>
      <c r="E148" t="s">
        <v>242</v>
      </c>
      <c r="F148" s="110" t="s">
        <v>108</v>
      </c>
    </row>
    <row r="149" spans="1:6" x14ac:dyDescent="0.3">
      <c r="A149" s="114">
        <v>46055</v>
      </c>
      <c r="B149" t="s">
        <v>229</v>
      </c>
      <c r="C149" s="11">
        <v>22640</v>
      </c>
      <c r="D149" s="11"/>
      <c r="E149" t="s">
        <v>214</v>
      </c>
      <c r="F149" s="110" t="s">
        <v>108</v>
      </c>
    </row>
    <row r="150" spans="1:6" x14ac:dyDescent="0.3">
      <c r="A150" s="114">
        <v>46055</v>
      </c>
      <c r="B150" t="s">
        <v>190</v>
      </c>
      <c r="C150" s="11"/>
      <c r="D150" s="11">
        <v>200000</v>
      </c>
      <c r="E150" t="s">
        <v>341</v>
      </c>
      <c r="F150" s="110" t="s">
        <v>108</v>
      </c>
    </row>
    <row r="151" spans="1:6" x14ac:dyDescent="0.3">
      <c r="A151" s="114">
        <v>46055</v>
      </c>
      <c r="B151" t="s">
        <v>52</v>
      </c>
      <c r="C151" s="11"/>
      <c r="D151" s="11"/>
      <c r="E151" t="s">
        <v>245</v>
      </c>
      <c r="F151" s="110" t="s">
        <v>108</v>
      </c>
    </row>
    <row r="152" spans="1:6" x14ac:dyDescent="0.3">
      <c r="A152" s="114">
        <v>46055</v>
      </c>
      <c r="B152" t="s">
        <v>52</v>
      </c>
      <c r="C152" s="11"/>
      <c r="D152" s="11"/>
      <c r="E152" t="s">
        <v>231</v>
      </c>
      <c r="F152" s="110" t="s">
        <v>108</v>
      </c>
    </row>
    <row r="153" spans="1:6" x14ac:dyDescent="0.3">
      <c r="A153" s="114">
        <v>46055</v>
      </c>
      <c r="B153" t="s">
        <v>52</v>
      </c>
      <c r="C153" s="11"/>
      <c r="D153" s="11"/>
      <c r="E153" t="s">
        <v>243</v>
      </c>
      <c r="F153" s="110" t="s">
        <v>108</v>
      </c>
    </row>
    <row r="154" spans="1:6" x14ac:dyDescent="0.3">
      <c r="A154" s="114">
        <v>46055</v>
      </c>
      <c r="B154" t="s">
        <v>54</v>
      </c>
      <c r="C154" s="11">
        <v>2500</v>
      </c>
      <c r="D154" s="11"/>
      <c r="E154" t="s">
        <v>342</v>
      </c>
      <c r="F154" s="110" t="s">
        <v>108</v>
      </c>
    </row>
    <row r="155" spans="1:6" x14ac:dyDescent="0.3">
      <c r="A155" s="114">
        <v>46055</v>
      </c>
      <c r="B155" t="s">
        <v>258</v>
      </c>
      <c r="C155" s="11">
        <v>200144</v>
      </c>
      <c r="D155" s="11"/>
      <c r="E155" t="s">
        <v>343</v>
      </c>
      <c r="F155" s="110" t="s">
        <v>108</v>
      </c>
    </row>
    <row r="156" spans="1:6" x14ac:dyDescent="0.3">
      <c r="A156" s="114">
        <v>46055</v>
      </c>
      <c r="B156" t="s">
        <v>333</v>
      </c>
      <c r="C156" s="11"/>
      <c r="D156" s="11">
        <v>300000</v>
      </c>
      <c r="E156" t="s">
        <v>344</v>
      </c>
      <c r="F156" s="110" t="s">
        <v>108</v>
      </c>
    </row>
    <row r="157" spans="1:6" x14ac:dyDescent="0.3">
      <c r="A157" s="114">
        <v>46055</v>
      </c>
      <c r="B157" t="s">
        <v>54</v>
      </c>
      <c r="C157" s="11">
        <v>5000</v>
      </c>
      <c r="D157" s="11"/>
      <c r="E157" t="s">
        <v>271</v>
      </c>
      <c r="F157" s="110" t="s">
        <v>108</v>
      </c>
    </row>
    <row r="158" spans="1:6" x14ac:dyDescent="0.3">
      <c r="A158" s="114">
        <v>46055</v>
      </c>
      <c r="B158" t="s">
        <v>222</v>
      </c>
      <c r="C158" s="95">
        <v>10000</v>
      </c>
      <c r="D158" s="95"/>
      <c r="E158" t="s">
        <v>246</v>
      </c>
      <c r="F158" s="110" t="s">
        <v>108</v>
      </c>
    </row>
    <row r="159" spans="1:6" x14ac:dyDescent="0.3">
      <c r="A159" s="114">
        <v>46055</v>
      </c>
      <c r="B159" t="s">
        <v>52</v>
      </c>
      <c r="C159" s="11"/>
      <c r="D159" s="11"/>
      <c r="E159" t="s">
        <v>231</v>
      </c>
      <c r="F159" s="110" t="s">
        <v>108</v>
      </c>
    </row>
    <row r="160" spans="1:6" x14ac:dyDescent="0.3">
      <c r="A160" s="114">
        <v>46055</v>
      </c>
      <c r="B160" t="s">
        <v>345</v>
      </c>
      <c r="C160" s="11"/>
      <c r="D160" s="11">
        <v>150000</v>
      </c>
      <c r="E160" t="s">
        <v>346</v>
      </c>
      <c r="F160" s="110" t="s">
        <v>108</v>
      </c>
    </row>
    <row r="161" spans="1:12" x14ac:dyDescent="0.3">
      <c r="A161" s="114">
        <v>46055</v>
      </c>
      <c r="B161" t="s">
        <v>220</v>
      </c>
      <c r="C161" s="11">
        <v>222560</v>
      </c>
      <c r="D161" s="11"/>
      <c r="E161" t="s">
        <v>347</v>
      </c>
      <c r="F161" s="110" t="s">
        <v>108</v>
      </c>
    </row>
    <row r="162" spans="1:12" x14ac:dyDescent="0.3">
      <c r="A162" s="114">
        <v>46056</v>
      </c>
      <c r="B162" t="s">
        <v>54</v>
      </c>
      <c r="C162" s="11">
        <v>2800</v>
      </c>
      <c r="D162" s="11"/>
      <c r="E162" t="s">
        <v>348</v>
      </c>
      <c r="F162" s="110" t="s">
        <v>108</v>
      </c>
    </row>
    <row r="163" spans="1:12" x14ac:dyDescent="0.3">
      <c r="A163" s="114">
        <v>46056</v>
      </c>
      <c r="B163" t="s">
        <v>50</v>
      </c>
      <c r="C163" s="11">
        <v>900</v>
      </c>
      <c r="D163" s="11"/>
      <c r="E163" t="s">
        <v>349</v>
      </c>
      <c r="F163" s="110" t="s">
        <v>108</v>
      </c>
      <c r="J163" s="3" t="s">
        <v>6</v>
      </c>
      <c r="K163" t="s">
        <v>118</v>
      </c>
      <c r="L163" t="s">
        <v>119</v>
      </c>
    </row>
    <row r="164" spans="1:12" x14ac:dyDescent="0.3">
      <c r="A164" s="114">
        <v>46056</v>
      </c>
      <c r="B164" t="s">
        <v>54</v>
      </c>
      <c r="C164" s="11">
        <v>350</v>
      </c>
      <c r="D164" s="11"/>
      <c r="E164" t="s">
        <v>350</v>
      </c>
      <c r="F164" s="110" t="s">
        <v>108</v>
      </c>
      <c r="J164" s="4" t="s">
        <v>225</v>
      </c>
      <c r="K164" s="14"/>
      <c r="L164" s="14">
        <v>519423</v>
      </c>
    </row>
    <row r="165" spans="1:12" x14ac:dyDescent="0.3">
      <c r="A165" s="114">
        <v>46056</v>
      </c>
      <c r="B165" t="s">
        <v>220</v>
      </c>
      <c r="C165" s="11"/>
      <c r="D165" s="11">
        <v>28000</v>
      </c>
      <c r="E165" t="s">
        <v>351</v>
      </c>
      <c r="F165" s="110" t="s">
        <v>108</v>
      </c>
      <c r="J165" s="4" t="s">
        <v>345</v>
      </c>
      <c r="K165" s="14">
        <v>857000</v>
      </c>
      <c r="L165" s="14"/>
    </row>
    <row r="166" spans="1:12" x14ac:dyDescent="0.3">
      <c r="A166" s="114">
        <v>46056</v>
      </c>
      <c r="B166" t="s">
        <v>55</v>
      </c>
      <c r="C166" s="11">
        <v>28000</v>
      </c>
      <c r="D166" s="11"/>
      <c r="E166" t="s">
        <v>351</v>
      </c>
      <c r="F166" s="110" t="s">
        <v>108</v>
      </c>
      <c r="J166" s="4" t="s">
        <v>117</v>
      </c>
      <c r="K166" s="14"/>
      <c r="L166" s="14">
        <v>176400</v>
      </c>
    </row>
    <row r="167" spans="1:12" x14ac:dyDescent="0.3">
      <c r="A167" s="114">
        <v>46056</v>
      </c>
      <c r="B167" t="s">
        <v>190</v>
      </c>
      <c r="C167" s="11"/>
      <c r="D167" s="11">
        <v>200000</v>
      </c>
      <c r="E167" t="s">
        <v>393</v>
      </c>
      <c r="F167" s="110" t="s">
        <v>108</v>
      </c>
      <c r="J167" s="4" t="s">
        <v>94</v>
      </c>
      <c r="K167" s="14"/>
      <c r="L167" s="14">
        <v>1175040</v>
      </c>
    </row>
    <row r="168" spans="1:12" x14ac:dyDescent="0.3">
      <c r="A168" s="114">
        <v>46056</v>
      </c>
      <c r="B168" t="s">
        <v>50</v>
      </c>
      <c r="C168" s="11">
        <v>150015</v>
      </c>
      <c r="D168" s="11"/>
      <c r="E168" t="s">
        <v>352</v>
      </c>
      <c r="F168" s="110" t="s">
        <v>108</v>
      </c>
      <c r="J168" s="4" t="s">
        <v>50</v>
      </c>
      <c r="K168" s="14"/>
      <c r="L168" s="14">
        <v>235215</v>
      </c>
    </row>
    <row r="169" spans="1:12" x14ac:dyDescent="0.3">
      <c r="A169" s="114">
        <v>46056</v>
      </c>
      <c r="B169" t="s">
        <v>210</v>
      </c>
      <c r="C169" s="11">
        <v>130</v>
      </c>
      <c r="D169" s="11"/>
      <c r="F169" s="110" t="s">
        <v>108</v>
      </c>
      <c r="J169" s="4" t="s">
        <v>55</v>
      </c>
      <c r="K169" s="14"/>
      <c r="L169" s="14">
        <v>500926</v>
      </c>
    </row>
    <row r="170" spans="1:12" x14ac:dyDescent="0.3">
      <c r="A170" s="114">
        <v>46056</v>
      </c>
      <c r="B170" t="s">
        <v>210</v>
      </c>
      <c r="C170" s="11">
        <v>600</v>
      </c>
      <c r="D170" s="11"/>
      <c r="F170" s="110" t="s">
        <v>108</v>
      </c>
      <c r="J170" s="4" t="s">
        <v>229</v>
      </c>
      <c r="K170" s="14"/>
      <c r="L170" s="14">
        <v>142730</v>
      </c>
    </row>
    <row r="171" spans="1:12" x14ac:dyDescent="0.3">
      <c r="A171" s="114">
        <v>46056</v>
      </c>
      <c r="B171" t="s">
        <v>248</v>
      </c>
      <c r="C171" s="11">
        <v>20000</v>
      </c>
      <c r="D171" s="11"/>
      <c r="E171" t="s">
        <v>249</v>
      </c>
      <c r="F171" s="110" t="s">
        <v>108</v>
      </c>
      <c r="J171" s="4" t="s">
        <v>52</v>
      </c>
      <c r="K171" s="14"/>
      <c r="L171" s="14">
        <v>1499570</v>
      </c>
    </row>
    <row r="172" spans="1:12" x14ac:dyDescent="0.3">
      <c r="A172" s="114">
        <v>46056</v>
      </c>
      <c r="B172" t="s">
        <v>54</v>
      </c>
      <c r="C172" s="11">
        <v>3500</v>
      </c>
      <c r="D172" s="11"/>
      <c r="E172" t="s">
        <v>227</v>
      </c>
      <c r="F172" s="110" t="s">
        <v>108</v>
      </c>
      <c r="J172" s="4" t="s">
        <v>54</v>
      </c>
      <c r="K172" s="14"/>
      <c r="L172" s="14">
        <v>159730</v>
      </c>
    </row>
    <row r="173" spans="1:12" x14ac:dyDescent="0.3">
      <c r="A173" s="114">
        <v>46056</v>
      </c>
      <c r="B173" t="s">
        <v>335</v>
      </c>
      <c r="C173" s="11"/>
      <c r="D173" s="11">
        <v>250000</v>
      </c>
      <c r="F173" s="110" t="s">
        <v>108</v>
      </c>
      <c r="J173" s="4" t="s">
        <v>116</v>
      </c>
      <c r="K173" s="14"/>
      <c r="L173" s="14">
        <v>50000</v>
      </c>
    </row>
    <row r="174" spans="1:12" x14ac:dyDescent="0.3">
      <c r="A174" s="114">
        <v>46056</v>
      </c>
      <c r="B174" t="s">
        <v>258</v>
      </c>
      <c r="C174" s="11">
        <v>150224</v>
      </c>
      <c r="D174" s="11"/>
      <c r="E174" t="s">
        <v>353</v>
      </c>
      <c r="F174" s="110" t="s">
        <v>108</v>
      </c>
      <c r="J174" s="4" t="s">
        <v>222</v>
      </c>
      <c r="K174" s="14"/>
      <c r="L174" s="14">
        <v>783072</v>
      </c>
    </row>
    <row r="175" spans="1:12" x14ac:dyDescent="0.3">
      <c r="A175" s="114">
        <v>46056</v>
      </c>
      <c r="B175" t="s">
        <v>169</v>
      </c>
      <c r="C175" s="11">
        <v>100500</v>
      </c>
      <c r="D175" s="11"/>
      <c r="E175" t="s">
        <v>354</v>
      </c>
      <c r="F175" s="110" t="s">
        <v>108</v>
      </c>
      <c r="J175" s="4" t="s">
        <v>337</v>
      </c>
      <c r="K175" s="14"/>
      <c r="L175" s="14">
        <v>1000</v>
      </c>
    </row>
    <row r="176" spans="1:12" x14ac:dyDescent="0.3">
      <c r="A176" s="114">
        <v>46056</v>
      </c>
      <c r="B176" t="s">
        <v>50</v>
      </c>
      <c r="C176" s="11">
        <v>2500</v>
      </c>
      <c r="D176" s="11"/>
      <c r="E176" t="s">
        <v>355</v>
      </c>
      <c r="F176" s="110" t="s">
        <v>108</v>
      </c>
      <c r="J176" s="4" t="s">
        <v>210</v>
      </c>
      <c r="K176" s="14">
        <v>889003.20398683252</v>
      </c>
      <c r="L176" s="14">
        <v>226140</v>
      </c>
    </row>
    <row r="177" spans="1:12" x14ac:dyDescent="0.3">
      <c r="A177" s="114">
        <v>46055</v>
      </c>
      <c r="B177" t="s">
        <v>50</v>
      </c>
      <c r="C177" s="11">
        <v>8616</v>
      </c>
      <c r="D177" s="11"/>
      <c r="E177" t="s">
        <v>357</v>
      </c>
      <c r="F177" s="110" t="s">
        <v>108</v>
      </c>
      <c r="J177" s="4" t="s">
        <v>287</v>
      </c>
      <c r="K177" s="14">
        <v>1201454</v>
      </c>
      <c r="L177" s="14"/>
    </row>
    <row r="178" spans="1:12" x14ac:dyDescent="0.3">
      <c r="A178" s="38">
        <v>46055</v>
      </c>
      <c r="B178" t="s">
        <v>175</v>
      </c>
      <c r="C178" s="95"/>
      <c r="D178" s="95">
        <v>8616</v>
      </c>
      <c r="E178" t="s">
        <v>358</v>
      </c>
      <c r="F178" s="110" t="s">
        <v>108</v>
      </c>
      <c r="J178" s="4" t="s">
        <v>103</v>
      </c>
      <c r="K178" s="14"/>
      <c r="L178" s="14"/>
    </row>
    <row r="179" spans="1:12" x14ac:dyDescent="0.3">
      <c r="A179" s="114">
        <v>46057</v>
      </c>
      <c r="B179" t="s">
        <v>50</v>
      </c>
      <c r="C179" s="11">
        <v>15000</v>
      </c>
      <c r="D179" s="11"/>
      <c r="E179" t="s">
        <v>352</v>
      </c>
      <c r="F179" s="110" t="s">
        <v>108</v>
      </c>
      <c r="J179" s="4" t="s">
        <v>298</v>
      </c>
      <c r="K179" s="14">
        <v>1612000</v>
      </c>
      <c r="L179" s="14"/>
    </row>
    <row r="180" spans="1:12" x14ac:dyDescent="0.3">
      <c r="A180" s="114">
        <v>46057</v>
      </c>
      <c r="B180" t="s">
        <v>52</v>
      </c>
      <c r="C180" s="11"/>
      <c r="D180" s="11"/>
      <c r="E180" t="s">
        <v>359</v>
      </c>
      <c r="F180" s="110" t="s">
        <v>108</v>
      </c>
      <c r="J180" s="4" t="s">
        <v>453</v>
      </c>
      <c r="K180" s="14">
        <v>1626500</v>
      </c>
      <c r="L180" s="14"/>
    </row>
    <row r="181" spans="1:12" x14ac:dyDescent="0.3">
      <c r="A181" s="114">
        <v>46057</v>
      </c>
      <c r="B181" t="s">
        <v>287</v>
      </c>
      <c r="C181" s="11"/>
      <c r="D181" s="11">
        <v>100000</v>
      </c>
      <c r="E181" t="s">
        <v>360</v>
      </c>
      <c r="F181" s="110" t="s">
        <v>108</v>
      </c>
      <c r="J181" s="4" t="s">
        <v>239</v>
      </c>
      <c r="K181" s="14">
        <v>518000</v>
      </c>
      <c r="L181" s="14"/>
    </row>
    <row r="182" spans="1:12" x14ac:dyDescent="0.3">
      <c r="A182" s="114">
        <v>46057</v>
      </c>
      <c r="B182" t="s">
        <v>55</v>
      </c>
      <c r="C182" s="11">
        <v>1000</v>
      </c>
      <c r="D182" s="11"/>
      <c r="F182" s="110" t="s">
        <v>108</v>
      </c>
      <c r="J182" s="4" t="s">
        <v>149</v>
      </c>
      <c r="K182" s="14"/>
      <c r="L182" s="14">
        <v>20380</v>
      </c>
    </row>
    <row r="183" spans="1:12" x14ac:dyDescent="0.3">
      <c r="A183" s="114">
        <v>46057</v>
      </c>
      <c r="B183" t="s">
        <v>50</v>
      </c>
      <c r="C183" s="11">
        <v>2600</v>
      </c>
      <c r="D183" s="11"/>
      <c r="E183" t="s">
        <v>361</v>
      </c>
      <c r="F183" s="110" t="s">
        <v>108</v>
      </c>
      <c r="J183" s="4" t="s">
        <v>64</v>
      </c>
      <c r="K183" s="14"/>
      <c r="L183" s="14">
        <v>155000</v>
      </c>
    </row>
    <row r="184" spans="1:12" x14ac:dyDescent="0.3">
      <c r="A184" s="114">
        <v>46057</v>
      </c>
      <c r="B184" t="s">
        <v>52</v>
      </c>
      <c r="C184" s="95"/>
      <c r="D184" s="95"/>
      <c r="E184" t="s">
        <v>362</v>
      </c>
      <c r="F184" s="110" t="s">
        <v>108</v>
      </c>
      <c r="J184" s="4" t="s">
        <v>152</v>
      </c>
      <c r="K184" s="14">
        <v>2313000</v>
      </c>
      <c r="L184" s="14"/>
    </row>
    <row r="185" spans="1:12" x14ac:dyDescent="0.3">
      <c r="A185" s="114">
        <v>46057</v>
      </c>
      <c r="B185" t="s">
        <v>169</v>
      </c>
      <c r="C185" s="11">
        <v>150000</v>
      </c>
      <c r="D185" s="11"/>
      <c r="E185" t="s">
        <v>377</v>
      </c>
      <c r="F185" s="110" t="s">
        <v>108</v>
      </c>
      <c r="J185" s="4" t="s">
        <v>169</v>
      </c>
      <c r="K185" s="14"/>
      <c r="L185" s="14">
        <v>1942354</v>
      </c>
    </row>
    <row r="186" spans="1:12" x14ac:dyDescent="0.3">
      <c r="A186" s="114">
        <v>46057</v>
      </c>
      <c r="B186" t="s">
        <v>220</v>
      </c>
      <c r="C186" s="11"/>
      <c r="D186" s="11">
        <v>125222</v>
      </c>
      <c r="E186" t="s">
        <v>363</v>
      </c>
      <c r="F186" s="110" t="s">
        <v>108</v>
      </c>
      <c r="J186" s="4" t="s">
        <v>172</v>
      </c>
      <c r="K186" s="14"/>
      <c r="L186" s="14">
        <v>197520</v>
      </c>
    </row>
    <row r="187" spans="1:12" x14ac:dyDescent="0.3">
      <c r="A187" s="114">
        <v>46057</v>
      </c>
      <c r="B187" t="s">
        <v>225</v>
      </c>
      <c r="C187" s="11">
        <v>2000</v>
      </c>
      <c r="D187" s="11"/>
      <c r="E187" t="s">
        <v>364</v>
      </c>
      <c r="F187" s="110" t="s">
        <v>108</v>
      </c>
      <c r="J187" s="4" t="s">
        <v>220</v>
      </c>
      <c r="K187" s="14">
        <v>5641518</v>
      </c>
      <c r="L187" s="14">
        <v>11033826</v>
      </c>
    </row>
    <row r="188" spans="1:12" x14ac:dyDescent="0.3">
      <c r="A188" s="114">
        <v>46057</v>
      </c>
      <c r="B188" t="s">
        <v>50</v>
      </c>
      <c r="C188" s="11">
        <v>1500</v>
      </c>
      <c r="D188" s="11"/>
      <c r="E188" t="s">
        <v>241</v>
      </c>
      <c r="F188" s="110" t="s">
        <v>108</v>
      </c>
      <c r="J188" s="4" t="s">
        <v>165</v>
      </c>
      <c r="K188" s="14"/>
      <c r="L188" s="14">
        <v>122500</v>
      </c>
    </row>
    <row r="189" spans="1:12" x14ac:dyDescent="0.3">
      <c r="A189" s="114">
        <v>46057</v>
      </c>
      <c r="B189" t="s">
        <v>54</v>
      </c>
      <c r="C189" s="11">
        <v>2650</v>
      </c>
      <c r="D189" s="11"/>
      <c r="E189" t="s">
        <v>365</v>
      </c>
      <c r="F189" s="110" t="s">
        <v>108</v>
      </c>
      <c r="J189" s="4" t="s">
        <v>175</v>
      </c>
      <c r="K189" s="14">
        <v>1812616</v>
      </c>
      <c r="L189" s="14"/>
    </row>
    <row r="190" spans="1:12" x14ac:dyDescent="0.3">
      <c r="A190" s="38">
        <v>46057</v>
      </c>
      <c r="B190" t="s">
        <v>54</v>
      </c>
      <c r="C190" s="95">
        <v>2200</v>
      </c>
      <c r="D190" s="95"/>
      <c r="E190" t="s">
        <v>366</v>
      </c>
      <c r="F190" s="110" t="s">
        <v>108</v>
      </c>
      <c r="J190" s="4" t="s">
        <v>193</v>
      </c>
      <c r="K190" s="14"/>
      <c r="L190" s="14">
        <v>408100</v>
      </c>
    </row>
    <row r="191" spans="1:12" x14ac:dyDescent="0.3">
      <c r="A191" s="114">
        <v>46057</v>
      </c>
      <c r="B191" t="s">
        <v>210</v>
      </c>
      <c r="C191" s="95">
        <v>1360</v>
      </c>
      <c r="D191" s="95"/>
      <c r="F191" s="110" t="s">
        <v>108</v>
      </c>
      <c r="J191" s="4" t="s">
        <v>385</v>
      </c>
      <c r="K191" s="14">
        <v>1508520</v>
      </c>
      <c r="L191" s="14"/>
    </row>
    <row r="192" spans="1:12" x14ac:dyDescent="0.3">
      <c r="A192" s="38">
        <v>46058</v>
      </c>
      <c r="B192" t="s">
        <v>55</v>
      </c>
      <c r="C192" s="11">
        <v>1400</v>
      </c>
      <c r="D192" s="11"/>
      <c r="E192" t="s">
        <v>367</v>
      </c>
      <c r="F192" s="110" t="s">
        <v>108</v>
      </c>
      <c r="J192" s="4" t="s">
        <v>182</v>
      </c>
      <c r="K192" s="14"/>
      <c r="L192" s="14">
        <v>35000</v>
      </c>
    </row>
    <row r="193" spans="1:12" x14ac:dyDescent="0.3">
      <c r="A193" s="114">
        <v>46058</v>
      </c>
      <c r="B193" t="s">
        <v>233</v>
      </c>
      <c r="C193" s="11"/>
      <c r="D193" s="11">
        <v>140000</v>
      </c>
      <c r="E193" t="s">
        <v>368</v>
      </c>
      <c r="F193" s="110" t="s">
        <v>108</v>
      </c>
      <c r="J193" s="4" t="s">
        <v>51</v>
      </c>
      <c r="K193" s="14"/>
      <c r="L193" s="14">
        <v>2222081</v>
      </c>
    </row>
    <row r="194" spans="1:12" x14ac:dyDescent="0.3">
      <c r="A194" s="38">
        <v>46058</v>
      </c>
      <c r="B194" t="s">
        <v>52</v>
      </c>
      <c r="C194" s="11">
        <v>20000</v>
      </c>
      <c r="D194" s="11"/>
      <c r="E194" t="s">
        <v>237</v>
      </c>
      <c r="F194" s="110" t="s">
        <v>108</v>
      </c>
      <c r="J194" s="4" t="s">
        <v>189</v>
      </c>
      <c r="K194" s="14"/>
      <c r="L194" s="14">
        <v>351000</v>
      </c>
    </row>
    <row r="195" spans="1:12" x14ac:dyDescent="0.3">
      <c r="A195" s="114">
        <v>46058</v>
      </c>
      <c r="B195" t="s">
        <v>54</v>
      </c>
      <c r="C195" s="11">
        <v>7000</v>
      </c>
      <c r="D195" s="11"/>
      <c r="E195" t="s">
        <v>369</v>
      </c>
      <c r="F195" s="110" t="s">
        <v>108</v>
      </c>
      <c r="J195" s="4" t="s">
        <v>248</v>
      </c>
      <c r="K195" s="14"/>
      <c r="L195" s="14">
        <v>101000</v>
      </c>
    </row>
    <row r="196" spans="1:12" x14ac:dyDescent="0.3">
      <c r="A196" s="38">
        <v>46058</v>
      </c>
      <c r="B196" t="s">
        <v>55</v>
      </c>
      <c r="C196" s="11">
        <v>3300</v>
      </c>
      <c r="D196" s="11"/>
      <c r="E196" t="s">
        <v>370</v>
      </c>
      <c r="F196" s="110" t="s">
        <v>108</v>
      </c>
      <c r="J196" s="4" t="s">
        <v>190</v>
      </c>
      <c r="K196" s="14">
        <v>625000</v>
      </c>
      <c r="L196" s="14"/>
    </row>
    <row r="197" spans="1:12" x14ac:dyDescent="0.3">
      <c r="A197" s="114">
        <v>46058</v>
      </c>
      <c r="B197" t="s">
        <v>55</v>
      </c>
      <c r="C197" s="11">
        <v>4675</v>
      </c>
      <c r="D197" s="11"/>
      <c r="E197" t="s">
        <v>371</v>
      </c>
      <c r="F197" s="110" t="s">
        <v>108</v>
      </c>
      <c r="J197" s="4" t="s">
        <v>254</v>
      </c>
      <c r="K197" s="14">
        <v>863242</v>
      </c>
      <c r="L197" s="14"/>
    </row>
    <row r="198" spans="1:12" x14ac:dyDescent="0.3">
      <c r="A198" s="38">
        <v>46058</v>
      </c>
      <c r="B198" t="s">
        <v>190</v>
      </c>
      <c r="C198" s="11"/>
      <c r="D198" s="11">
        <v>100000</v>
      </c>
      <c r="E198" t="s">
        <v>372</v>
      </c>
      <c r="F198" s="110" t="s">
        <v>108</v>
      </c>
      <c r="J198" s="4" t="s">
        <v>258</v>
      </c>
      <c r="K198" s="14"/>
      <c r="L198" s="14">
        <v>2765198</v>
      </c>
    </row>
    <row r="199" spans="1:12" x14ac:dyDescent="0.3">
      <c r="A199" s="114">
        <v>46058</v>
      </c>
      <c r="B199" t="s">
        <v>254</v>
      </c>
      <c r="C199" s="11"/>
      <c r="D199" s="11">
        <v>100000</v>
      </c>
      <c r="F199" s="110" t="s">
        <v>108</v>
      </c>
      <c r="J199" s="4" t="s">
        <v>196</v>
      </c>
      <c r="K199" s="14"/>
      <c r="L199" s="14">
        <v>121360</v>
      </c>
    </row>
    <row r="200" spans="1:12" x14ac:dyDescent="0.3">
      <c r="A200" s="38">
        <v>46058</v>
      </c>
      <c r="B200" t="s">
        <v>220</v>
      </c>
      <c r="C200" s="11"/>
      <c r="D200" s="11">
        <v>40000</v>
      </c>
      <c r="E200" t="s">
        <v>248</v>
      </c>
      <c r="F200" s="110" t="s">
        <v>108</v>
      </c>
      <c r="J200" s="4" t="s">
        <v>209</v>
      </c>
      <c r="K200" s="14">
        <v>2965362</v>
      </c>
      <c r="L200" s="14"/>
    </row>
    <row r="201" spans="1:12" x14ac:dyDescent="0.3">
      <c r="A201" s="114">
        <v>46058</v>
      </c>
      <c r="B201" t="s">
        <v>248</v>
      </c>
      <c r="C201" s="11">
        <v>40000</v>
      </c>
      <c r="D201" s="11"/>
      <c r="E201" t="s">
        <v>373</v>
      </c>
      <c r="F201" s="110" t="s">
        <v>108</v>
      </c>
      <c r="J201" s="4" t="s">
        <v>211</v>
      </c>
      <c r="K201" s="14"/>
      <c r="L201" s="14">
        <v>10000</v>
      </c>
    </row>
    <row r="202" spans="1:12" x14ac:dyDescent="0.3">
      <c r="A202" s="38">
        <v>46058</v>
      </c>
      <c r="B202" t="s">
        <v>225</v>
      </c>
      <c r="C202" s="11">
        <v>3000</v>
      </c>
      <c r="D202" s="11"/>
      <c r="E202" t="s">
        <v>374</v>
      </c>
      <c r="F202" s="110" t="s">
        <v>108</v>
      </c>
      <c r="J202" s="4" t="s">
        <v>233</v>
      </c>
      <c r="K202" s="14">
        <v>1150000</v>
      </c>
      <c r="L202" s="14"/>
    </row>
    <row r="203" spans="1:12" x14ac:dyDescent="0.3">
      <c r="A203" s="114">
        <v>46058</v>
      </c>
      <c r="B203" t="s">
        <v>225</v>
      </c>
      <c r="C203" s="11">
        <v>15000</v>
      </c>
      <c r="D203" s="11"/>
      <c r="E203" t="s">
        <v>301</v>
      </c>
      <c r="F203" s="110" t="s">
        <v>108</v>
      </c>
      <c r="J203" s="4" t="s">
        <v>260</v>
      </c>
      <c r="K203" s="14"/>
      <c r="L203" s="14">
        <v>1377516</v>
      </c>
    </row>
    <row r="204" spans="1:12" x14ac:dyDescent="0.3">
      <c r="A204" s="38">
        <v>46058</v>
      </c>
      <c r="B204" t="s">
        <v>258</v>
      </c>
      <c r="C204" s="11">
        <v>200119</v>
      </c>
      <c r="D204" s="11"/>
      <c r="E204" t="s">
        <v>375</v>
      </c>
      <c r="F204" s="110" t="s">
        <v>108</v>
      </c>
      <c r="J204" s="4" t="s">
        <v>217</v>
      </c>
      <c r="K204" s="14">
        <v>728245</v>
      </c>
      <c r="L204" s="14"/>
    </row>
    <row r="205" spans="1:12" x14ac:dyDescent="0.3">
      <c r="A205" s="114">
        <v>46058</v>
      </c>
      <c r="B205" t="s">
        <v>222</v>
      </c>
      <c r="C205" s="11">
        <v>3310</v>
      </c>
      <c r="D205" s="11"/>
      <c r="E205" t="s">
        <v>376</v>
      </c>
      <c r="F205" s="110" t="s">
        <v>108</v>
      </c>
      <c r="J205" s="4" t="s">
        <v>333</v>
      </c>
      <c r="K205" s="14">
        <v>550000</v>
      </c>
      <c r="L205" s="14"/>
    </row>
    <row r="206" spans="1:12" x14ac:dyDescent="0.3">
      <c r="A206" s="38">
        <v>46058</v>
      </c>
      <c r="B206" t="s">
        <v>54</v>
      </c>
      <c r="C206" s="11">
        <v>1400</v>
      </c>
      <c r="D206" s="11"/>
      <c r="E206" t="s">
        <v>365</v>
      </c>
      <c r="F206" s="110" t="s">
        <v>108</v>
      </c>
      <c r="J206" s="4" t="s">
        <v>335</v>
      </c>
      <c r="K206" s="14">
        <v>1500000</v>
      </c>
      <c r="L206" s="14"/>
    </row>
    <row r="207" spans="1:12" x14ac:dyDescent="0.3">
      <c r="A207" s="38">
        <v>46059</v>
      </c>
      <c r="B207" t="s">
        <v>210</v>
      </c>
      <c r="C207" s="11">
        <v>1850</v>
      </c>
      <c r="D207" s="11"/>
      <c r="E207" t="s">
        <v>400</v>
      </c>
      <c r="F207" s="110" t="s">
        <v>108</v>
      </c>
      <c r="J207" s="4" t="s">
        <v>405</v>
      </c>
      <c r="K207" s="14">
        <v>-30000</v>
      </c>
      <c r="L207" s="14">
        <v>136637.20398683249</v>
      </c>
    </row>
    <row r="208" spans="1:12" x14ac:dyDescent="0.3">
      <c r="A208" s="114">
        <v>46059</v>
      </c>
      <c r="B208" t="s">
        <v>52</v>
      </c>
      <c r="C208" s="11">
        <v>20000</v>
      </c>
      <c r="D208" s="11"/>
      <c r="E208" t="s">
        <v>237</v>
      </c>
      <c r="F208" s="110" t="s">
        <v>108</v>
      </c>
      <c r="J208" s="4" t="s">
        <v>432</v>
      </c>
      <c r="K208" s="14"/>
      <c r="L208" s="14">
        <v>122500</v>
      </c>
    </row>
    <row r="209" spans="1:12" x14ac:dyDescent="0.3">
      <c r="A209" s="38">
        <v>46059</v>
      </c>
      <c r="B209" t="s">
        <v>54</v>
      </c>
      <c r="C209" s="11">
        <v>5000</v>
      </c>
      <c r="D209" s="11"/>
      <c r="E209" t="s">
        <v>394</v>
      </c>
      <c r="F209" s="110" t="s">
        <v>108</v>
      </c>
      <c r="J209" s="4" t="s">
        <v>438</v>
      </c>
      <c r="K209" s="14">
        <v>636000</v>
      </c>
      <c r="L209" s="14"/>
    </row>
    <row r="210" spans="1:12" x14ac:dyDescent="0.3">
      <c r="A210" s="114">
        <v>46059</v>
      </c>
      <c r="B210" t="s">
        <v>55</v>
      </c>
      <c r="C210" s="11">
        <v>1500</v>
      </c>
      <c r="D210" s="11"/>
      <c r="E210" t="s">
        <v>395</v>
      </c>
      <c r="F210" s="110" t="s">
        <v>108</v>
      </c>
      <c r="J210" s="4" t="s">
        <v>449</v>
      </c>
      <c r="K210" s="14"/>
      <c r="L210" s="14">
        <v>57500</v>
      </c>
    </row>
    <row r="211" spans="1:12" x14ac:dyDescent="0.3">
      <c r="A211" s="38">
        <v>46059</v>
      </c>
      <c r="B211" t="s">
        <v>260</v>
      </c>
      <c r="C211" s="11">
        <v>100000</v>
      </c>
      <c r="D211" s="11"/>
      <c r="E211" t="s">
        <v>396</v>
      </c>
      <c r="F211" s="110" t="s">
        <v>108</v>
      </c>
      <c r="J211" s="4" t="s">
        <v>513</v>
      </c>
      <c r="K211" s="14">
        <v>15855</v>
      </c>
      <c r="L211" s="14"/>
    </row>
    <row r="212" spans="1:12" x14ac:dyDescent="0.3">
      <c r="A212" s="114">
        <v>46059</v>
      </c>
      <c r="B212" t="s">
        <v>225</v>
      </c>
      <c r="C212" s="11">
        <v>20000</v>
      </c>
      <c r="D212" s="11"/>
      <c r="E212" t="s">
        <v>397</v>
      </c>
      <c r="F212" s="110" t="s">
        <v>108</v>
      </c>
      <c r="J212" s="4" t="s">
        <v>527</v>
      </c>
      <c r="K212" s="14"/>
      <c r="L212" s="14">
        <v>101300</v>
      </c>
    </row>
    <row r="213" spans="1:12" x14ac:dyDescent="0.3">
      <c r="A213" s="38">
        <v>46059</v>
      </c>
      <c r="B213" t="s">
        <v>169</v>
      </c>
      <c r="C213" s="11">
        <v>150500</v>
      </c>
      <c r="D213" s="11"/>
      <c r="E213" t="s">
        <v>398</v>
      </c>
      <c r="F213" s="110" t="s">
        <v>108</v>
      </c>
      <c r="J213" s="4" t="s">
        <v>580</v>
      </c>
      <c r="K213" s="14"/>
      <c r="L213" s="14">
        <v>172500</v>
      </c>
    </row>
    <row r="214" spans="1:12" x14ac:dyDescent="0.3">
      <c r="A214" s="114">
        <v>46059</v>
      </c>
      <c r="B214" t="s">
        <v>225</v>
      </c>
      <c r="C214" s="11">
        <v>5000</v>
      </c>
      <c r="D214" s="11"/>
      <c r="E214" t="s">
        <v>399</v>
      </c>
      <c r="F214" s="110" t="s">
        <v>108</v>
      </c>
      <c r="J214" s="4" t="s">
        <v>582</v>
      </c>
      <c r="K214" s="14"/>
      <c r="L214" s="14">
        <v>64290</v>
      </c>
    </row>
    <row r="215" spans="1:12" x14ac:dyDescent="0.3">
      <c r="A215" s="38">
        <v>46059</v>
      </c>
      <c r="B215" t="s">
        <v>220</v>
      </c>
      <c r="C215" s="11"/>
      <c r="D215" s="11">
        <v>65000</v>
      </c>
      <c r="E215" t="s">
        <v>401</v>
      </c>
      <c r="F215" s="110" t="s">
        <v>108</v>
      </c>
      <c r="J215" s="4" t="s">
        <v>383</v>
      </c>
      <c r="K215" s="14">
        <v>39278</v>
      </c>
      <c r="L215" s="14"/>
    </row>
    <row r="216" spans="1:12" x14ac:dyDescent="0.3">
      <c r="A216" s="114">
        <v>46059</v>
      </c>
      <c r="B216" t="s">
        <v>220</v>
      </c>
      <c r="C216" s="11"/>
      <c r="D216" s="11">
        <v>150000</v>
      </c>
      <c r="E216" t="s">
        <v>402</v>
      </c>
      <c r="F216" s="110" t="s">
        <v>108</v>
      </c>
      <c r="J216" s="4" t="s">
        <v>28</v>
      </c>
      <c r="K216" s="14">
        <v>27022593.203986831</v>
      </c>
      <c r="L216" s="14">
        <v>26986808.203986831</v>
      </c>
    </row>
    <row r="217" spans="1:12" x14ac:dyDescent="0.3">
      <c r="A217" s="38">
        <v>46059</v>
      </c>
      <c r="B217" t="s">
        <v>287</v>
      </c>
      <c r="C217" s="11"/>
      <c r="D217" s="11">
        <v>100000</v>
      </c>
      <c r="E217" t="s">
        <v>403</v>
      </c>
      <c r="F217" s="110" t="s">
        <v>108</v>
      </c>
    </row>
    <row r="218" spans="1:12" x14ac:dyDescent="0.3">
      <c r="A218" s="114">
        <v>46060</v>
      </c>
      <c r="B218" t="s">
        <v>210</v>
      </c>
      <c r="C218" s="11">
        <v>100000</v>
      </c>
      <c r="D218" s="11"/>
      <c r="E218" t="s">
        <v>407</v>
      </c>
      <c r="F218" s="110" t="s">
        <v>108</v>
      </c>
    </row>
    <row r="219" spans="1:12" x14ac:dyDescent="0.3">
      <c r="A219" s="38">
        <v>46060</v>
      </c>
      <c r="B219" t="s">
        <v>225</v>
      </c>
      <c r="C219" s="11">
        <v>2923</v>
      </c>
      <c r="D219" s="11"/>
      <c r="E219" t="s">
        <v>408</v>
      </c>
      <c r="F219" s="110" t="s">
        <v>108</v>
      </c>
    </row>
    <row r="220" spans="1:12" x14ac:dyDescent="0.3">
      <c r="A220" s="114">
        <v>46060</v>
      </c>
      <c r="B220" t="s">
        <v>220</v>
      </c>
      <c r="C220" s="11"/>
      <c r="D220" s="11">
        <v>75000</v>
      </c>
      <c r="E220" t="s">
        <v>409</v>
      </c>
      <c r="F220" s="110" t="s">
        <v>108</v>
      </c>
    </row>
    <row r="221" spans="1:12" x14ac:dyDescent="0.3">
      <c r="A221" s="38">
        <v>46060</v>
      </c>
      <c r="B221" t="s">
        <v>220</v>
      </c>
      <c r="C221" s="11"/>
      <c r="D221" s="11">
        <v>15000</v>
      </c>
      <c r="E221" t="s">
        <v>410</v>
      </c>
      <c r="F221" s="110" t="s">
        <v>108</v>
      </c>
    </row>
    <row r="222" spans="1:12" x14ac:dyDescent="0.3">
      <c r="A222" s="114">
        <v>46060</v>
      </c>
      <c r="B222" t="s">
        <v>193</v>
      </c>
      <c r="C222" s="11">
        <v>15000</v>
      </c>
      <c r="D222" s="11"/>
      <c r="E222" t="s">
        <v>410</v>
      </c>
      <c r="F222" s="110" t="s">
        <v>108</v>
      </c>
    </row>
    <row r="223" spans="1:12" x14ac:dyDescent="0.3">
      <c r="A223" s="38">
        <v>46060</v>
      </c>
      <c r="B223" t="s">
        <v>220</v>
      </c>
      <c r="C223" s="11"/>
      <c r="D223" s="11">
        <v>349000</v>
      </c>
      <c r="E223" t="s">
        <v>411</v>
      </c>
      <c r="F223" s="110" t="s">
        <v>108</v>
      </c>
    </row>
    <row r="224" spans="1:12" x14ac:dyDescent="0.3">
      <c r="A224" s="114">
        <v>46060</v>
      </c>
      <c r="B224" t="s">
        <v>260</v>
      </c>
      <c r="C224" s="11">
        <v>100060</v>
      </c>
      <c r="D224" s="11"/>
      <c r="E224" t="s">
        <v>412</v>
      </c>
      <c r="F224" s="110" t="s">
        <v>108</v>
      </c>
    </row>
    <row r="225" spans="1:6" x14ac:dyDescent="0.3">
      <c r="A225" s="38">
        <v>46060</v>
      </c>
      <c r="B225" t="s">
        <v>258</v>
      </c>
      <c r="C225" s="11">
        <v>100000</v>
      </c>
      <c r="D225" s="11"/>
      <c r="E225" t="s">
        <v>413</v>
      </c>
      <c r="F225" s="110" t="s">
        <v>108</v>
      </c>
    </row>
    <row r="226" spans="1:6" x14ac:dyDescent="0.3">
      <c r="A226" s="114">
        <v>46060</v>
      </c>
      <c r="B226" t="s">
        <v>169</v>
      </c>
      <c r="C226" s="11">
        <v>64000</v>
      </c>
      <c r="D226" s="11"/>
      <c r="E226" t="s">
        <v>414</v>
      </c>
      <c r="F226" s="110" t="s">
        <v>108</v>
      </c>
    </row>
    <row r="227" spans="1:6" x14ac:dyDescent="0.3">
      <c r="A227" s="38">
        <v>46060</v>
      </c>
      <c r="B227" t="s">
        <v>169</v>
      </c>
      <c r="C227" s="11">
        <v>100808</v>
      </c>
      <c r="D227" s="11"/>
      <c r="E227" t="s">
        <v>415</v>
      </c>
      <c r="F227" s="110" t="s">
        <v>108</v>
      </c>
    </row>
    <row r="228" spans="1:6" x14ac:dyDescent="0.3">
      <c r="A228" s="114">
        <v>46060</v>
      </c>
      <c r="B228" t="s">
        <v>165</v>
      </c>
      <c r="C228" s="11">
        <v>60000</v>
      </c>
      <c r="D228" s="11"/>
      <c r="E228" t="s">
        <v>416</v>
      </c>
      <c r="F228" s="110" t="s">
        <v>108</v>
      </c>
    </row>
    <row r="229" spans="1:6" x14ac:dyDescent="0.3">
      <c r="A229" s="38">
        <v>46060</v>
      </c>
      <c r="B229" t="s">
        <v>210</v>
      </c>
      <c r="C229" s="11">
        <f>2530+110+2000+1100+500</f>
        <v>6240</v>
      </c>
      <c r="D229" s="11"/>
      <c r="F229" s="110" t="s">
        <v>108</v>
      </c>
    </row>
    <row r="230" spans="1:6" x14ac:dyDescent="0.3">
      <c r="A230" s="114">
        <v>46060</v>
      </c>
      <c r="B230" t="s">
        <v>225</v>
      </c>
      <c r="C230" s="11">
        <v>5000</v>
      </c>
      <c r="D230" s="11"/>
      <c r="E230" t="s">
        <v>417</v>
      </c>
      <c r="F230" s="110" t="s">
        <v>108</v>
      </c>
    </row>
    <row r="231" spans="1:6" x14ac:dyDescent="0.3">
      <c r="A231" s="38">
        <v>46060</v>
      </c>
      <c r="B231" t="s">
        <v>225</v>
      </c>
      <c r="C231" s="11">
        <v>2000</v>
      </c>
      <c r="D231" s="11"/>
      <c r="E231" t="s">
        <v>418</v>
      </c>
      <c r="F231" s="110" t="s">
        <v>108</v>
      </c>
    </row>
    <row r="232" spans="1:6" x14ac:dyDescent="0.3">
      <c r="A232" s="114">
        <v>46061</v>
      </c>
      <c r="B232" t="s">
        <v>50</v>
      </c>
      <c r="C232" s="11">
        <v>2500</v>
      </c>
      <c r="D232" s="11"/>
      <c r="E232" t="s">
        <v>419</v>
      </c>
      <c r="F232" s="110" t="s">
        <v>108</v>
      </c>
    </row>
    <row r="233" spans="1:6" x14ac:dyDescent="0.3">
      <c r="A233" s="38">
        <v>46061</v>
      </c>
      <c r="B233" t="s">
        <v>225</v>
      </c>
      <c r="C233" s="11">
        <v>5000</v>
      </c>
      <c r="D233" s="11"/>
      <c r="E233" t="s">
        <v>243</v>
      </c>
      <c r="F233" s="110" t="s">
        <v>108</v>
      </c>
    </row>
    <row r="234" spans="1:6" x14ac:dyDescent="0.3">
      <c r="A234" s="114">
        <v>46062</v>
      </c>
      <c r="B234" t="s">
        <v>225</v>
      </c>
      <c r="C234" s="11">
        <v>20000</v>
      </c>
      <c r="D234" s="11"/>
      <c r="E234" t="s">
        <v>421</v>
      </c>
      <c r="F234" s="110" t="s">
        <v>108</v>
      </c>
    </row>
    <row r="235" spans="1:6" x14ac:dyDescent="0.3">
      <c r="A235" s="38">
        <v>46062</v>
      </c>
      <c r="B235" t="s">
        <v>50</v>
      </c>
      <c r="C235" s="11">
        <v>5000</v>
      </c>
      <c r="D235" s="11"/>
      <c r="E235" t="s">
        <v>352</v>
      </c>
      <c r="F235" s="110" t="s">
        <v>108</v>
      </c>
    </row>
    <row r="236" spans="1:6" x14ac:dyDescent="0.3">
      <c r="A236" s="114">
        <v>46062</v>
      </c>
      <c r="B236" t="s">
        <v>50</v>
      </c>
      <c r="C236" s="11">
        <v>780</v>
      </c>
      <c r="D236" s="11"/>
      <c r="E236" t="s">
        <v>422</v>
      </c>
      <c r="F236" s="110" t="s">
        <v>108</v>
      </c>
    </row>
    <row r="237" spans="1:6" x14ac:dyDescent="0.3">
      <c r="A237" s="38">
        <v>46062</v>
      </c>
      <c r="B237" t="s">
        <v>335</v>
      </c>
      <c r="C237" s="11"/>
      <c r="D237" s="11">
        <v>250000</v>
      </c>
      <c r="E237" t="s">
        <v>423</v>
      </c>
      <c r="F237" s="110" t="s">
        <v>108</v>
      </c>
    </row>
    <row r="238" spans="1:6" x14ac:dyDescent="0.3">
      <c r="A238" s="114">
        <v>46062</v>
      </c>
      <c r="B238" t="s">
        <v>287</v>
      </c>
      <c r="C238" s="11"/>
      <c r="D238" s="11">
        <v>50000</v>
      </c>
      <c r="E238" t="s">
        <v>109</v>
      </c>
      <c r="F238" s="110" t="s">
        <v>108</v>
      </c>
    </row>
    <row r="239" spans="1:6" x14ac:dyDescent="0.3">
      <c r="A239" s="38">
        <v>46062</v>
      </c>
      <c r="B239" t="s">
        <v>116</v>
      </c>
      <c r="C239" s="11">
        <v>50000</v>
      </c>
      <c r="D239" s="11"/>
      <c r="E239" t="s">
        <v>424</v>
      </c>
      <c r="F239" s="110" t="s">
        <v>108</v>
      </c>
    </row>
    <row r="240" spans="1:6" x14ac:dyDescent="0.3">
      <c r="A240" s="114">
        <v>46062</v>
      </c>
      <c r="B240" t="s">
        <v>225</v>
      </c>
      <c r="C240" s="11">
        <v>1000</v>
      </c>
      <c r="D240" s="11"/>
      <c r="E240" t="s">
        <v>425</v>
      </c>
      <c r="F240" s="110" t="s">
        <v>108</v>
      </c>
    </row>
    <row r="241" spans="1:6" x14ac:dyDescent="0.3">
      <c r="A241" s="38">
        <v>46062</v>
      </c>
      <c r="B241" t="s">
        <v>54</v>
      </c>
      <c r="C241" s="11">
        <v>2000</v>
      </c>
      <c r="D241" s="11"/>
      <c r="E241" t="s">
        <v>426</v>
      </c>
      <c r="F241" s="110" t="s">
        <v>108</v>
      </c>
    </row>
    <row r="242" spans="1:6" x14ac:dyDescent="0.3">
      <c r="A242" s="114">
        <v>46062</v>
      </c>
      <c r="B242" t="s">
        <v>54</v>
      </c>
      <c r="C242" s="11">
        <v>5000</v>
      </c>
      <c r="D242" s="11"/>
      <c r="E242" t="s">
        <v>406</v>
      </c>
      <c r="F242" s="110" t="s">
        <v>108</v>
      </c>
    </row>
    <row r="243" spans="1:6" x14ac:dyDescent="0.3">
      <c r="A243" s="38">
        <v>46062</v>
      </c>
      <c r="B243" t="s">
        <v>260</v>
      </c>
      <c r="C243" s="11">
        <v>19000</v>
      </c>
      <c r="D243" s="11"/>
      <c r="E243" t="s">
        <v>414</v>
      </c>
      <c r="F243" s="110" t="s">
        <v>108</v>
      </c>
    </row>
    <row r="244" spans="1:6" x14ac:dyDescent="0.3">
      <c r="A244" s="114">
        <v>46062</v>
      </c>
      <c r="B244" t="s">
        <v>220</v>
      </c>
      <c r="C244" s="11"/>
      <c r="D244" s="11">
        <v>19000</v>
      </c>
      <c r="E244" t="s">
        <v>427</v>
      </c>
      <c r="F244" s="110" t="s">
        <v>108</v>
      </c>
    </row>
    <row r="245" spans="1:6" x14ac:dyDescent="0.3">
      <c r="A245" s="38">
        <v>46062</v>
      </c>
      <c r="B245" t="s">
        <v>298</v>
      </c>
      <c r="C245" s="11"/>
      <c r="D245" s="11">
        <v>300000</v>
      </c>
      <c r="E245" t="s">
        <v>428</v>
      </c>
      <c r="F245" s="110" t="s">
        <v>108</v>
      </c>
    </row>
    <row r="246" spans="1:6" x14ac:dyDescent="0.3">
      <c r="A246" s="114">
        <v>46062</v>
      </c>
      <c r="B246" t="s">
        <v>258</v>
      </c>
      <c r="C246" s="11">
        <v>100000</v>
      </c>
      <c r="D246" s="11"/>
      <c r="E246" t="s">
        <v>429</v>
      </c>
      <c r="F246" s="110" t="s">
        <v>108</v>
      </c>
    </row>
    <row r="247" spans="1:6" x14ac:dyDescent="0.3">
      <c r="A247" s="38">
        <v>46062</v>
      </c>
      <c r="B247" t="s">
        <v>260</v>
      </c>
      <c r="C247" s="11">
        <v>100195</v>
      </c>
      <c r="D247" s="11"/>
      <c r="E247" t="s">
        <v>430</v>
      </c>
      <c r="F247" s="110" t="s">
        <v>108</v>
      </c>
    </row>
    <row r="248" spans="1:6" x14ac:dyDescent="0.3">
      <c r="A248" s="114">
        <v>46062</v>
      </c>
      <c r="B248" t="s">
        <v>258</v>
      </c>
      <c r="C248" s="11">
        <v>100153</v>
      </c>
      <c r="D248" s="11"/>
      <c r="E248" t="s">
        <v>431</v>
      </c>
      <c r="F248" s="110" t="s">
        <v>108</v>
      </c>
    </row>
    <row r="249" spans="1:6" x14ac:dyDescent="0.3">
      <c r="A249" s="38">
        <v>46062</v>
      </c>
      <c r="B249" t="s">
        <v>254</v>
      </c>
      <c r="C249" s="11"/>
      <c r="D249" s="11">
        <v>100000</v>
      </c>
      <c r="F249" s="110" t="s">
        <v>108</v>
      </c>
    </row>
    <row r="250" spans="1:6" x14ac:dyDescent="0.3">
      <c r="A250" s="114">
        <v>46062</v>
      </c>
      <c r="B250" t="s">
        <v>432</v>
      </c>
      <c r="C250" s="95">
        <v>122500</v>
      </c>
      <c r="D250" s="95"/>
      <c r="E250" t="s">
        <v>433</v>
      </c>
      <c r="F250" s="110" t="s">
        <v>108</v>
      </c>
    </row>
    <row r="251" spans="1:6" x14ac:dyDescent="0.3">
      <c r="A251" s="38">
        <v>46062</v>
      </c>
      <c r="B251" t="s">
        <v>345</v>
      </c>
      <c r="C251" s="11"/>
      <c r="D251" s="11">
        <v>62000</v>
      </c>
      <c r="E251" t="s">
        <v>434</v>
      </c>
      <c r="F251" s="110" t="s">
        <v>108</v>
      </c>
    </row>
    <row r="252" spans="1:6" x14ac:dyDescent="0.3">
      <c r="A252" s="114">
        <v>46062</v>
      </c>
      <c r="B252" t="s">
        <v>169</v>
      </c>
      <c r="C252" s="11">
        <v>150000</v>
      </c>
      <c r="D252" s="11"/>
      <c r="E252" t="s">
        <v>435</v>
      </c>
      <c r="F252" s="110" t="s">
        <v>108</v>
      </c>
    </row>
    <row r="253" spans="1:6" x14ac:dyDescent="0.3">
      <c r="A253" s="38">
        <v>46062</v>
      </c>
      <c r="B253" t="s">
        <v>190</v>
      </c>
      <c r="C253" s="11"/>
      <c r="D253" s="11">
        <v>125000</v>
      </c>
      <c r="E253" t="s">
        <v>436</v>
      </c>
      <c r="F253" s="110" t="s">
        <v>108</v>
      </c>
    </row>
    <row r="254" spans="1:6" x14ac:dyDescent="0.3">
      <c r="A254" s="114">
        <v>46062</v>
      </c>
      <c r="B254" t="s">
        <v>54</v>
      </c>
      <c r="C254" s="11">
        <v>2500</v>
      </c>
      <c r="D254" s="11"/>
      <c r="E254" t="s">
        <v>227</v>
      </c>
      <c r="F254" s="110" t="s">
        <v>108</v>
      </c>
    </row>
    <row r="255" spans="1:6" x14ac:dyDescent="0.3">
      <c r="A255" s="38">
        <v>46062</v>
      </c>
      <c r="B255" t="s">
        <v>210</v>
      </c>
      <c r="C255" s="11">
        <v>100000</v>
      </c>
      <c r="D255" s="11"/>
      <c r="E255" t="s">
        <v>437</v>
      </c>
      <c r="F255" s="110" t="s">
        <v>108</v>
      </c>
    </row>
    <row r="256" spans="1:6" x14ac:dyDescent="0.3">
      <c r="A256" s="114">
        <v>46063</v>
      </c>
      <c r="B256" t="s">
        <v>438</v>
      </c>
      <c r="C256" s="11"/>
      <c r="D256" s="11">
        <v>500000</v>
      </c>
      <c r="E256" t="s">
        <v>439</v>
      </c>
      <c r="F256" s="110" t="s">
        <v>108</v>
      </c>
    </row>
    <row r="257" spans="1:6" x14ac:dyDescent="0.3">
      <c r="A257" s="114">
        <v>46063</v>
      </c>
      <c r="B257" t="s">
        <v>220</v>
      </c>
      <c r="C257" s="11"/>
      <c r="D257" s="11">
        <v>438800</v>
      </c>
      <c r="E257" t="s">
        <v>440</v>
      </c>
      <c r="F257" s="110" t="s">
        <v>108</v>
      </c>
    </row>
    <row r="258" spans="1:6" x14ac:dyDescent="0.3">
      <c r="A258" s="114">
        <v>46063</v>
      </c>
      <c r="B258" t="s">
        <v>52</v>
      </c>
      <c r="C258" s="11">
        <v>20000</v>
      </c>
      <c r="D258" s="11"/>
      <c r="E258" t="s">
        <v>441</v>
      </c>
      <c r="F258" s="110" t="s">
        <v>108</v>
      </c>
    </row>
    <row r="259" spans="1:6" x14ac:dyDescent="0.3">
      <c r="A259" s="114">
        <v>46063</v>
      </c>
      <c r="B259" t="s">
        <v>225</v>
      </c>
      <c r="C259" s="11">
        <v>8000</v>
      </c>
      <c r="D259" s="11"/>
      <c r="E259" t="s">
        <v>441</v>
      </c>
      <c r="F259" s="110" t="s">
        <v>108</v>
      </c>
    </row>
    <row r="260" spans="1:6" x14ac:dyDescent="0.3">
      <c r="A260" s="114">
        <v>46063</v>
      </c>
      <c r="B260" t="s">
        <v>94</v>
      </c>
      <c r="C260" s="11">
        <v>200170</v>
      </c>
      <c r="D260" s="11"/>
      <c r="E260" t="s">
        <v>442</v>
      </c>
      <c r="F260" s="110" t="s">
        <v>108</v>
      </c>
    </row>
    <row r="261" spans="1:6" x14ac:dyDescent="0.3">
      <c r="A261" s="114">
        <v>46063</v>
      </c>
      <c r="B261" t="s">
        <v>169</v>
      </c>
      <c r="C261" s="11">
        <v>74000</v>
      </c>
      <c r="D261" s="11"/>
      <c r="E261" t="s">
        <v>414</v>
      </c>
      <c r="F261" s="110" t="s">
        <v>108</v>
      </c>
    </row>
    <row r="262" spans="1:6" x14ac:dyDescent="0.3">
      <c r="A262" s="114">
        <v>46063</v>
      </c>
      <c r="B262" t="s">
        <v>225</v>
      </c>
      <c r="C262" s="11">
        <v>1000</v>
      </c>
      <c r="D262" s="11"/>
      <c r="E262" t="s">
        <v>243</v>
      </c>
      <c r="F262" s="110" t="s">
        <v>108</v>
      </c>
    </row>
    <row r="263" spans="1:6" x14ac:dyDescent="0.3">
      <c r="A263" s="114">
        <v>46063</v>
      </c>
      <c r="B263" t="s">
        <v>260</v>
      </c>
      <c r="C263" s="11">
        <v>100111</v>
      </c>
      <c r="D263" s="11"/>
      <c r="E263" t="s">
        <v>443</v>
      </c>
      <c r="F263" s="110" t="s">
        <v>108</v>
      </c>
    </row>
    <row r="264" spans="1:6" x14ac:dyDescent="0.3">
      <c r="A264" s="114">
        <v>46063</v>
      </c>
      <c r="B264" t="s">
        <v>210</v>
      </c>
      <c r="C264" s="11">
        <v>1000</v>
      </c>
      <c r="D264" s="11"/>
      <c r="E264" t="s">
        <v>284</v>
      </c>
      <c r="F264" s="110" t="s">
        <v>108</v>
      </c>
    </row>
    <row r="265" spans="1:6" x14ac:dyDescent="0.3">
      <c r="A265" s="114">
        <v>46063</v>
      </c>
      <c r="B265" t="s">
        <v>169</v>
      </c>
      <c r="C265" s="11">
        <v>102500</v>
      </c>
      <c r="D265" s="11"/>
      <c r="E265" t="s">
        <v>444</v>
      </c>
      <c r="F265" s="110" t="s">
        <v>108</v>
      </c>
    </row>
    <row r="266" spans="1:6" x14ac:dyDescent="0.3">
      <c r="A266" s="114">
        <v>46063</v>
      </c>
      <c r="B266" t="s">
        <v>52</v>
      </c>
      <c r="C266" s="11"/>
      <c r="D266" s="11"/>
      <c r="E266" t="s">
        <v>245</v>
      </c>
      <c r="F266" s="110" t="s">
        <v>108</v>
      </c>
    </row>
    <row r="267" spans="1:6" x14ac:dyDescent="0.3">
      <c r="A267" s="114">
        <v>46063</v>
      </c>
      <c r="B267" t="s">
        <v>54</v>
      </c>
      <c r="C267" s="11">
        <v>6000</v>
      </c>
      <c r="D267" s="11"/>
      <c r="E267" t="s">
        <v>445</v>
      </c>
      <c r="F267" s="110" t="s">
        <v>108</v>
      </c>
    </row>
    <row r="268" spans="1:6" x14ac:dyDescent="0.3">
      <c r="A268" s="114">
        <v>46063</v>
      </c>
      <c r="B268" t="s">
        <v>222</v>
      </c>
      <c r="C268" s="11">
        <v>370</v>
      </c>
      <c r="D268" s="11"/>
      <c r="E268" t="s">
        <v>446</v>
      </c>
      <c r="F268" s="110" t="s">
        <v>108</v>
      </c>
    </row>
    <row r="269" spans="1:6" x14ac:dyDescent="0.3">
      <c r="A269" s="114">
        <v>46063</v>
      </c>
      <c r="B269" t="s">
        <v>260</v>
      </c>
      <c r="C269" s="95">
        <v>5000</v>
      </c>
      <c r="D269" s="95"/>
      <c r="E269" t="s">
        <v>447</v>
      </c>
      <c r="F269" s="110" t="s">
        <v>108</v>
      </c>
    </row>
    <row r="270" spans="1:6" x14ac:dyDescent="0.3">
      <c r="A270" s="114">
        <v>46063</v>
      </c>
      <c r="B270" t="s">
        <v>258</v>
      </c>
      <c r="C270" s="11">
        <v>7000</v>
      </c>
      <c r="D270" s="11"/>
      <c r="E270" t="s">
        <v>447</v>
      </c>
      <c r="F270" s="110" t="s">
        <v>108</v>
      </c>
    </row>
    <row r="271" spans="1:6" x14ac:dyDescent="0.3">
      <c r="A271" s="114">
        <v>46063</v>
      </c>
      <c r="B271" t="s">
        <v>94</v>
      </c>
      <c r="C271" s="11">
        <v>2000</v>
      </c>
      <c r="D271" s="11"/>
      <c r="E271" t="s">
        <v>447</v>
      </c>
      <c r="F271" s="110" t="s">
        <v>108</v>
      </c>
    </row>
    <row r="272" spans="1:6" x14ac:dyDescent="0.3">
      <c r="A272" s="114">
        <v>46063</v>
      </c>
      <c r="B272" t="s">
        <v>169</v>
      </c>
      <c r="C272" s="11">
        <v>2000</v>
      </c>
      <c r="D272" s="11"/>
      <c r="E272" t="s">
        <v>447</v>
      </c>
      <c r="F272" s="110" t="s">
        <v>108</v>
      </c>
    </row>
    <row r="273" spans="1:6" x14ac:dyDescent="0.3">
      <c r="A273" s="114">
        <v>46063</v>
      </c>
      <c r="B273" t="s">
        <v>254</v>
      </c>
      <c r="C273" s="11"/>
      <c r="D273" s="11">
        <v>100000</v>
      </c>
      <c r="E273" t="s">
        <v>448</v>
      </c>
      <c r="F273" s="110" t="s">
        <v>108</v>
      </c>
    </row>
    <row r="274" spans="1:6" x14ac:dyDescent="0.3">
      <c r="A274" s="114">
        <v>46063</v>
      </c>
      <c r="B274" t="s">
        <v>220</v>
      </c>
      <c r="C274" s="11">
        <v>100000</v>
      </c>
      <c r="D274" s="11"/>
      <c r="E274" t="s">
        <v>188</v>
      </c>
      <c r="F274" s="110" t="s">
        <v>108</v>
      </c>
    </row>
    <row r="275" spans="1:6" x14ac:dyDescent="0.3">
      <c r="A275" s="38">
        <v>46063</v>
      </c>
      <c r="B275" t="s">
        <v>335</v>
      </c>
      <c r="C275" s="95"/>
      <c r="D275" s="95">
        <v>200000</v>
      </c>
      <c r="E275" t="s">
        <v>448</v>
      </c>
      <c r="F275" s="110" t="s">
        <v>108</v>
      </c>
    </row>
    <row r="276" spans="1:6" x14ac:dyDescent="0.3">
      <c r="A276" s="114"/>
      <c r="C276" s="11"/>
      <c r="D276" s="11"/>
      <c r="F276" s="110"/>
    </row>
    <row r="277" spans="1:6" x14ac:dyDescent="0.3">
      <c r="A277" s="114">
        <v>46053</v>
      </c>
      <c r="B277" t="s">
        <v>220</v>
      </c>
      <c r="C277" s="11"/>
      <c r="D277" s="11">
        <v>28750</v>
      </c>
      <c r="E277" t="s">
        <v>449</v>
      </c>
      <c r="F277" s="110" t="s">
        <v>108</v>
      </c>
    </row>
    <row r="278" spans="1:6" x14ac:dyDescent="0.3">
      <c r="A278" s="114">
        <v>46053</v>
      </c>
      <c r="B278" t="s">
        <v>220</v>
      </c>
      <c r="C278" s="11"/>
      <c r="D278" s="11">
        <v>10120</v>
      </c>
      <c r="E278" t="s">
        <v>450</v>
      </c>
      <c r="F278" s="110" t="s">
        <v>108</v>
      </c>
    </row>
    <row r="279" spans="1:6" x14ac:dyDescent="0.3">
      <c r="A279" s="114">
        <v>46053</v>
      </c>
      <c r="B279" t="s">
        <v>220</v>
      </c>
      <c r="C279" s="11"/>
      <c r="D279" s="11">
        <v>17750</v>
      </c>
      <c r="E279" t="s">
        <v>451</v>
      </c>
      <c r="F279" s="110" t="s">
        <v>108</v>
      </c>
    </row>
    <row r="280" spans="1:6" x14ac:dyDescent="0.3">
      <c r="A280" s="114">
        <v>46056</v>
      </c>
      <c r="B280" t="s">
        <v>220</v>
      </c>
      <c r="C280" s="11"/>
      <c r="D280" s="11">
        <v>20000</v>
      </c>
      <c r="E280" t="s">
        <v>452</v>
      </c>
      <c r="F280" s="110" t="s">
        <v>108</v>
      </c>
    </row>
    <row r="281" spans="1:6" x14ac:dyDescent="0.3">
      <c r="A281" s="114">
        <v>46063</v>
      </c>
      <c r="B281" t="s">
        <v>220</v>
      </c>
      <c r="C281" s="11"/>
      <c r="D281" s="11">
        <v>9483</v>
      </c>
      <c r="E281" t="s">
        <v>450</v>
      </c>
      <c r="F281" s="110" t="s">
        <v>108</v>
      </c>
    </row>
    <row r="282" spans="1:6" x14ac:dyDescent="0.3">
      <c r="A282" s="114">
        <v>46053</v>
      </c>
      <c r="B282" t="s">
        <v>449</v>
      </c>
      <c r="C282" s="11">
        <v>28750</v>
      </c>
      <c r="D282" s="11"/>
      <c r="E282" t="s">
        <v>449</v>
      </c>
      <c r="F282" s="110" t="s">
        <v>108</v>
      </c>
    </row>
    <row r="283" spans="1:6" x14ac:dyDescent="0.3">
      <c r="A283" s="114">
        <v>46053</v>
      </c>
      <c r="B283" t="s">
        <v>55</v>
      </c>
      <c r="C283" s="11">
        <v>10120</v>
      </c>
      <c r="D283" s="95"/>
      <c r="E283" t="s">
        <v>450</v>
      </c>
      <c r="F283" s="110" t="s">
        <v>108</v>
      </c>
    </row>
    <row r="284" spans="1:6" x14ac:dyDescent="0.3">
      <c r="A284" s="114">
        <v>46053</v>
      </c>
      <c r="B284" t="s">
        <v>55</v>
      </c>
      <c r="C284" s="11">
        <v>17750</v>
      </c>
      <c r="D284" s="11"/>
      <c r="E284" t="s">
        <v>451</v>
      </c>
      <c r="F284" s="110" t="s">
        <v>108</v>
      </c>
    </row>
    <row r="285" spans="1:6" x14ac:dyDescent="0.3">
      <c r="A285" s="114">
        <v>46056</v>
      </c>
      <c r="B285" t="s">
        <v>52</v>
      </c>
      <c r="C285" s="11">
        <v>20000</v>
      </c>
      <c r="D285" s="11"/>
      <c r="E285" t="s">
        <v>452</v>
      </c>
      <c r="F285" s="110" t="s">
        <v>108</v>
      </c>
    </row>
    <row r="286" spans="1:6" x14ac:dyDescent="0.3">
      <c r="A286" s="131">
        <v>46063</v>
      </c>
      <c r="B286" s="130" t="s">
        <v>55</v>
      </c>
      <c r="C286" s="122">
        <v>9483</v>
      </c>
      <c r="D286" s="122"/>
      <c r="E286" s="130" t="s">
        <v>450</v>
      </c>
      <c r="F286" s="132" t="s">
        <v>108</v>
      </c>
    </row>
    <row r="287" spans="1:6" x14ac:dyDescent="0.3">
      <c r="A287" s="114"/>
      <c r="C287" s="11"/>
      <c r="D287" s="11"/>
      <c r="F287" s="110" t="s">
        <v>108</v>
      </c>
    </row>
    <row r="288" spans="1:6" x14ac:dyDescent="0.3">
      <c r="A288" s="114">
        <v>46058</v>
      </c>
      <c r="B288" t="s">
        <v>453</v>
      </c>
      <c r="C288" s="11"/>
      <c r="D288" s="11">
        <v>600000</v>
      </c>
      <c r="E288" t="s">
        <v>109</v>
      </c>
      <c r="F288" s="110" t="s">
        <v>108</v>
      </c>
    </row>
    <row r="289" spans="1:6" x14ac:dyDescent="0.3">
      <c r="A289" s="114">
        <v>46064</v>
      </c>
      <c r="B289" t="s">
        <v>453</v>
      </c>
      <c r="C289" s="11"/>
      <c r="D289" s="11">
        <v>400000</v>
      </c>
      <c r="E289" t="s">
        <v>109</v>
      </c>
      <c r="F289" s="110" t="s">
        <v>108</v>
      </c>
    </row>
    <row r="290" spans="1:6" x14ac:dyDescent="0.3">
      <c r="A290" s="114">
        <v>46058</v>
      </c>
      <c r="B290" t="s">
        <v>220</v>
      </c>
      <c r="C290" s="11">
        <v>600000</v>
      </c>
      <c r="D290" s="11"/>
      <c r="E290" t="s">
        <v>455</v>
      </c>
      <c r="F290" s="110" t="s">
        <v>108</v>
      </c>
    </row>
    <row r="291" spans="1:6" x14ac:dyDescent="0.3">
      <c r="A291" s="114">
        <v>46064</v>
      </c>
      <c r="B291" t="s">
        <v>220</v>
      </c>
      <c r="C291" s="11">
        <v>400000</v>
      </c>
      <c r="D291" s="11"/>
      <c r="E291" t="s">
        <v>454</v>
      </c>
      <c r="F291" s="110" t="s">
        <v>108</v>
      </c>
    </row>
    <row r="292" spans="1:6" x14ac:dyDescent="0.3">
      <c r="A292" s="114">
        <v>46047</v>
      </c>
      <c r="B292" t="s">
        <v>217</v>
      </c>
      <c r="C292" s="11"/>
      <c r="D292" s="11">
        <v>500000</v>
      </c>
      <c r="E292" t="s">
        <v>109</v>
      </c>
      <c r="F292" s="110" t="s">
        <v>108</v>
      </c>
    </row>
    <row r="293" spans="1:6" x14ac:dyDescent="0.3">
      <c r="A293" s="114">
        <v>46050</v>
      </c>
      <c r="B293" t="s">
        <v>217</v>
      </c>
      <c r="C293" s="11"/>
      <c r="D293" s="11">
        <v>228245</v>
      </c>
      <c r="E293" t="s">
        <v>424</v>
      </c>
      <c r="F293" s="110" t="s">
        <v>108</v>
      </c>
    </row>
    <row r="294" spans="1:6" x14ac:dyDescent="0.3">
      <c r="A294" s="114">
        <v>46050</v>
      </c>
      <c r="B294" t="s">
        <v>35</v>
      </c>
      <c r="C294" s="11"/>
      <c r="D294" s="11">
        <v>418000</v>
      </c>
      <c r="E294" t="s">
        <v>456</v>
      </c>
      <c r="F294" s="110" t="s">
        <v>108</v>
      </c>
    </row>
    <row r="295" spans="1:6" x14ac:dyDescent="0.3">
      <c r="A295" s="114">
        <v>46047</v>
      </c>
      <c r="B295" t="s">
        <v>220</v>
      </c>
      <c r="C295" s="11">
        <v>500000</v>
      </c>
      <c r="D295" s="11"/>
      <c r="E295" t="s">
        <v>457</v>
      </c>
      <c r="F295" s="110" t="s">
        <v>108</v>
      </c>
    </row>
    <row r="296" spans="1:6" x14ac:dyDescent="0.3">
      <c r="A296" s="114">
        <v>46050</v>
      </c>
      <c r="B296" t="s">
        <v>220</v>
      </c>
      <c r="C296" s="11">
        <v>228245</v>
      </c>
      <c r="D296" s="11"/>
      <c r="E296" t="s">
        <v>458</v>
      </c>
      <c r="F296" s="110" t="s">
        <v>108</v>
      </c>
    </row>
    <row r="297" spans="1:6" x14ac:dyDescent="0.3">
      <c r="A297" s="114">
        <v>46050</v>
      </c>
      <c r="B297" t="s">
        <v>220</v>
      </c>
      <c r="C297" s="11">
        <v>418000</v>
      </c>
      <c r="D297" s="11"/>
      <c r="E297" t="s">
        <v>459</v>
      </c>
      <c r="F297" s="110" t="s">
        <v>108</v>
      </c>
    </row>
    <row r="298" spans="1:6" x14ac:dyDescent="0.3">
      <c r="A298" s="114">
        <v>46064</v>
      </c>
      <c r="B298" t="s">
        <v>333</v>
      </c>
      <c r="C298" s="11"/>
      <c r="D298" s="11">
        <v>250000</v>
      </c>
      <c r="E298" t="s">
        <v>109</v>
      </c>
      <c r="F298" s="110" t="s">
        <v>108</v>
      </c>
    </row>
    <row r="299" spans="1:6" x14ac:dyDescent="0.3">
      <c r="A299" s="114">
        <v>46064</v>
      </c>
      <c r="B299" t="s">
        <v>220</v>
      </c>
      <c r="C299" s="11">
        <v>250000</v>
      </c>
      <c r="D299" s="11"/>
      <c r="E299" t="s">
        <v>460</v>
      </c>
      <c r="F299" s="110" t="s">
        <v>108</v>
      </c>
    </row>
    <row r="300" spans="1:6" x14ac:dyDescent="0.3">
      <c r="A300" s="114">
        <v>46064</v>
      </c>
      <c r="B300" t="s">
        <v>254</v>
      </c>
      <c r="C300" s="11"/>
      <c r="D300" s="11">
        <v>100000</v>
      </c>
      <c r="E300" t="s">
        <v>109</v>
      </c>
      <c r="F300" s="110" t="s">
        <v>108</v>
      </c>
    </row>
    <row r="301" spans="1:6" x14ac:dyDescent="0.3">
      <c r="A301" s="114">
        <v>46043</v>
      </c>
      <c r="B301" t="s">
        <v>254</v>
      </c>
      <c r="C301" s="11"/>
      <c r="D301" s="11">
        <v>38940</v>
      </c>
      <c r="E301" t="s">
        <v>461</v>
      </c>
      <c r="F301" s="110" t="s">
        <v>108</v>
      </c>
    </row>
    <row r="302" spans="1:6" x14ac:dyDescent="0.3">
      <c r="A302" s="114">
        <v>46064</v>
      </c>
      <c r="B302" t="s">
        <v>220</v>
      </c>
      <c r="C302" s="11">
        <v>100000</v>
      </c>
      <c r="D302" s="11"/>
      <c r="E302" t="s">
        <v>462</v>
      </c>
      <c r="F302" s="110" t="s">
        <v>108</v>
      </c>
    </row>
    <row r="303" spans="1:6" x14ac:dyDescent="0.3">
      <c r="A303" s="114">
        <v>46043</v>
      </c>
      <c r="B303" t="s">
        <v>220</v>
      </c>
      <c r="C303" s="11">
        <v>38940</v>
      </c>
      <c r="D303" s="11"/>
      <c r="E303" t="s">
        <v>463</v>
      </c>
      <c r="F303" s="110" t="s">
        <v>108</v>
      </c>
    </row>
    <row r="304" spans="1:6" x14ac:dyDescent="0.3">
      <c r="A304" s="114">
        <v>46044</v>
      </c>
      <c r="B304" t="s">
        <v>596</v>
      </c>
      <c r="C304" s="11"/>
      <c r="D304" s="11"/>
      <c r="F304" s="110" t="s">
        <v>108</v>
      </c>
    </row>
    <row r="305" spans="1:6" x14ac:dyDescent="0.3">
      <c r="A305" s="114">
        <v>46054</v>
      </c>
      <c r="B305" t="s">
        <v>385</v>
      </c>
      <c r="C305" s="11"/>
      <c r="D305" s="11">
        <v>1508520</v>
      </c>
      <c r="E305" t="s">
        <v>464</v>
      </c>
      <c r="F305" s="110" t="s">
        <v>108</v>
      </c>
    </row>
    <row r="306" spans="1:6" x14ac:dyDescent="0.3">
      <c r="A306" s="114">
        <v>46054</v>
      </c>
      <c r="B306" t="s">
        <v>220</v>
      </c>
      <c r="C306" s="11">
        <v>1508520</v>
      </c>
      <c r="D306" s="11"/>
      <c r="E306" t="s">
        <v>369</v>
      </c>
      <c r="F306" s="110" t="s">
        <v>108</v>
      </c>
    </row>
    <row r="307" spans="1:6" x14ac:dyDescent="0.3">
      <c r="A307" s="1">
        <v>46043</v>
      </c>
      <c r="B307" t="s">
        <v>152</v>
      </c>
      <c r="D307">
        <v>390000</v>
      </c>
      <c r="E307" t="s">
        <v>465</v>
      </c>
      <c r="F307" s="110" t="s">
        <v>108</v>
      </c>
    </row>
    <row r="308" spans="1:6" x14ac:dyDescent="0.3">
      <c r="A308" s="1">
        <v>46044</v>
      </c>
      <c r="B308" t="s">
        <v>152</v>
      </c>
      <c r="D308">
        <v>235000</v>
      </c>
      <c r="E308" t="s">
        <v>284</v>
      </c>
      <c r="F308" s="110" t="s">
        <v>108</v>
      </c>
    </row>
    <row r="309" spans="1:6" x14ac:dyDescent="0.3">
      <c r="A309" s="1">
        <v>46044</v>
      </c>
      <c r="B309" t="s">
        <v>152</v>
      </c>
      <c r="D309">
        <v>100000</v>
      </c>
      <c r="E309" t="s">
        <v>466</v>
      </c>
      <c r="F309" s="110" t="s">
        <v>108</v>
      </c>
    </row>
    <row r="310" spans="1:6" x14ac:dyDescent="0.3">
      <c r="A310" s="1">
        <v>46048</v>
      </c>
      <c r="B310" t="s">
        <v>152</v>
      </c>
      <c r="D310">
        <v>400000</v>
      </c>
      <c r="E310" t="s">
        <v>467</v>
      </c>
      <c r="F310" s="110" t="s">
        <v>108</v>
      </c>
    </row>
    <row r="311" spans="1:6" x14ac:dyDescent="0.3">
      <c r="A311" s="133">
        <v>46048</v>
      </c>
      <c r="B311" t="s">
        <v>152</v>
      </c>
      <c r="D311">
        <v>225000</v>
      </c>
      <c r="E311" t="s">
        <v>109</v>
      </c>
      <c r="F311" s="110" t="s">
        <v>108</v>
      </c>
    </row>
    <row r="312" spans="1:6" x14ac:dyDescent="0.3">
      <c r="A312" s="1">
        <v>46050</v>
      </c>
      <c r="B312" t="s">
        <v>152</v>
      </c>
      <c r="D312">
        <v>220000</v>
      </c>
      <c r="E312" t="s">
        <v>109</v>
      </c>
      <c r="F312" s="110" t="s">
        <v>108</v>
      </c>
    </row>
    <row r="313" spans="1:6" x14ac:dyDescent="0.3">
      <c r="A313" s="38">
        <v>46052</v>
      </c>
      <c r="B313" t="s">
        <v>152</v>
      </c>
      <c r="C313" s="95"/>
      <c r="D313" s="95">
        <v>120000</v>
      </c>
      <c r="E313" t="s">
        <v>109</v>
      </c>
      <c r="F313" s="110" t="s">
        <v>108</v>
      </c>
    </row>
    <row r="314" spans="1:6" x14ac:dyDescent="0.3">
      <c r="A314" s="38">
        <v>46059</v>
      </c>
      <c r="B314" t="s">
        <v>152</v>
      </c>
      <c r="C314" s="95"/>
      <c r="D314" s="95">
        <v>100000</v>
      </c>
      <c r="E314" t="s">
        <v>468</v>
      </c>
      <c r="F314" s="110" t="s">
        <v>108</v>
      </c>
    </row>
    <row r="315" spans="1:6" x14ac:dyDescent="0.3">
      <c r="A315" s="38">
        <v>46063</v>
      </c>
      <c r="B315" t="s">
        <v>152</v>
      </c>
      <c r="C315" s="95"/>
      <c r="D315" s="95">
        <v>368000</v>
      </c>
      <c r="E315" t="s">
        <v>469</v>
      </c>
      <c r="F315" s="110" t="s">
        <v>108</v>
      </c>
    </row>
    <row r="316" spans="1:6" x14ac:dyDescent="0.3">
      <c r="A316" s="1">
        <v>46043</v>
      </c>
      <c r="B316" t="s">
        <v>220</v>
      </c>
      <c r="C316">
        <v>390000</v>
      </c>
      <c r="D316" s="95"/>
      <c r="E316" t="s">
        <v>470</v>
      </c>
      <c r="F316" s="110" t="s">
        <v>108</v>
      </c>
    </row>
    <row r="317" spans="1:6" x14ac:dyDescent="0.3">
      <c r="A317" s="1">
        <v>46044</v>
      </c>
      <c r="B317" t="s">
        <v>220</v>
      </c>
      <c r="C317">
        <v>235000</v>
      </c>
      <c r="D317" s="11"/>
      <c r="E317" t="s">
        <v>471</v>
      </c>
      <c r="F317" s="110" t="s">
        <v>108</v>
      </c>
    </row>
    <row r="318" spans="1:6" x14ac:dyDescent="0.3">
      <c r="A318" s="1">
        <v>46044</v>
      </c>
      <c r="B318" t="s">
        <v>220</v>
      </c>
      <c r="C318">
        <v>100000</v>
      </c>
      <c r="D318" s="11"/>
      <c r="E318" t="s">
        <v>472</v>
      </c>
      <c r="F318" s="110" t="s">
        <v>108</v>
      </c>
    </row>
    <row r="319" spans="1:6" x14ac:dyDescent="0.3">
      <c r="A319" s="1">
        <v>46048</v>
      </c>
      <c r="B319" t="s">
        <v>220</v>
      </c>
      <c r="C319">
        <v>400000</v>
      </c>
      <c r="D319" s="11"/>
      <c r="E319" t="s">
        <v>473</v>
      </c>
      <c r="F319" s="110" t="s">
        <v>108</v>
      </c>
    </row>
    <row r="320" spans="1:6" x14ac:dyDescent="0.3">
      <c r="A320" s="133">
        <v>46048</v>
      </c>
      <c r="B320" t="s">
        <v>220</v>
      </c>
      <c r="C320">
        <v>225000</v>
      </c>
      <c r="D320" s="11"/>
      <c r="E320" t="s">
        <v>474</v>
      </c>
      <c r="F320" s="110" t="s">
        <v>108</v>
      </c>
    </row>
    <row r="321" spans="1:12" x14ac:dyDescent="0.3">
      <c r="A321" s="1">
        <v>46050</v>
      </c>
      <c r="B321" t="s">
        <v>220</v>
      </c>
      <c r="C321">
        <v>220000</v>
      </c>
      <c r="D321" s="11"/>
      <c r="E321" t="s">
        <v>475</v>
      </c>
      <c r="F321" s="110" t="s">
        <v>108</v>
      </c>
    </row>
    <row r="322" spans="1:12" x14ac:dyDescent="0.3">
      <c r="A322" s="38">
        <v>46052</v>
      </c>
      <c r="B322" t="s">
        <v>220</v>
      </c>
      <c r="C322" s="95">
        <v>120000</v>
      </c>
      <c r="D322" s="11"/>
      <c r="E322" t="s">
        <v>476</v>
      </c>
      <c r="F322" s="110" t="s">
        <v>108</v>
      </c>
    </row>
    <row r="323" spans="1:12" x14ac:dyDescent="0.3">
      <c r="A323" s="38">
        <v>46059</v>
      </c>
      <c r="B323" t="s">
        <v>220</v>
      </c>
      <c r="C323" s="95">
        <v>100000</v>
      </c>
      <c r="D323" s="11"/>
      <c r="E323" t="s">
        <v>472</v>
      </c>
      <c r="F323" s="110" t="s">
        <v>108</v>
      </c>
    </row>
    <row r="324" spans="1:12" x14ac:dyDescent="0.3">
      <c r="A324" s="135">
        <v>46063</v>
      </c>
      <c r="B324" s="136" t="s">
        <v>220</v>
      </c>
      <c r="C324" s="137">
        <v>368000</v>
      </c>
      <c r="D324" s="126"/>
      <c r="E324" s="136" t="s">
        <v>477</v>
      </c>
      <c r="F324" s="138" t="s">
        <v>108</v>
      </c>
      <c r="G324" s="136"/>
    </row>
    <row r="325" spans="1:12" x14ac:dyDescent="0.3">
      <c r="A325" s="114">
        <v>46064</v>
      </c>
      <c r="B325" t="s">
        <v>287</v>
      </c>
      <c r="C325" s="11"/>
      <c r="D325" s="11">
        <v>7000</v>
      </c>
      <c r="E325" t="s">
        <v>478</v>
      </c>
      <c r="F325" s="110" t="s">
        <v>108</v>
      </c>
    </row>
    <row r="326" spans="1:12" x14ac:dyDescent="0.3">
      <c r="A326" s="114">
        <v>46064</v>
      </c>
      <c r="B326" t="s">
        <v>220</v>
      </c>
      <c r="C326" s="11"/>
      <c r="D326" s="11">
        <v>100000</v>
      </c>
      <c r="E326" t="s">
        <v>479</v>
      </c>
      <c r="F326" s="110" t="s">
        <v>108</v>
      </c>
    </row>
    <row r="327" spans="1:12" x14ac:dyDescent="0.3">
      <c r="A327" s="114">
        <v>46064</v>
      </c>
      <c r="B327" t="s">
        <v>193</v>
      </c>
      <c r="C327" s="11">
        <v>138250</v>
      </c>
      <c r="D327" s="11"/>
      <c r="E327" t="s">
        <v>480</v>
      </c>
      <c r="F327" s="110" t="s">
        <v>108</v>
      </c>
    </row>
    <row r="328" spans="1:12" x14ac:dyDescent="0.3">
      <c r="A328" s="114">
        <v>46064</v>
      </c>
      <c r="B328" t="s">
        <v>220</v>
      </c>
      <c r="C328" s="95"/>
      <c r="D328" s="95">
        <v>135000</v>
      </c>
      <c r="E328" t="s">
        <v>193</v>
      </c>
      <c r="F328" s="110" t="s">
        <v>108</v>
      </c>
      <c r="J328">
        <v>1000</v>
      </c>
      <c r="K328">
        <v>1000</v>
      </c>
      <c r="L328">
        <v>26000</v>
      </c>
    </row>
    <row r="329" spans="1:12" x14ac:dyDescent="0.3">
      <c r="A329" s="114">
        <v>46064</v>
      </c>
      <c r="B329" t="s">
        <v>54</v>
      </c>
      <c r="C329" s="11">
        <v>1000</v>
      </c>
      <c r="D329" s="11"/>
      <c r="E329" t="s">
        <v>482</v>
      </c>
      <c r="F329" s="110" t="s">
        <v>108</v>
      </c>
      <c r="J329">
        <v>22100</v>
      </c>
      <c r="K329">
        <v>22100</v>
      </c>
      <c r="L329">
        <v>44000</v>
      </c>
    </row>
    <row r="330" spans="1:12" x14ac:dyDescent="0.3">
      <c r="A330" s="114">
        <v>46064</v>
      </c>
      <c r="B330" t="s">
        <v>481</v>
      </c>
      <c r="C330" s="11">
        <v>500</v>
      </c>
      <c r="D330" s="11"/>
      <c r="E330" t="s">
        <v>483</v>
      </c>
      <c r="F330" s="110" t="s">
        <v>108</v>
      </c>
      <c r="J330">
        <v>15000</v>
      </c>
      <c r="K330">
        <v>15000</v>
      </c>
      <c r="L330">
        <v>40000</v>
      </c>
    </row>
    <row r="331" spans="1:12" x14ac:dyDescent="0.3">
      <c r="A331" s="114">
        <v>46064</v>
      </c>
      <c r="B331" t="s">
        <v>52</v>
      </c>
      <c r="C331" s="11">
        <v>55000</v>
      </c>
      <c r="D331" s="11"/>
      <c r="E331" t="s">
        <v>243</v>
      </c>
      <c r="F331" s="110" t="s">
        <v>108</v>
      </c>
      <c r="J331">
        <v>15350</v>
      </c>
      <c r="K331">
        <v>15350</v>
      </c>
      <c r="L331">
        <v>35200</v>
      </c>
    </row>
    <row r="332" spans="1:12" x14ac:dyDescent="0.3">
      <c r="A332" s="114">
        <v>46064</v>
      </c>
      <c r="B332" t="s">
        <v>52</v>
      </c>
      <c r="C332" s="11">
        <v>16000</v>
      </c>
      <c r="D332" s="11"/>
      <c r="E332" t="s">
        <v>484</v>
      </c>
      <c r="F332" s="110" t="s">
        <v>108</v>
      </c>
      <c r="J332">
        <v>13000</v>
      </c>
      <c r="K332">
        <v>13000</v>
      </c>
      <c r="L332">
        <v>22000</v>
      </c>
    </row>
    <row r="333" spans="1:12" x14ac:dyDescent="0.3">
      <c r="A333" s="114">
        <v>46064</v>
      </c>
      <c r="B333" t="s">
        <v>52</v>
      </c>
      <c r="C333">
        <v>26000</v>
      </c>
      <c r="D333" s="11"/>
      <c r="E333" t="s">
        <v>308</v>
      </c>
      <c r="F333" s="110" t="s">
        <v>108</v>
      </c>
      <c r="J333">
        <v>24500</v>
      </c>
      <c r="K333">
        <v>24500</v>
      </c>
      <c r="L333">
        <v>15000</v>
      </c>
    </row>
    <row r="334" spans="1:12" x14ac:dyDescent="0.3">
      <c r="A334" s="114">
        <v>46064</v>
      </c>
      <c r="B334" t="s">
        <v>52</v>
      </c>
      <c r="C334">
        <v>44000</v>
      </c>
      <c r="D334" s="11"/>
      <c r="E334" t="s">
        <v>308</v>
      </c>
      <c r="F334" s="110" t="s">
        <v>108</v>
      </c>
      <c r="J334">
        <v>18650</v>
      </c>
      <c r="K334">
        <v>18650</v>
      </c>
      <c r="L334">
        <v>32000</v>
      </c>
    </row>
    <row r="335" spans="1:12" x14ac:dyDescent="0.3">
      <c r="A335" s="114">
        <v>46064</v>
      </c>
      <c r="B335" t="s">
        <v>52</v>
      </c>
      <c r="C335">
        <v>40000</v>
      </c>
      <c r="D335" s="11"/>
      <c r="E335" t="s">
        <v>308</v>
      </c>
      <c r="F335" s="110" t="s">
        <v>108</v>
      </c>
      <c r="J335">
        <v>32000</v>
      </c>
      <c r="K335">
        <v>32000</v>
      </c>
      <c r="L335">
        <v>24500</v>
      </c>
    </row>
    <row r="336" spans="1:12" x14ac:dyDescent="0.3">
      <c r="A336" s="114">
        <v>46064</v>
      </c>
      <c r="B336" t="s">
        <v>52</v>
      </c>
      <c r="C336">
        <v>35200</v>
      </c>
      <c r="D336" s="11"/>
      <c r="E336" t="s">
        <v>308</v>
      </c>
      <c r="F336" s="110" t="s">
        <v>108</v>
      </c>
      <c r="J336">
        <v>7000</v>
      </c>
      <c r="K336">
        <v>7000</v>
      </c>
      <c r="L336">
        <v>22100</v>
      </c>
    </row>
    <row r="337" spans="1:12" x14ac:dyDescent="0.3">
      <c r="A337" s="114">
        <v>46064</v>
      </c>
      <c r="B337" t="s">
        <v>52</v>
      </c>
      <c r="C337">
        <v>22000</v>
      </c>
      <c r="D337" s="11"/>
      <c r="E337" t="s">
        <v>308</v>
      </c>
      <c r="F337" s="110" t="s">
        <v>108</v>
      </c>
      <c r="J337">
        <v>8800</v>
      </c>
      <c r="K337">
        <v>8800</v>
      </c>
      <c r="L337">
        <v>12650</v>
      </c>
    </row>
    <row r="338" spans="1:12" x14ac:dyDescent="0.3">
      <c r="A338" s="114">
        <v>46064</v>
      </c>
      <c r="B338" t="s">
        <v>52</v>
      </c>
      <c r="C338">
        <v>15000</v>
      </c>
      <c r="D338" s="95"/>
      <c r="E338" t="s">
        <v>308</v>
      </c>
      <c r="F338" s="110" t="s">
        <v>108</v>
      </c>
      <c r="J338">
        <v>15000</v>
      </c>
      <c r="K338">
        <v>15000</v>
      </c>
      <c r="L338">
        <v>7000</v>
      </c>
    </row>
    <row r="339" spans="1:12" x14ac:dyDescent="0.3">
      <c r="A339" s="114">
        <v>46064</v>
      </c>
      <c r="B339" t="s">
        <v>52</v>
      </c>
      <c r="C339">
        <v>32000</v>
      </c>
      <c r="D339" s="11"/>
      <c r="E339" t="s">
        <v>308</v>
      </c>
      <c r="F339" s="110" t="s">
        <v>108</v>
      </c>
      <c r="J339">
        <v>12600</v>
      </c>
      <c r="K339">
        <v>12600</v>
      </c>
      <c r="L339">
        <v>15000</v>
      </c>
    </row>
    <row r="340" spans="1:12" x14ac:dyDescent="0.3">
      <c r="A340" s="114">
        <v>46064</v>
      </c>
      <c r="B340" t="s">
        <v>52</v>
      </c>
      <c r="C340">
        <v>24500</v>
      </c>
      <c r="D340" s="11"/>
      <c r="E340" t="s">
        <v>308</v>
      </c>
      <c r="F340" s="110" t="s">
        <v>108</v>
      </c>
      <c r="J340">
        <v>13650</v>
      </c>
      <c r="K340">
        <v>13650</v>
      </c>
      <c r="L340">
        <v>15650</v>
      </c>
    </row>
    <row r="341" spans="1:12" x14ac:dyDescent="0.3">
      <c r="A341" s="114">
        <v>46064</v>
      </c>
      <c r="B341" t="s">
        <v>52</v>
      </c>
      <c r="C341">
        <v>22100</v>
      </c>
      <c r="D341" s="11"/>
      <c r="E341" t="s">
        <v>308</v>
      </c>
      <c r="F341" s="110" t="s">
        <v>108</v>
      </c>
      <c r="J341">
        <v>20000</v>
      </c>
      <c r="K341">
        <v>20000</v>
      </c>
      <c r="L341">
        <v>13000</v>
      </c>
    </row>
    <row r="342" spans="1:12" x14ac:dyDescent="0.3">
      <c r="A342" s="114">
        <v>46064</v>
      </c>
      <c r="B342" t="s">
        <v>52</v>
      </c>
      <c r="C342">
        <v>12650</v>
      </c>
      <c r="D342" s="11"/>
      <c r="E342" t="s">
        <v>308</v>
      </c>
      <c r="F342" s="110" t="s">
        <v>108</v>
      </c>
      <c r="J342">
        <v>26000</v>
      </c>
      <c r="K342">
        <v>26000</v>
      </c>
      <c r="L342">
        <v>18650</v>
      </c>
    </row>
    <row r="343" spans="1:12" x14ac:dyDescent="0.3">
      <c r="A343" s="114">
        <v>46064</v>
      </c>
      <c r="B343" t="s">
        <v>52</v>
      </c>
      <c r="C343">
        <v>7000</v>
      </c>
      <c r="D343" s="11"/>
      <c r="E343" t="s">
        <v>308</v>
      </c>
      <c r="F343" s="110" t="s">
        <v>108</v>
      </c>
      <c r="J343">
        <v>3850</v>
      </c>
      <c r="K343">
        <v>3850</v>
      </c>
      <c r="L343">
        <v>22650</v>
      </c>
    </row>
    <row r="344" spans="1:12" x14ac:dyDescent="0.3">
      <c r="A344" s="114">
        <v>46064</v>
      </c>
      <c r="B344" t="s">
        <v>52</v>
      </c>
      <c r="C344">
        <v>15000</v>
      </c>
      <c r="D344" s="11"/>
      <c r="E344" t="s">
        <v>308</v>
      </c>
      <c r="F344" s="110" t="s">
        <v>108</v>
      </c>
      <c r="J344">
        <v>44000</v>
      </c>
      <c r="K344">
        <v>44000</v>
      </c>
      <c r="L344">
        <v>13650</v>
      </c>
    </row>
    <row r="345" spans="1:12" x14ac:dyDescent="0.3">
      <c r="A345" s="114">
        <v>46064</v>
      </c>
      <c r="B345" t="s">
        <v>52</v>
      </c>
      <c r="C345">
        <v>15650</v>
      </c>
      <c r="D345" s="11"/>
      <c r="E345" t="s">
        <v>308</v>
      </c>
      <c r="F345" s="110" t="s">
        <v>108</v>
      </c>
      <c r="J345">
        <v>35200</v>
      </c>
      <c r="K345">
        <v>35200</v>
      </c>
      <c r="L345">
        <v>8800</v>
      </c>
    </row>
    <row r="346" spans="1:12" x14ac:dyDescent="0.3">
      <c r="A346" s="114">
        <v>46064</v>
      </c>
      <c r="B346" t="s">
        <v>52</v>
      </c>
      <c r="C346">
        <v>13000</v>
      </c>
      <c r="D346" s="11"/>
      <c r="E346" t="s">
        <v>308</v>
      </c>
      <c r="F346" s="110" t="s">
        <v>108</v>
      </c>
      <c r="J346">
        <v>18150</v>
      </c>
      <c r="K346">
        <v>18150</v>
      </c>
      <c r="L346">
        <v>1000</v>
      </c>
    </row>
    <row r="347" spans="1:12" x14ac:dyDescent="0.3">
      <c r="A347" s="114">
        <v>46064</v>
      </c>
      <c r="B347" t="s">
        <v>52</v>
      </c>
      <c r="C347">
        <v>18650</v>
      </c>
      <c r="D347" s="11"/>
      <c r="E347" t="s">
        <v>308</v>
      </c>
      <c r="F347" s="110" t="s">
        <v>108</v>
      </c>
      <c r="J347">
        <v>22650</v>
      </c>
      <c r="K347">
        <v>22650</v>
      </c>
      <c r="L347">
        <v>20000</v>
      </c>
    </row>
    <row r="348" spans="1:12" x14ac:dyDescent="0.3">
      <c r="A348" s="114">
        <v>46064</v>
      </c>
      <c r="B348" t="s">
        <v>52</v>
      </c>
      <c r="C348">
        <v>22650</v>
      </c>
      <c r="D348" s="11"/>
      <c r="E348" t="s">
        <v>308</v>
      </c>
      <c r="F348" s="110" t="s">
        <v>108</v>
      </c>
      <c r="J348">
        <v>22650</v>
      </c>
      <c r="L348">
        <v>13650</v>
      </c>
    </row>
    <row r="349" spans="1:12" x14ac:dyDescent="0.3">
      <c r="A349" s="114">
        <v>46064</v>
      </c>
      <c r="B349" t="s">
        <v>52</v>
      </c>
      <c r="C349">
        <v>13650</v>
      </c>
      <c r="D349" s="11"/>
      <c r="E349" t="s">
        <v>308</v>
      </c>
      <c r="F349" s="110" t="s">
        <v>108</v>
      </c>
      <c r="J349">
        <v>600</v>
      </c>
      <c r="K349">
        <v>600</v>
      </c>
      <c r="L349">
        <v>15350</v>
      </c>
    </row>
    <row r="350" spans="1:12" x14ac:dyDescent="0.3">
      <c r="A350" s="114">
        <v>46064</v>
      </c>
      <c r="B350" t="s">
        <v>52</v>
      </c>
      <c r="C350">
        <v>8800</v>
      </c>
      <c r="D350" s="11"/>
      <c r="E350" t="s">
        <v>308</v>
      </c>
      <c r="F350" s="110" t="s">
        <v>108</v>
      </c>
      <c r="J350">
        <v>15670</v>
      </c>
      <c r="K350">
        <v>15670</v>
      </c>
      <c r="L350">
        <v>3850</v>
      </c>
    </row>
    <row r="351" spans="1:12" x14ac:dyDescent="0.3">
      <c r="A351" s="114">
        <v>46064</v>
      </c>
      <c r="B351" t="s">
        <v>52</v>
      </c>
      <c r="C351">
        <v>1000</v>
      </c>
      <c r="D351" s="11"/>
      <c r="E351" t="s">
        <v>308</v>
      </c>
      <c r="F351" s="110" t="s">
        <v>108</v>
      </c>
      <c r="J351">
        <v>13650</v>
      </c>
      <c r="K351">
        <v>13650</v>
      </c>
      <c r="L351">
        <v>18150</v>
      </c>
    </row>
    <row r="352" spans="1:12" x14ac:dyDescent="0.3">
      <c r="A352" s="114">
        <v>46064</v>
      </c>
      <c r="B352" t="s">
        <v>52</v>
      </c>
      <c r="C352">
        <v>20000</v>
      </c>
      <c r="D352" s="11"/>
      <c r="E352" t="s">
        <v>308</v>
      </c>
      <c r="F352" s="110" t="s">
        <v>108</v>
      </c>
      <c r="J352">
        <v>22000</v>
      </c>
      <c r="K352">
        <v>22000</v>
      </c>
      <c r="L352">
        <v>45000</v>
      </c>
    </row>
    <row r="353" spans="1:12" x14ac:dyDescent="0.3">
      <c r="A353" s="114">
        <v>46064</v>
      </c>
      <c r="B353" t="s">
        <v>52</v>
      </c>
      <c r="C353">
        <v>13650</v>
      </c>
      <c r="D353" s="11"/>
      <c r="E353" t="s">
        <v>308</v>
      </c>
      <c r="F353" s="110" t="s">
        <v>108</v>
      </c>
      <c r="J353">
        <v>40000</v>
      </c>
      <c r="K353">
        <v>40000</v>
      </c>
      <c r="L353">
        <v>185000</v>
      </c>
    </row>
    <row r="354" spans="1:12" x14ac:dyDescent="0.3">
      <c r="A354" s="114">
        <v>46064</v>
      </c>
      <c r="B354" t="s">
        <v>52</v>
      </c>
      <c r="C354">
        <v>15350</v>
      </c>
      <c r="D354" s="11"/>
      <c r="E354" t="s">
        <v>308</v>
      </c>
      <c r="F354" s="110" t="s">
        <v>108</v>
      </c>
      <c r="J354">
        <v>185000</v>
      </c>
      <c r="K354">
        <v>185000</v>
      </c>
      <c r="L354">
        <v>600</v>
      </c>
    </row>
    <row r="355" spans="1:12" x14ac:dyDescent="0.3">
      <c r="A355" s="114">
        <v>46064</v>
      </c>
      <c r="B355" t="s">
        <v>52</v>
      </c>
      <c r="C355">
        <v>3850</v>
      </c>
      <c r="D355" s="11"/>
      <c r="E355" t="s">
        <v>308</v>
      </c>
      <c r="F355" s="110" t="s">
        <v>108</v>
      </c>
      <c r="J355">
        <v>45000</v>
      </c>
      <c r="K355">
        <v>45000</v>
      </c>
    </row>
    <row r="356" spans="1:12" x14ac:dyDescent="0.3">
      <c r="A356" s="114">
        <v>46064</v>
      </c>
      <c r="B356" t="s">
        <v>52</v>
      </c>
      <c r="C356">
        <v>18150</v>
      </c>
      <c r="D356" s="11"/>
      <c r="E356" t="s">
        <v>308</v>
      </c>
      <c r="F356" s="110" t="s">
        <v>108</v>
      </c>
    </row>
    <row r="357" spans="1:12" x14ac:dyDescent="0.3">
      <c r="A357" s="114">
        <v>46064</v>
      </c>
      <c r="B357" t="s">
        <v>52</v>
      </c>
      <c r="C357">
        <v>45000</v>
      </c>
      <c r="D357" s="11"/>
      <c r="E357" t="s">
        <v>308</v>
      </c>
      <c r="F357" s="110" t="s">
        <v>108</v>
      </c>
    </row>
    <row r="358" spans="1:12" x14ac:dyDescent="0.3">
      <c r="A358" s="114">
        <v>46064</v>
      </c>
      <c r="B358" t="s">
        <v>52</v>
      </c>
      <c r="C358">
        <v>185000</v>
      </c>
      <c r="D358" s="11"/>
      <c r="E358" t="s">
        <v>308</v>
      </c>
      <c r="F358" s="110" t="s">
        <v>108</v>
      </c>
    </row>
    <row r="359" spans="1:12" x14ac:dyDescent="0.3">
      <c r="A359" s="114">
        <v>46064</v>
      </c>
      <c r="B359" t="s">
        <v>52</v>
      </c>
      <c r="C359">
        <v>600</v>
      </c>
      <c r="D359" s="11"/>
      <c r="E359" t="s">
        <v>308</v>
      </c>
      <c r="F359" s="110" t="s">
        <v>108</v>
      </c>
    </row>
    <row r="360" spans="1:12" x14ac:dyDescent="0.3">
      <c r="A360" s="114">
        <v>46064</v>
      </c>
      <c r="B360" t="s">
        <v>54</v>
      </c>
      <c r="C360">
        <v>5000</v>
      </c>
      <c r="D360" s="11"/>
      <c r="E360" t="s">
        <v>406</v>
      </c>
      <c r="F360" s="110" t="s">
        <v>108</v>
      </c>
    </row>
    <row r="361" spans="1:12" x14ac:dyDescent="0.3">
      <c r="A361" s="114">
        <v>46064</v>
      </c>
      <c r="B361" t="s">
        <v>54</v>
      </c>
      <c r="C361" s="11">
        <v>1000</v>
      </c>
      <c r="D361" s="11"/>
      <c r="E361" t="s">
        <v>485</v>
      </c>
      <c r="F361" s="110" t="s">
        <v>108</v>
      </c>
    </row>
    <row r="362" spans="1:12" x14ac:dyDescent="0.3">
      <c r="A362" s="114">
        <v>46064</v>
      </c>
      <c r="B362" t="s">
        <v>298</v>
      </c>
      <c r="C362" s="11"/>
      <c r="D362" s="11">
        <v>162000</v>
      </c>
      <c r="E362" t="s">
        <v>486</v>
      </c>
      <c r="F362" s="110" t="s">
        <v>108</v>
      </c>
    </row>
    <row r="363" spans="1:12" x14ac:dyDescent="0.3">
      <c r="A363" s="114">
        <v>46064</v>
      </c>
      <c r="B363" t="s">
        <v>55</v>
      </c>
      <c r="C363" s="11">
        <v>1700</v>
      </c>
      <c r="D363" s="11"/>
      <c r="E363" t="s">
        <v>487</v>
      </c>
      <c r="F363" s="110" t="s">
        <v>108</v>
      </c>
    </row>
    <row r="364" spans="1:12" x14ac:dyDescent="0.3">
      <c r="A364" s="114">
        <v>46064</v>
      </c>
      <c r="B364" t="s">
        <v>481</v>
      </c>
      <c r="C364" s="11">
        <v>2540</v>
      </c>
      <c r="D364" s="11"/>
      <c r="E364" t="s">
        <v>488</v>
      </c>
      <c r="F364" s="110" t="s">
        <v>108</v>
      </c>
    </row>
    <row r="365" spans="1:12" x14ac:dyDescent="0.3">
      <c r="A365" s="114">
        <v>46064</v>
      </c>
      <c r="B365" t="s">
        <v>54</v>
      </c>
      <c r="C365" s="11">
        <v>1010</v>
      </c>
      <c r="D365" s="11"/>
      <c r="E365" t="s">
        <v>489</v>
      </c>
      <c r="F365" s="110" t="s">
        <v>108</v>
      </c>
    </row>
    <row r="366" spans="1:12" x14ac:dyDescent="0.3">
      <c r="A366" s="114">
        <v>46064</v>
      </c>
      <c r="B366" t="s">
        <v>222</v>
      </c>
      <c r="C366" s="11">
        <v>4482</v>
      </c>
      <c r="D366" s="11"/>
      <c r="E366" t="s">
        <v>490</v>
      </c>
      <c r="F366" s="110" t="s">
        <v>108</v>
      </c>
    </row>
    <row r="367" spans="1:12" x14ac:dyDescent="0.3">
      <c r="A367" s="114">
        <v>46064</v>
      </c>
      <c r="B367" t="s">
        <v>55</v>
      </c>
      <c r="C367" s="11">
        <v>28000</v>
      </c>
      <c r="D367" s="11"/>
      <c r="E367" t="s">
        <v>491</v>
      </c>
      <c r="F367" s="110" t="s">
        <v>108</v>
      </c>
    </row>
    <row r="368" spans="1:12" x14ac:dyDescent="0.3">
      <c r="A368" s="114">
        <v>46064</v>
      </c>
      <c r="B368" t="s">
        <v>481</v>
      </c>
      <c r="C368" s="11">
        <v>1890</v>
      </c>
      <c r="D368" s="11"/>
      <c r="E368" t="s">
        <v>492</v>
      </c>
      <c r="F368" s="110" t="s">
        <v>108</v>
      </c>
    </row>
    <row r="369" spans="1:6" x14ac:dyDescent="0.3">
      <c r="A369" s="114">
        <v>46064</v>
      </c>
      <c r="B369" t="s">
        <v>220</v>
      </c>
      <c r="C369" s="11"/>
      <c r="D369" s="11">
        <v>40000</v>
      </c>
      <c r="E369" t="s">
        <v>493</v>
      </c>
      <c r="F369" s="110" t="s">
        <v>108</v>
      </c>
    </row>
    <row r="370" spans="1:6" x14ac:dyDescent="0.3">
      <c r="A370" s="114">
        <v>46064</v>
      </c>
      <c r="B370" t="s">
        <v>9</v>
      </c>
      <c r="C370" s="11"/>
      <c r="D370" s="11">
        <v>95000</v>
      </c>
      <c r="E370" t="s">
        <v>494</v>
      </c>
      <c r="F370" s="110" t="s">
        <v>108</v>
      </c>
    </row>
    <row r="371" spans="1:6" x14ac:dyDescent="0.3">
      <c r="A371" s="114">
        <v>46064</v>
      </c>
      <c r="B371" t="s">
        <v>55</v>
      </c>
      <c r="C371" s="11">
        <v>40000</v>
      </c>
      <c r="D371" s="11"/>
      <c r="E371" t="s">
        <v>495</v>
      </c>
      <c r="F371" s="110" t="s">
        <v>108</v>
      </c>
    </row>
    <row r="372" spans="1:6" x14ac:dyDescent="0.3">
      <c r="A372" s="114">
        <v>46064</v>
      </c>
      <c r="B372" t="s">
        <v>258</v>
      </c>
      <c r="C372" s="11">
        <v>150000</v>
      </c>
      <c r="D372" s="11"/>
      <c r="E372" t="s">
        <v>496</v>
      </c>
      <c r="F372" s="110" t="s">
        <v>108</v>
      </c>
    </row>
    <row r="373" spans="1:6" x14ac:dyDescent="0.3">
      <c r="A373" s="114">
        <v>46064</v>
      </c>
      <c r="B373" t="s">
        <v>165</v>
      </c>
      <c r="C373" s="11">
        <v>60000</v>
      </c>
      <c r="D373" s="11"/>
      <c r="E373" t="s">
        <v>497</v>
      </c>
      <c r="F373" s="110" t="s">
        <v>108</v>
      </c>
    </row>
    <row r="374" spans="1:6" x14ac:dyDescent="0.3">
      <c r="A374" s="38">
        <v>46064</v>
      </c>
      <c r="B374" t="s">
        <v>210</v>
      </c>
      <c r="C374" s="95">
        <f>800+2060</f>
        <v>2860</v>
      </c>
      <c r="D374" s="95"/>
      <c r="F374" s="110" t="s">
        <v>108</v>
      </c>
    </row>
    <row r="375" spans="1:6" x14ac:dyDescent="0.3">
      <c r="A375" s="38">
        <v>46065</v>
      </c>
      <c r="B375" t="s">
        <v>54</v>
      </c>
      <c r="C375" s="95">
        <v>5000</v>
      </c>
      <c r="D375" s="95"/>
      <c r="E375" t="s">
        <v>499</v>
      </c>
      <c r="F375" s="110" t="s">
        <v>108</v>
      </c>
    </row>
    <row r="376" spans="1:6" x14ac:dyDescent="0.3">
      <c r="A376" s="38">
        <v>46065</v>
      </c>
      <c r="B376" t="s">
        <v>222</v>
      </c>
      <c r="C376" s="11">
        <v>4900</v>
      </c>
      <c r="D376" s="11"/>
      <c r="E376" t="s">
        <v>500</v>
      </c>
      <c r="F376" s="110" t="s">
        <v>108</v>
      </c>
    </row>
    <row r="377" spans="1:6" x14ac:dyDescent="0.3">
      <c r="A377" s="38">
        <v>46065</v>
      </c>
      <c r="B377" t="s">
        <v>481</v>
      </c>
      <c r="C377" s="11">
        <v>1000</v>
      </c>
      <c r="D377" s="11"/>
      <c r="E377" t="s">
        <v>501</v>
      </c>
      <c r="F377" s="110" t="s">
        <v>108</v>
      </c>
    </row>
    <row r="378" spans="1:6" x14ac:dyDescent="0.3">
      <c r="A378" s="38">
        <v>46065</v>
      </c>
      <c r="B378" t="s">
        <v>152</v>
      </c>
      <c r="C378" s="11"/>
      <c r="D378" s="11">
        <v>155000</v>
      </c>
      <c r="E378" t="s">
        <v>109</v>
      </c>
      <c r="F378" s="110" t="s">
        <v>108</v>
      </c>
    </row>
    <row r="379" spans="1:6" x14ac:dyDescent="0.3">
      <c r="A379" s="38">
        <v>46065</v>
      </c>
      <c r="B379" t="s">
        <v>335</v>
      </c>
      <c r="C379" s="11"/>
      <c r="D379" s="11">
        <v>150000</v>
      </c>
      <c r="E379" t="s">
        <v>109</v>
      </c>
      <c r="F379" s="110" t="s">
        <v>108</v>
      </c>
    </row>
    <row r="380" spans="1:6" x14ac:dyDescent="0.3">
      <c r="A380" s="38">
        <v>46065</v>
      </c>
      <c r="B380" t="s">
        <v>52</v>
      </c>
      <c r="C380" s="11">
        <f>67000+5000</f>
        <v>72000</v>
      </c>
      <c r="D380" s="11"/>
      <c r="E380" t="s">
        <v>231</v>
      </c>
      <c r="F380" s="110" t="s">
        <v>108</v>
      </c>
    </row>
    <row r="381" spans="1:6" x14ac:dyDescent="0.3">
      <c r="A381" s="38">
        <v>46065</v>
      </c>
      <c r="B381" t="s">
        <v>52</v>
      </c>
      <c r="C381" s="11">
        <v>95500</v>
      </c>
      <c r="D381" s="11"/>
      <c r="E381" t="s">
        <v>243</v>
      </c>
      <c r="F381" s="110" t="s">
        <v>108</v>
      </c>
    </row>
    <row r="382" spans="1:6" x14ac:dyDescent="0.3">
      <c r="A382" s="38">
        <v>46065</v>
      </c>
      <c r="B382" t="s">
        <v>52</v>
      </c>
      <c r="C382" s="11">
        <v>80000</v>
      </c>
      <c r="D382" s="11"/>
      <c r="E382" t="s">
        <v>502</v>
      </c>
      <c r="F382" s="110" t="s">
        <v>108</v>
      </c>
    </row>
    <row r="383" spans="1:6" x14ac:dyDescent="0.3">
      <c r="A383" s="38">
        <v>46065</v>
      </c>
      <c r="B383" t="s">
        <v>52</v>
      </c>
      <c r="C383" s="11">
        <v>25000</v>
      </c>
      <c r="D383" s="11"/>
      <c r="E383" t="s">
        <v>301</v>
      </c>
      <c r="F383" s="110" t="s">
        <v>108</v>
      </c>
    </row>
    <row r="384" spans="1:6" x14ac:dyDescent="0.3">
      <c r="A384" s="38">
        <v>46065</v>
      </c>
      <c r="B384" t="s">
        <v>225</v>
      </c>
      <c r="C384" s="11">
        <v>15000</v>
      </c>
      <c r="D384" s="11"/>
      <c r="E384" t="s">
        <v>417</v>
      </c>
      <c r="F384" s="110" t="s">
        <v>108</v>
      </c>
    </row>
    <row r="385" spans="1:6" x14ac:dyDescent="0.3">
      <c r="A385" s="38">
        <v>46065</v>
      </c>
      <c r="B385" t="s">
        <v>225</v>
      </c>
      <c r="C385" s="11">
        <v>50000</v>
      </c>
      <c r="D385" s="11"/>
      <c r="E385" t="s">
        <v>503</v>
      </c>
      <c r="F385" s="110" t="s">
        <v>108</v>
      </c>
    </row>
    <row r="386" spans="1:6" x14ac:dyDescent="0.3">
      <c r="A386" s="38">
        <v>46065</v>
      </c>
      <c r="B386" t="s">
        <v>54</v>
      </c>
      <c r="C386" s="11">
        <v>5000</v>
      </c>
      <c r="D386" s="11"/>
      <c r="E386" t="s">
        <v>406</v>
      </c>
      <c r="F386" s="110" t="s">
        <v>108</v>
      </c>
    </row>
    <row r="387" spans="1:6" x14ac:dyDescent="0.3">
      <c r="A387" s="114">
        <v>46065</v>
      </c>
      <c r="B387" t="s">
        <v>54</v>
      </c>
      <c r="C387" s="11">
        <f>960*2</f>
        <v>1920</v>
      </c>
      <c r="D387" s="11"/>
      <c r="E387" t="s">
        <v>512</v>
      </c>
      <c r="F387" s="110" t="s">
        <v>108</v>
      </c>
    </row>
    <row r="388" spans="1:6" x14ac:dyDescent="0.3">
      <c r="A388" s="38">
        <v>46065</v>
      </c>
      <c r="B388" t="s">
        <v>222</v>
      </c>
      <c r="C388" s="11">
        <v>2000</v>
      </c>
      <c r="D388" s="11"/>
      <c r="E388" t="s">
        <v>504</v>
      </c>
      <c r="F388" s="110" t="s">
        <v>108</v>
      </c>
    </row>
    <row r="389" spans="1:6" x14ac:dyDescent="0.3">
      <c r="A389" s="114">
        <v>46065</v>
      </c>
      <c r="B389" t="s">
        <v>481</v>
      </c>
      <c r="C389" s="11">
        <v>2000</v>
      </c>
      <c r="D389" s="11"/>
      <c r="E389" t="s">
        <v>518</v>
      </c>
      <c r="F389" s="110" t="s">
        <v>108</v>
      </c>
    </row>
    <row r="390" spans="1:6" x14ac:dyDescent="0.3">
      <c r="A390" s="38">
        <v>46065</v>
      </c>
      <c r="B390" t="s">
        <v>55</v>
      </c>
      <c r="C390" s="11">
        <v>1900</v>
      </c>
      <c r="D390" s="11"/>
      <c r="E390" t="s">
        <v>505</v>
      </c>
      <c r="F390" s="110" t="s">
        <v>108</v>
      </c>
    </row>
    <row r="391" spans="1:6" x14ac:dyDescent="0.3">
      <c r="A391" s="38">
        <v>46065</v>
      </c>
      <c r="B391" t="s">
        <v>233</v>
      </c>
      <c r="C391" s="11"/>
      <c r="D391" s="11">
        <v>200000</v>
      </c>
      <c r="E391" t="s">
        <v>506</v>
      </c>
      <c r="F391" s="110" t="s">
        <v>108</v>
      </c>
    </row>
    <row r="392" spans="1:6" x14ac:dyDescent="0.3">
      <c r="A392" s="38">
        <v>46065</v>
      </c>
      <c r="B392" t="s">
        <v>172</v>
      </c>
      <c r="C392" s="11">
        <v>97520</v>
      </c>
      <c r="D392" s="11"/>
      <c r="E392" t="s">
        <v>214</v>
      </c>
      <c r="F392" s="110" t="s">
        <v>108</v>
      </c>
    </row>
    <row r="393" spans="1:6" x14ac:dyDescent="0.3">
      <c r="A393" s="38">
        <v>46065</v>
      </c>
      <c r="B393" t="s">
        <v>55</v>
      </c>
      <c r="C393" s="11">
        <v>1020</v>
      </c>
      <c r="D393" s="11"/>
      <c r="E393" t="s">
        <v>507</v>
      </c>
      <c r="F393" s="110" t="s">
        <v>108</v>
      </c>
    </row>
    <row r="394" spans="1:6" x14ac:dyDescent="0.3">
      <c r="A394" s="38">
        <v>46065</v>
      </c>
      <c r="B394" t="s">
        <v>260</v>
      </c>
      <c r="C394" s="11">
        <v>100270</v>
      </c>
      <c r="D394" s="11"/>
      <c r="E394" t="s">
        <v>508</v>
      </c>
      <c r="F394" s="110" t="s">
        <v>108</v>
      </c>
    </row>
    <row r="395" spans="1:6" x14ac:dyDescent="0.3">
      <c r="A395" s="38">
        <v>46065</v>
      </c>
      <c r="B395" t="s">
        <v>258</v>
      </c>
      <c r="C395" s="11">
        <v>200250</v>
      </c>
      <c r="D395" s="11"/>
      <c r="E395" t="s">
        <v>509</v>
      </c>
      <c r="F395" s="110" t="s">
        <v>108</v>
      </c>
    </row>
    <row r="396" spans="1:6" x14ac:dyDescent="0.3">
      <c r="A396" s="38">
        <v>46065</v>
      </c>
      <c r="B396" t="s">
        <v>175</v>
      </c>
      <c r="C396" s="95"/>
      <c r="D396" s="95">
        <v>500000</v>
      </c>
      <c r="F396" s="110" t="s">
        <v>108</v>
      </c>
    </row>
    <row r="397" spans="1:6" x14ac:dyDescent="0.3">
      <c r="A397" s="38">
        <v>46065</v>
      </c>
      <c r="B397" t="s">
        <v>254</v>
      </c>
      <c r="C397" s="95"/>
      <c r="D397" s="95">
        <v>100000</v>
      </c>
      <c r="E397" t="s">
        <v>109</v>
      </c>
      <c r="F397" s="110" t="s">
        <v>108</v>
      </c>
    </row>
    <row r="398" spans="1:6" x14ac:dyDescent="0.3">
      <c r="A398" s="38">
        <v>46065</v>
      </c>
      <c r="B398" t="s">
        <v>258</v>
      </c>
      <c r="C398" s="95">
        <v>200111</v>
      </c>
      <c r="D398" s="95"/>
      <c r="E398" t="s">
        <v>510</v>
      </c>
      <c r="F398" s="110" t="s">
        <v>108</v>
      </c>
    </row>
    <row r="399" spans="1:6" x14ac:dyDescent="0.3">
      <c r="A399" s="38">
        <v>46065</v>
      </c>
      <c r="B399" t="s">
        <v>225</v>
      </c>
      <c r="C399" s="11">
        <v>25000</v>
      </c>
      <c r="D399" s="11"/>
      <c r="E399" t="s">
        <v>511</v>
      </c>
      <c r="F399" s="110" t="s">
        <v>108</v>
      </c>
    </row>
    <row r="400" spans="1:6" x14ac:dyDescent="0.3">
      <c r="A400" s="38">
        <v>46066</v>
      </c>
      <c r="B400" t="s">
        <v>175</v>
      </c>
      <c r="C400" s="11"/>
      <c r="D400" s="11">
        <v>300000</v>
      </c>
      <c r="E400" t="s">
        <v>514</v>
      </c>
      <c r="F400" s="110" t="s">
        <v>108</v>
      </c>
    </row>
    <row r="401" spans="1:15" x14ac:dyDescent="0.3">
      <c r="A401" s="38">
        <v>46066</v>
      </c>
      <c r="B401" t="s">
        <v>113</v>
      </c>
      <c r="C401" s="11">
        <f>51540+2300</f>
        <v>53840</v>
      </c>
      <c r="D401" s="11"/>
      <c r="E401" t="s">
        <v>515</v>
      </c>
      <c r="F401" s="110" t="s">
        <v>108</v>
      </c>
    </row>
    <row r="402" spans="1:15" x14ac:dyDescent="0.3">
      <c r="A402" s="38">
        <v>46066</v>
      </c>
      <c r="B402" t="s">
        <v>52</v>
      </c>
      <c r="C402" s="11">
        <v>28000</v>
      </c>
      <c r="D402" s="11"/>
      <c r="E402" t="s">
        <v>397</v>
      </c>
      <c r="F402" s="110" t="s">
        <v>108</v>
      </c>
    </row>
    <row r="403" spans="1:15" x14ac:dyDescent="0.3">
      <c r="A403" s="38">
        <v>46066</v>
      </c>
      <c r="B403" t="s">
        <v>52</v>
      </c>
      <c r="C403" s="11">
        <v>165000</v>
      </c>
      <c r="D403" s="11"/>
      <c r="E403" t="s">
        <v>245</v>
      </c>
      <c r="F403" s="110" t="s">
        <v>108</v>
      </c>
    </row>
    <row r="404" spans="1:15" x14ac:dyDescent="0.3">
      <c r="A404" s="38">
        <v>46066</v>
      </c>
      <c r="B404" t="s">
        <v>169</v>
      </c>
      <c r="C404" s="11">
        <v>150000</v>
      </c>
      <c r="D404" s="11"/>
      <c r="E404" t="s">
        <v>516</v>
      </c>
      <c r="F404" s="110" t="s">
        <v>108</v>
      </c>
    </row>
    <row r="405" spans="1:15" x14ac:dyDescent="0.3">
      <c r="A405" s="38">
        <v>46066</v>
      </c>
      <c r="B405" t="s">
        <v>52</v>
      </c>
      <c r="C405" s="11">
        <v>32800</v>
      </c>
      <c r="D405" s="11"/>
      <c r="E405" t="s">
        <v>517</v>
      </c>
      <c r="F405" s="110" t="s">
        <v>108</v>
      </c>
    </row>
    <row r="406" spans="1:15" x14ac:dyDescent="0.3">
      <c r="A406" s="38">
        <v>46066</v>
      </c>
      <c r="B406" t="s">
        <v>258</v>
      </c>
      <c r="C406" s="11">
        <v>3000</v>
      </c>
      <c r="D406" s="11"/>
      <c r="E406" t="s">
        <v>447</v>
      </c>
      <c r="F406" s="110" t="s">
        <v>108</v>
      </c>
    </row>
    <row r="407" spans="1:15" x14ac:dyDescent="0.3">
      <c r="A407" s="38">
        <v>46066</v>
      </c>
      <c r="B407" t="s">
        <v>335</v>
      </c>
      <c r="C407" s="11"/>
      <c r="D407" s="11">
        <v>150000</v>
      </c>
      <c r="F407" s="110" t="s">
        <v>108</v>
      </c>
    </row>
    <row r="408" spans="1:15" x14ac:dyDescent="0.3">
      <c r="A408" s="38">
        <v>46066</v>
      </c>
      <c r="B408" t="s">
        <v>254</v>
      </c>
      <c r="C408" s="11"/>
      <c r="D408" s="11">
        <v>100000</v>
      </c>
      <c r="F408" s="110" t="s">
        <v>108</v>
      </c>
    </row>
    <row r="409" spans="1:15" x14ac:dyDescent="0.3">
      <c r="A409" s="38">
        <v>46066</v>
      </c>
      <c r="C409" s="11"/>
      <c r="D409" s="11"/>
      <c r="F409" s="110" t="s">
        <v>108</v>
      </c>
    </row>
    <row r="410" spans="1:15" x14ac:dyDescent="0.3">
      <c r="A410" s="114">
        <v>46067</v>
      </c>
      <c r="B410" s="121" t="s">
        <v>513</v>
      </c>
      <c r="C410" s="11"/>
      <c r="D410" s="11">
        <v>15855</v>
      </c>
      <c r="F410" s="110" t="s">
        <v>108</v>
      </c>
    </row>
    <row r="411" spans="1:15" x14ac:dyDescent="0.3">
      <c r="A411" s="114">
        <v>46067</v>
      </c>
      <c r="B411" t="s">
        <v>9</v>
      </c>
      <c r="C411" s="11"/>
      <c r="D411" s="11">
        <v>200000</v>
      </c>
      <c r="E411" t="s">
        <v>520</v>
      </c>
      <c r="F411" s="110" t="s">
        <v>108</v>
      </c>
    </row>
    <row r="412" spans="1:15" x14ac:dyDescent="0.3">
      <c r="A412" s="114">
        <v>46067</v>
      </c>
      <c r="B412" t="s">
        <v>54</v>
      </c>
      <c r="C412" s="11">
        <v>2000</v>
      </c>
      <c r="D412" s="11"/>
      <c r="E412" t="s">
        <v>426</v>
      </c>
      <c r="F412" s="110" t="s">
        <v>108</v>
      </c>
    </row>
    <row r="413" spans="1:15" x14ac:dyDescent="0.3">
      <c r="A413" s="114">
        <v>46067</v>
      </c>
      <c r="B413" t="s">
        <v>287</v>
      </c>
      <c r="C413" s="11"/>
      <c r="D413" s="11">
        <v>300000</v>
      </c>
      <c r="E413" t="s">
        <v>521</v>
      </c>
      <c r="F413" s="110" t="s">
        <v>108</v>
      </c>
    </row>
    <row r="414" spans="1:15" x14ac:dyDescent="0.3">
      <c r="A414" s="114">
        <v>46067</v>
      </c>
      <c r="B414" t="s">
        <v>193</v>
      </c>
      <c r="C414" s="11">
        <v>24650</v>
      </c>
      <c r="D414" s="11"/>
      <c r="E414" t="s">
        <v>522</v>
      </c>
      <c r="F414" s="110" t="s">
        <v>108</v>
      </c>
    </row>
    <row r="415" spans="1:15" x14ac:dyDescent="0.3">
      <c r="A415" s="114">
        <v>46067</v>
      </c>
      <c r="B415" t="s">
        <v>258</v>
      </c>
      <c r="C415" s="11">
        <v>300003</v>
      </c>
      <c r="D415" s="11"/>
      <c r="E415" t="s">
        <v>523</v>
      </c>
      <c r="F415" s="110" t="s">
        <v>108</v>
      </c>
      <c r="J415">
        <v>30000</v>
      </c>
      <c r="L415">
        <v>10000</v>
      </c>
      <c r="M415">
        <v>16300</v>
      </c>
      <c r="O415">
        <v>5100</v>
      </c>
    </row>
    <row r="416" spans="1:15" x14ac:dyDescent="0.3">
      <c r="A416" s="114">
        <v>46067</v>
      </c>
      <c r="B416" t="s">
        <v>182</v>
      </c>
      <c r="C416" s="11">
        <v>35000</v>
      </c>
      <c r="D416" s="11"/>
      <c r="E416" t="s">
        <v>146</v>
      </c>
      <c r="F416" s="110" t="s">
        <v>108</v>
      </c>
      <c r="J416">
        <v>119760</v>
      </c>
      <c r="L416">
        <v>3200</v>
      </c>
      <c r="M416">
        <v>12800</v>
      </c>
      <c r="O416">
        <v>12300</v>
      </c>
    </row>
    <row r="417" spans="1:15" x14ac:dyDescent="0.3">
      <c r="A417" s="114">
        <v>46067</v>
      </c>
      <c r="B417" t="s">
        <v>52</v>
      </c>
      <c r="C417" s="11">
        <v>13050</v>
      </c>
      <c r="D417" s="11"/>
      <c r="E417" t="s">
        <v>524</v>
      </c>
      <c r="F417" s="110" t="s">
        <v>108</v>
      </c>
      <c r="J417">
        <v>35000</v>
      </c>
      <c r="L417">
        <v>22800</v>
      </c>
      <c r="M417">
        <v>22650</v>
      </c>
      <c r="O417">
        <v>10810</v>
      </c>
    </row>
    <row r="418" spans="1:15" x14ac:dyDescent="0.3">
      <c r="A418" s="114">
        <v>46067</v>
      </c>
      <c r="B418" t="s">
        <v>64</v>
      </c>
      <c r="C418" s="11">
        <v>110000</v>
      </c>
      <c r="D418" s="11"/>
      <c r="E418" t="s">
        <v>525</v>
      </c>
      <c r="F418" s="110" t="s">
        <v>108</v>
      </c>
      <c r="J418">
        <v>29600</v>
      </c>
      <c r="L418">
        <v>29600</v>
      </c>
      <c r="M418">
        <v>22800</v>
      </c>
      <c r="O418">
        <v>12000</v>
      </c>
    </row>
    <row r="419" spans="1:15" x14ac:dyDescent="0.3">
      <c r="A419" s="114">
        <v>46067</v>
      </c>
      <c r="B419" t="s">
        <v>52</v>
      </c>
      <c r="C419" s="11">
        <v>15970</v>
      </c>
      <c r="D419" s="11"/>
      <c r="E419" t="s">
        <v>526</v>
      </c>
      <c r="F419" s="110" t="s">
        <v>108</v>
      </c>
      <c r="J419">
        <v>46600</v>
      </c>
      <c r="L419">
        <v>46600</v>
      </c>
      <c r="M419">
        <v>15000</v>
      </c>
      <c r="O419">
        <v>11650</v>
      </c>
    </row>
    <row r="420" spans="1:15" x14ac:dyDescent="0.3">
      <c r="A420" s="114">
        <v>46067</v>
      </c>
      <c r="B420" t="s">
        <v>94</v>
      </c>
      <c r="C420" s="11">
        <v>1000</v>
      </c>
      <c r="D420" s="11"/>
      <c r="E420" t="s">
        <v>447</v>
      </c>
      <c r="F420" s="110" t="s">
        <v>108</v>
      </c>
      <c r="J420">
        <v>22800</v>
      </c>
      <c r="L420">
        <v>20800</v>
      </c>
      <c r="M420">
        <v>18450</v>
      </c>
      <c r="O420">
        <v>16300</v>
      </c>
    </row>
    <row r="421" spans="1:15" x14ac:dyDescent="0.3">
      <c r="A421" s="114">
        <v>46067</v>
      </c>
      <c r="B421" t="s">
        <v>481</v>
      </c>
      <c r="C421" s="11">
        <v>3000</v>
      </c>
      <c r="D421" s="11"/>
      <c r="E421" t="s">
        <v>536</v>
      </c>
      <c r="F421" s="110" t="s">
        <v>108</v>
      </c>
      <c r="J421">
        <v>3200</v>
      </c>
      <c r="L421">
        <v>20000</v>
      </c>
      <c r="M421">
        <v>24600</v>
      </c>
      <c r="O421">
        <v>17300</v>
      </c>
    </row>
    <row r="422" spans="1:15" x14ac:dyDescent="0.3">
      <c r="A422" s="114">
        <v>46067</v>
      </c>
      <c r="B422" t="s">
        <v>258</v>
      </c>
      <c r="C422" s="11">
        <v>2000</v>
      </c>
      <c r="D422" s="11"/>
      <c r="E422" t="s">
        <v>447</v>
      </c>
      <c r="F422" s="110" t="s">
        <v>108</v>
      </c>
      <c r="J422">
        <v>11640</v>
      </c>
      <c r="L422">
        <v>80000</v>
      </c>
      <c r="M422">
        <v>15000</v>
      </c>
      <c r="O422">
        <v>17460</v>
      </c>
    </row>
    <row r="423" spans="1:15" x14ac:dyDescent="0.3">
      <c r="A423" s="114">
        <v>46067</v>
      </c>
      <c r="B423" t="s">
        <v>527</v>
      </c>
      <c r="C423" s="11">
        <v>29000</v>
      </c>
      <c r="D423" s="11"/>
      <c r="E423" t="s">
        <v>528</v>
      </c>
      <c r="F423" s="110" t="s">
        <v>108</v>
      </c>
      <c r="J423">
        <v>17500</v>
      </c>
      <c r="L423">
        <v>30000</v>
      </c>
      <c r="M423">
        <v>12000</v>
      </c>
      <c r="O423">
        <v>18450</v>
      </c>
    </row>
    <row r="424" spans="1:15" x14ac:dyDescent="0.3">
      <c r="A424" s="114">
        <v>46067</v>
      </c>
      <c r="B424" t="s">
        <v>55</v>
      </c>
      <c r="C424" s="11">
        <v>2600</v>
      </c>
      <c r="D424" s="11"/>
      <c r="E424" t="s">
        <v>529</v>
      </c>
      <c r="F424" s="110" t="s">
        <v>108</v>
      </c>
      <c r="J424">
        <v>20800</v>
      </c>
      <c r="L424">
        <v>15600</v>
      </c>
      <c r="M424">
        <v>18300</v>
      </c>
      <c r="O424">
        <v>12800</v>
      </c>
    </row>
    <row r="425" spans="1:15" x14ac:dyDescent="0.3">
      <c r="A425" s="114">
        <v>46067</v>
      </c>
      <c r="B425" t="s">
        <v>55</v>
      </c>
      <c r="C425" s="11">
        <v>2500</v>
      </c>
      <c r="D425" s="11"/>
      <c r="E425" t="s">
        <v>530</v>
      </c>
      <c r="F425" s="110" t="s">
        <v>108</v>
      </c>
      <c r="J425">
        <v>15600</v>
      </c>
      <c r="L425">
        <v>15000</v>
      </c>
      <c r="M425">
        <v>20000</v>
      </c>
      <c r="O425">
        <v>24600</v>
      </c>
    </row>
    <row r="426" spans="1:15" x14ac:dyDescent="0.3">
      <c r="A426" s="114">
        <v>46067</v>
      </c>
      <c r="B426" t="s">
        <v>481</v>
      </c>
      <c r="C426" s="11">
        <v>250</v>
      </c>
      <c r="D426" s="11"/>
      <c r="E426" t="s">
        <v>531</v>
      </c>
      <c r="F426" s="110" t="s">
        <v>108</v>
      </c>
      <c r="J426">
        <v>11000</v>
      </c>
      <c r="L426">
        <v>14300</v>
      </c>
      <c r="M426">
        <v>20000</v>
      </c>
      <c r="O426">
        <v>22800</v>
      </c>
    </row>
    <row r="427" spans="1:15" x14ac:dyDescent="0.3">
      <c r="A427" s="114">
        <v>46067</v>
      </c>
      <c r="B427" t="s">
        <v>254</v>
      </c>
      <c r="C427" s="11"/>
      <c r="D427" s="11">
        <v>100000</v>
      </c>
      <c r="F427" s="110" t="s">
        <v>108</v>
      </c>
      <c r="J427">
        <v>17000</v>
      </c>
      <c r="L427">
        <v>16500</v>
      </c>
      <c r="M427">
        <v>38400</v>
      </c>
      <c r="O427">
        <v>20000</v>
      </c>
    </row>
    <row r="428" spans="1:15" x14ac:dyDescent="0.3">
      <c r="A428" s="114">
        <v>46067</v>
      </c>
      <c r="B428" t="s">
        <v>64</v>
      </c>
      <c r="C428" s="11">
        <v>45000</v>
      </c>
      <c r="D428" s="11"/>
      <c r="E428" t="s">
        <v>532</v>
      </c>
      <c r="F428" s="110" t="s">
        <v>108</v>
      </c>
      <c r="J428">
        <v>10000</v>
      </c>
      <c r="L428">
        <v>17500</v>
      </c>
      <c r="M428">
        <v>12300</v>
      </c>
      <c r="O428">
        <v>18300</v>
      </c>
    </row>
    <row r="429" spans="1:15" x14ac:dyDescent="0.3">
      <c r="A429" s="114">
        <v>46067</v>
      </c>
      <c r="B429" t="s">
        <v>94</v>
      </c>
      <c r="C429" s="11">
        <v>200040</v>
      </c>
      <c r="D429" s="11"/>
      <c r="E429" t="s">
        <v>533</v>
      </c>
      <c r="F429" s="110" t="s">
        <v>108</v>
      </c>
      <c r="J429">
        <v>80000</v>
      </c>
      <c r="L429">
        <v>17500</v>
      </c>
      <c r="M429">
        <v>17300</v>
      </c>
      <c r="O429">
        <v>15000</v>
      </c>
    </row>
    <row r="430" spans="1:15" x14ac:dyDescent="0.3">
      <c r="A430" s="114">
        <v>46068</v>
      </c>
      <c r="B430" t="s">
        <v>117</v>
      </c>
      <c r="C430" s="11">
        <v>78000</v>
      </c>
      <c r="D430" s="11"/>
      <c r="E430" t="s">
        <v>61</v>
      </c>
      <c r="F430" s="110" t="s">
        <v>108</v>
      </c>
      <c r="J430">
        <v>20000</v>
      </c>
      <c r="L430">
        <v>17500</v>
      </c>
      <c r="M430">
        <v>5100</v>
      </c>
      <c r="O430">
        <v>11000</v>
      </c>
    </row>
    <row r="431" spans="1:15" x14ac:dyDescent="0.3">
      <c r="A431" s="114">
        <v>46068</v>
      </c>
      <c r="B431" t="s">
        <v>220</v>
      </c>
      <c r="C431" s="11"/>
      <c r="D431" s="11">
        <v>78000</v>
      </c>
      <c r="E431" t="s">
        <v>61</v>
      </c>
      <c r="F431" s="110" t="s">
        <v>108</v>
      </c>
      <c r="L431">
        <v>3300</v>
      </c>
      <c r="M431">
        <v>8350</v>
      </c>
      <c r="O431">
        <v>35000</v>
      </c>
    </row>
    <row r="432" spans="1:15" x14ac:dyDescent="0.3">
      <c r="A432" s="114">
        <v>46068</v>
      </c>
      <c r="B432" t="s">
        <v>113</v>
      </c>
      <c r="C432" s="11">
        <v>7250</v>
      </c>
      <c r="D432" s="11"/>
      <c r="E432" s="1">
        <v>46068</v>
      </c>
      <c r="F432" s="110" t="s">
        <v>108</v>
      </c>
      <c r="L432">
        <v>5830</v>
      </c>
      <c r="M432">
        <v>9850</v>
      </c>
      <c r="O432">
        <v>7000</v>
      </c>
    </row>
    <row r="433" spans="1:15" x14ac:dyDescent="0.3">
      <c r="A433" s="114">
        <v>46068</v>
      </c>
      <c r="B433" t="s">
        <v>220</v>
      </c>
      <c r="C433" s="11"/>
      <c r="D433" s="11">
        <v>7250</v>
      </c>
      <c r="E433" t="s">
        <v>113</v>
      </c>
      <c r="F433" s="110" t="s">
        <v>108</v>
      </c>
      <c r="L433">
        <v>7000</v>
      </c>
      <c r="M433">
        <v>20000</v>
      </c>
      <c r="O433">
        <v>5850</v>
      </c>
    </row>
    <row r="434" spans="1:15" x14ac:dyDescent="0.3">
      <c r="A434" s="114">
        <v>46068</v>
      </c>
      <c r="B434" t="s">
        <v>260</v>
      </c>
      <c r="C434" s="11">
        <v>100500</v>
      </c>
      <c r="D434" s="11"/>
      <c r="E434" t="s">
        <v>534</v>
      </c>
      <c r="F434" s="110" t="s">
        <v>108</v>
      </c>
      <c r="L434">
        <v>5332</v>
      </c>
      <c r="O434">
        <v>3300</v>
      </c>
    </row>
    <row r="435" spans="1:15" x14ac:dyDescent="0.3">
      <c r="A435" s="114">
        <v>46068</v>
      </c>
      <c r="B435" t="s">
        <v>94</v>
      </c>
      <c r="C435" s="95">
        <v>54950</v>
      </c>
      <c r="D435" s="95"/>
      <c r="E435" t="s">
        <v>414</v>
      </c>
      <c r="F435" s="110" t="s">
        <v>108</v>
      </c>
      <c r="L435">
        <v>35000</v>
      </c>
      <c r="O435">
        <v>17500</v>
      </c>
    </row>
    <row r="436" spans="1:15" x14ac:dyDescent="0.3">
      <c r="A436" s="114">
        <v>46068</v>
      </c>
      <c r="B436" t="s">
        <v>210</v>
      </c>
      <c r="C436" s="11"/>
      <c r="D436" s="11">
        <v>54940</v>
      </c>
      <c r="E436" t="s">
        <v>535</v>
      </c>
      <c r="F436" s="110" t="s">
        <v>108</v>
      </c>
      <c r="L436">
        <v>11000</v>
      </c>
      <c r="M436">
        <v>17000</v>
      </c>
      <c r="O436">
        <v>17500</v>
      </c>
    </row>
    <row r="437" spans="1:15" x14ac:dyDescent="0.3">
      <c r="A437" s="114">
        <v>46068</v>
      </c>
      <c r="B437" t="s">
        <v>481</v>
      </c>
      <c r="C437" s="11">
        <v>1300</v>
      </c>
      <c r="D437" s="11"/>
      <c r="E437" t="s">
        <v>539</v>
      </c>
      <c r="F437" s="110" t="s">
        <v>108</v>
      </c>
      <c r="L437">
        <v>17460</v>
      </c>
      <c r="M437">
        <v>22000</v>
      </c>
      <c r="O437">
        <v>17500</v>
      </c>
    </row>
    <row r="438" spans="1:15" x14ac:dyDescent="0.3">
      <c r="A438" s="114">
        <v>46068</v>
      </c>
      <c r="B438" t="s">
        <v>54</v>
      </c>
      <c r="C438" s="11">
        <v>600</v>
      </c>
      <c r="D438" s="11"/>
      <c r="E438" t="s">
        <v>540</v>
      </c>
      <c r="F438" s="110" t="s">
        <v>108</v>
      </c>
      <c r="L438">
        <v>11640</v>
      </c>
      <c r="O438">
        <v>16500</v>
      </c>
    </row>
    <row r="439" spans="1:15" x14ac:dyDescent="0.3">
      <c r="A439" s="114">
        <v>46069</v>
      </c>
      <c r="B439" t="s">
        <v>584</v>
      </c>
      <c r="C439" s="11"/>
      <c r="D439" s="11">
        <v>-30000</v>
      </c>
      <c r="E439" t="s">
        <v>541</v>
      </c>
      <c r="F439" s="110" t="s">
        <v>108</v>
      </c>
      <c r="L439">
        <v>10800</v>
      </c>
      <c r="O439">
        <v>14300</v>
      </c>
    </row>
    <row r="440" spans="1:15" x14ac:dyDescent="0.3">
      <c r="A440" s="114">
        <v>46069</v>
      </c>
      <c r="B440" t="s">
        <v>210</v>
      </c>
      <c r="C440" s="11"/>
      <c r="D440" s="11">
        <v>30000</v>
      </c>
      <c r="E440" t="s">
        <v>541</v>
      </c>
      <c r="F440" s="110" t="s">
        <v>108</v>
      </c>
      <c r="L440">
        <v>17000</v>
      </c>
      <c r="O440">
        <v>15000</v>
      </c>
    </row>
    <row r="441" spans="1:15" x14ac:dyDescent="0.3">
      <c r="A441" s="114">
        <v>46069</v>
      </c>
      <c r="B441" t="s">
        <v>210</v>
      </c>
      <c r="C441" s="11">
        <v>680</v>
      </c>
      <c r="D441" s="11"/>
      <c r="E441" t="s">
        <v>542</v>
      </c>
      <c r="F441" s="110" t="s">
        <v>108</v>
      </c>
      <c r="O441">
        <v>22650</v>
      </c>
    </row>
    <row r="442" spans="1:15" x14ac:dyDescent="0.3">
      <c r="A442" s="114">
        <v>46069</v>
      </c>
      <c r="B442" t="s">
        <v>260</v>
      </c>
      <c r="C442" s="11">
        <v>34000</v>
      </c>
      <c r="D442" s="11"/>
      <c r="E442" t="s">
        <v>414</v>
      </c>
      <c r="F442" s="110" t="s">
        <v>108</v>
      </c>
      <c r="O442">
        <v>20000</v>
      </c>
    </row>
    <row r="443" spans="1:15" x14ac:dyDescent="0.3">
      <c r="A443" s="114">
        <v>46069</v>
      </c>
      <c r="B443" t="s">
        <v>210</v>
      </c>
      <c r="C443" s="11"/>
      <c r="D443" s="11">
        <v>34000</v>
      </c>
      <c r="E443" t="s">
        <v>543</v>
      </c>
      <c r="F443" s="110" t="s">
        <v>108</v>
      </c>
      <c r="O443">
        <v>15600</v>
      </c>
    </row>
    <row r="444" spans="1:15" x14ac:dyDescent="0.3">
      <c r="A444" s="114">
        <v>46069</v>
      </c>
      <c r="B444" t="s">
        <v>527</v>
      </c>
      <c r="C444" s="11">
        <v>52000</v>
      </c>
      <c r="D444" s="11"/>
      <c r="E444" t="s">
        <v>544</v>
      </c>
      <c r="F444" s="110" t="s">
        <v>108</v>
      </c>
      <c r="O444">
        <v>15000</v>
      </c>
    </row>
    <row r="445" spans="1:15" x14ac:dyDescent="0.3">
      <c r="A445" s="114">
        <v>46069</v>
      </c>
      <c r="B445" t="s">
        <v>210</v>
      </c>
      <c r="C445" s="95"/>
      <c r="D445" s="95">
        <v>52000</v>
      </c>
      <c r="E445" t="s">
        <v>545</v>
      </c>
      <c r="F445" s="110" t="s">
        <v>108</v>
      </c>
      <c r="O445">
        <v>400</v>
      </c>
    </row>
    <row r="446" spans="1:15" x14ac:dyDescent="0.3">
      <c r="A446" s="114">
        <v>46069</v>
      </c>
      <c r="B446" t="s">
        <v>55</v>
      </c>
      <c r="C446" s="11">
        <v>3580</v>
      </c>
      <c r="D446" s="11"/>
      <c r="E446" t="s">
        <v>546</v>
      </c>
      <c r="F446" s="110" t="s">
        <v>108</v>
      </c>
      <c r="O446">
        <v>20000</v>
      </c>
    </row>
    <row r="447" spans="1:15" x14ac:dyDescent="0.3">
      <c r="A447" s="114">
        <v>46069</v>
      </c>
      <c r="B447" t="s">
        <v>210</v>
      </c>
      <c r="C447" s="11"/>
      <c r="D447" s="11">
        <v>3580</v>
      </c>
      <c r="E447" t="s">
        <v>547</v>
      </c>
      <c r="F447" s="110" t="s">
        <v>108</v>
      </c>
      <c r="O447">
        <v>30000</v>
      </c>
    </row>
    <row r="448" spans="1:15" x14ac:dyDescent="0.3">
      <c r="A448" s="114">
        <v>46069</v>
      </c>
      <c r="B448" t="s">
        <v>210</v>
      </c>
      <c r="C448" s="11"/>
      <c r="D448" s="11">
        <v>10000</v>
      </c>
      <c r="E448" t="s">
        <v>109</v>
      </c>
      <c r="F448" s="110" t="s">
        <v>108</v>
      </c>
      <c r="O448">
        <v>8350</v>
      </c>
    </row>
    <row r="449" spans="1:16" x14ac:dyDescent="0.3">
      <c r="A449" s="114">
        <v>46069</v>
      </c>
      <c r="B449" t="s">
        <v>258</v>
      </c>
      <c r="C449" s="11">
        <v>1000</v>
      </c>
      <c r="D449" s="11"/>
      <c r="E449" t="s">
        <v>447</v>
      </c>
      <c r="F449" s="110" t="s">
        <v>108</v>
      </c>
      <c r="O449">
        <v>9850</v>
      </c>
      <c r="P449">
        <v>17000</v>
      </c>
    </row>
    <row r="450" spans="1:16" x14ac:dyDescent="0.3">
      <c r="A450" s="114">
        <v>46069</v>
      </c>
      <c r="B450" t="s">
        <v>169</v>
      </c>
      <c r="C450" s="11">
        <v>2000</v>
      </c>
      <c r="D450" s="11"/>
      <c r="E450" t="s">
        <v>447</v>
      </c>
      <c r="F450" s="110" t="s">
        <v>108</v>
      </c>
      <c r="O450">
        <v>80000</v>
      </c>
    </row>
    <row r="451" spans="1:16" x14ac:dyDescent="0.3">
      <c r="A451" s="114">
        <v>46069</v>
      </c>
      <c r="B451" t="s">
        <v>260</v>
      </c>
      <c r="C451" s="11">
        <v>2000</v>
      </c>
      <c r="D451" s="11"/>
      <c r="E451" t="s">
        <v>447</v>
      </c>
      <c r="F451" s="110" t="s">
        <v>108</v>
      </c>
      <c r="O451">
        <v>20000</v>
      </c>
    </row>
    <row r="452" spans="1:16" x14ac:dyDescent="0.3">
      <c r="A452" s="114">
        <v>46069</v>
      </c>
      <c r="B452" t="s">
        <v>54</v>
      </c>
      <c r="C452" s="95">
        <v>200</v>
      </c>
      <c r="D452" s="95"/>
      <c r="E452" t="s">
        <v>271</v>
      </c>
      <c r="F452" s="110" t="s">
        <v>108</v>
      </c>
      <c r="O452">
        <v>20800</v>
      </c>
    </row>
    <row r="453" spans="1:16" x14ac:dyDescent="0.3">
      <c r="A453" s="114">
        <v>46069</v>
      </c>
      <c r="B453" t="s">
        <v>527</v>
      </c>
      <c r="C453" s="11">
        <v>3600</v>
      </c>
      <c r="D453" s="11"/>
      <c r="E453" t="s">
        <v>500</v>
      </c>
      <c r="F453" s="110" t="s">
        <v>108</v>
      </c>
      <c r="O453">
        <v>46600</v>
      </c>
    </row>
    <row r="454" spans="1:16" x14ac:dyDescent="0.3">
      <c r="A454" s="114">
        <v>46069</v>
      </c>
      <c r="B454" t="s">
        <v>55</v>
      </c>
      <c r="C454" s="11">
        <v>1400</v>
      </c>
      <c r="D454" s="11"/>
      <c r="E454" t="s">
        <v>548</v>
      </c>
      <c r="F454" s="110" t="s">
        <v>108</v>
      </c>
      <c r="L454" s="19">
        <v>48600</v>
      </c>
      <c r="N454" s="19">
        <v>27400</v>
      </c>
      <c r="O454">
        <v>29600</v>
      </c>
    </row>
    <row r="455" spans="1:16" x14ac:dyDescent="0.3">
      <c r="A455" s="114">
        <v>46069</v>
      </c>
      <c r="B455" t="s">
        <v>248</v>
      </c>
      <c r="C455" s="11">
        <v>1000</v>
      </c>
      <c r="D455" s="11"/>
      <c r="E455" t="s">
        <v>549</v>
      </c>
      <c r="F455" s="110" t="s">
        <v>108</v>
      </c>
      <c r="L455">
        <v>49200</v>
      </c>
      <c r="N455">
        <v>3400</v>
      </c>
      <c r="O455">
        <v>22800</v>
      </c>
    </row>
    <row r="456" spans="1:16" x14ac:dyDescent="0.3">
      <c r="A456" s="114">
        <v>46069</v>
      </c>
      <c r="B456" t="s">
        <v>298</v>
      </c>
      <c r="C456" s="11"/>
      <c r="D456" s="11">
        <v>150000</v>
      </c>
      <c r="E456" t="s">
        <v>550</v>
      </c>
      <c r="F456" s="110" t="s">
        <v>108</v>
      </c>
      <c r="L456">
        <v>52000</v>
      </c>
      <c r="N456" s="19">
        <v>6200</v>
      </c>
      <c r="O456">
        <v>3200</v>
      </c>
    </row>
    <row r="457" spans="1:16" x14ac:dyDescent="0.3">
      <c r="A457" s="114">
        <v>46069</v>
      </c>
      <c r="B457" t="s">
        <v>258</v>
      </c>
      <c r="C457" s="11">
        <v>250000</v>
      </c>
      <c r="D457" s="11"/>
      <c r="E457" t="s">
        <v>551</v>
      </c>
      <c r="F457" s="110" t="s">
        <v>108</v>
      </c>
      <c r="L457">
        <v>42800</v>
      </c>
      <c r="N457">
        <v>3400</v>
      </c>
      <c r="O457">
        <v>48400</v>
      </c>
    </row>
    <row r="458" spans="1:16" x14ac:dyDescent="0.3">
      <c r="A458" s="114">
        <v>46069</v>
      </c>
      <c r="B458" t="s">
        <v>9</v>
      </c>
      <c r="C458" s="11"/>
      <c r="D458" s="11">
        <v>150000</v>
      </c>
      <c r="E458" t="s">
        <v>109</v>
      </c>
      <c r="F458" s="110" t="s">
        <v>108</v>
      </c>
      <c r="L458">
        <v>25200</v>
      </c>
      <c r="N458" s="19">
        <v>25200</v>
      </c>
      <c r="O458">
        <v>5330</v>
      </c>
    </row>
    <row r="459" spans="1:16" x14ac:dyDescent="0.3">
      <c r="A459" s="114">
        <v>46069</v>
      </c>
      <c r="B459" t="s">
        <v>335</v>
      </c>
      <c r="C459" s="11"/>
      <c r="D459" s="11">
        <v>150000</v>
      </c>
      <c r="E459" t="s">
        <v>109</v>
      </c>
      <c r="F459" s="110" t="s">
        <v>108</v>
      </c>
      <c r="L459">
        <v>37600</v>
      </c>
      <c r="N459" s="19">
        <v>19500</v>
      </c>
      <c r="O459">
        <v>17000</v>
      </c>
    </row>
    <row r="460" spans="1:16" x14ac:dyDescent="0.3">
      <c r="A460" s="114">
        <v>46069</v>
      </c>
      <c r="B460" t="s">
        <v>169</v>
      </c>
      <c r="C460" s="11">
        <v>200046</v>
      </c>
      <c r="D460" s="11"/>
      <c r="E460" t="s">
        <v>552</v>
      </c>
      <c r="F460" s="110" t="s">
        <v>108</v>
      </c>
      <c r="L460">
        <v>23000</v>
      </c>
      <c r="N460" s="19">
        <v>20300</v>
      </c>
    </row>
    <row r="461" spans="1:16" x14ac:dyDescent="0.3">
      <c r="A461" s="114">
        <v>46069</v>
      </c>
      <c r="B461" t="s">
        <v>453</v>
      </c>
      <c r="C461" s="11"/>
      <c r="D461" s="11">
        <v>276500</v>
      </c>
      <c r="E461" t="s">
        <v>109</v>
      </c>
      <c r="F461" s="110" t="s">
        <v>108</v>
      </c>
      <c r="L461">
        <v>6200</v>
      </c>
      <c r="N461" s="19">
        <v>21000</v>
      </c>
    </row>
    <row r="462" spans="1:16" x14ac:dyDescent="0.3">
      <c r="A462" s="114">
        <v>46069</v>
      </c>
      <c r="B462" t="s">
        <v>438</v>
      </c>
      <c r="C462" s="11"/>
      <c r="D462" s="11">
        <v>136000</v>
      </c>
      <c r="E462" t="s">
        <v>109</v>
      </c>
      <c r="F462" s="110" t="s">
        <v>108</v>
      </c>
      <c r="L462">
        <v>3400</v>
      </c>
      <c r="N462" s="19">
        <v>40000</v>
      </c>
    </row>
    <row r="463" spans="1:16" x14ac:dyDescent="0.3">
      <c r="A463" s="114">
        <v>46069</v>
      </c>
      <c r="B463" t="s">
        <v>220</v>
      </c>
      <c r="C463" s="11"/>
      <c r="D463" s="11"/>
      <c r="E463" t="s">
        <v>553</v>
      </c>
      <c r="F463" s="110" t="s">
        <v>108</v>
      </c>
      <c r="L463">
        <v>19800</v>
      </c>
      <c r="N463" s="19">
        <v>3000</v>
      </c>
    </row>
    <row r="464" spans="1:16" x14ac:dyDescent="0.3">
      <c r="A464" s="114">
        <v>46070</v>
      </c>
      <c r="B464" t="s">
        <v>225</v>
      </c>
      <c r="C464" s="11">
        <v>50000</v>
      </c>
      <c r="D464" s="11"/>
      <c r="E464" t="s">
        <v>503</v>
      </c>
      <c r="F464" s="110" t="s">
        <v>108</v>
      </c>
      <c r="L464">
        <v>3400</v>
      </c>
      <c r="N464" s="19">
        <v>20600</v>
      </c>
    </row>
    <row r="465" spans="1:14" x14ac:dyDescent="0.3">
      <c r="A465" s="114">
        <v>46070</v>
      </c>
      <c r="B465" t="s">
        <v>260</v>
      </c>
      <c r="C465" s="11">
        <v>136000</v>
      </c>
      <c r="D465" s="11"/>
      <c r="E465" t="s">
        <v>554</v>
      </c>
      <c r="F465" s="110" t="s">
        <v>108</v>
      </c>
      <c r="L465">
        <v>31150</v>
      </c>
      <c r="N465" s="19">
        <v>12750</v>
      </c>
    </row>
    <row r="466" spans="1:14" x14ac:dyDescent="0.3">
      <c r="A466" s="114">
        <v>46070</v>
      </c>
      <c r="B466" t="s">
        <v>54</v>
      </c>
      <c r="C466" s="11">
        <v>2000</v>
      </c>
      <c r="D466" s="11"/>
      <c r="E466" t="s">
        <v>555</v>
      </c>
      <c r="F466" s="110" t="s">
        <v>108</v>
      </c>
      <c r="L466">
        <v>12750</v>
      </c>
      <c r="N466" s="19">
        <v>14400</v>
      </c>
    </row>
    <row r="467" spans="1:14" x14ac:dyDescent="0.3">
      <c r="A467" s="114">
        <v>46070</v>
      </c>
      <c r="B467" t="s">
        <v>94</v>
      </c>
      <c r="C467" s="11">
        <v>41000</v>
      </c>
      <c r="D467" s="11"/>
      <c r="E467" t="s">
        <v>414</v>
      </c>
      <c r="F467" s="110" t="s">
        <v>108</v>
      </c>
      <c r="L467">
        <v>27400</v>
      </c>
      <c r="N467" s="19">
        <v>9000</v>
      </c>
    </row>
    <row r="468" spans="1:14" x14ac:dyDescent="0.3">
      <c r="A468" s="114">
        <v>46070</v>
      </c>
      <c r="B468" t="s">
        <v>225</v>
      </c>
      <c r="C468" s="11">
        <v>10000</v>
      </c>
      <c r="D468" s="11"/>
      <c r="E468" t="s">
        <v>556</v>
      </c>
      <c r="F468" s="110" t="s">
        <v>108</v>
      </c>
      <c r="L468">
        <v>15700</v>
      </c>
      <c r="N468" s="19">
        <v>17400</v>
      </c>
    </row>
    <row r="469" spans="1:14" x14ac:dyDescent="0.3">
      <c r="A469" s="114">
        <v>46070</v>
      </c>
      <c r="B469" t="s">
        <v>149</v>
      </c>
      <c r="C469" s="11">
        <v>20380</v>
      </c>
      <c r="D469" s="11"/>
      <c r="E469" t="s">
        <v>214</v>
      </c>
      <c r="F469" s="110" t="s">
        <v>108</v>
      </c>
      <c r="L469">
        <v>12550</v>
      </c>
      <c r="N469" s="19">
        <v>19782</v>
      </c>
    </row>
    <row r="470" spans="1:14" x14ac:dyDescent="0.3">
      <c r="A470" s="114">
        <v>46070</v>
      </c>
      <c r="B470" t="s">
        <v>193</v>
      </c>
      <c r="C470" s="11">
        <v>21750</v>
      </c>
      <c r="D470" s="11"/>
      <c r="E470" t="s">
        <v>522</v>
      </c>
      <c r="F470" s="110" t="s">
        <v>108</v>
      </c>
      <c r="L470">
        <v>14800</v>
      </c>
      <c r="N470" s="19">
        <v>23000</v>
      </c>
    </row>
    <row r="471" spans="1:14" x14ac:dyDescent="0.3">
      <c r="A471" s="114">
        <v>46070</v>
      </c>
      <c r="B471" t="s">
        <v>335</v>
      </c>
      <c r="C471" s="11"/>
      <c r="D471" s="11">
        <v>150000</v>
      </c>
      <c r="E471" t="s">
        <v>558</v>
      </c>
      <c r="F471" s="110" t="s">
        <v>108</v>
      </c>
      <c r="L471">
        <v>14350</v>
      </c>
      <c r="N471" s="19">
        <v>15700</v>
      </c>
    </row>
    <row r="472" spans="1:14" x14ac:dyDescent="0.3">
      <c r="A472" s="114">
        <v>46070</v>
      </c>
      <c r="B472" t="s">
        <v>258</v>
      </c>
      <c r="C472" s="11">
        <v>200775</v>
      </c>
      <c r="D472" s="11"/>
      <c r="E472" t="s">
        <v>557</v>
      </c>
      <c r="F472" s="110" t="s">
        <v>108</v>
      </c>
      <c r="L472">
        <v>40000</v>
      </c>
      <c r="N472" s="19">
        <v>14800</v>
      </c>
    </row>
    <row r="473" spans="1:14" x14ac:dyDescent="0.3">
      <c r="A473" s="114">
        <v>46070</v>
      </c>
      <c r="B473" t="s">
        <v>527</v>
      </c>
      <c r="C473" s="11">
        <v>5000</v>
      </c>
      <c r="D473" s="11"/>
      <c r="E473" t="s">
        <v>500</v>
      </c>
      <c r="F473" s="110" t="s">
        <v>108</v>
      </c>
      <c r="L473">
        <v>17400</v>
      </c>
      <c r="N473" s="19">
        <v>12550</v>
      </c>
    </row>
    <row r="474" spans="1:14" x14ac:dyDescent="0.3">
      <c r="A474" s="114">
        <v>46070</v>
      </c>
      <c r="B474" t="s">
        <v>54</v>
      </c>
      <c r="C474" s="11">
        <v>200</v>
      </c>
      <c r="D474" s="11"/>
      <c r="E474" t="s">
        <v>247</v>
      </c>
      <c r="F474" s="110" t="s">
        <v>108</v>
      </c>
      <c r="L474">
        <v>19500</v>
      </c>
      <c r="N474" s="19">
        <v>31150</v>
      </c>
    </row>
    <row r="475" spans="1:14" x14ac:dyDescent="0.3">
      <c r="A475" s="114">
        <v>46070</v>
      </c>
      <c r="B475" t="s">
        <v>55</v>
      </c>
      <c r="C475" s="11">
        <v>2870</v>
      </c>
      <c r="D475" s="11"/>
      <c r="E475" t="s">
        <v>559</v>
      </c>
      <c r="F475" s="110" t="s">
        <v>108</v>
      </c>
      <c r="L475">
        <v>3000</v>
      </c>
      <c r="N475" s="19">
        <v>27500</v>
      </c>
    </row>
    <row r="476" spans="1:14" x14ac:dyDescent="0.3">
      <c r="A476" s="114">
        <v>46071</v>
      </c>
      <c r="B476" t="s">
        <v>54</v>
      </c>
      <c r="C476" s="11">
        <v>3000</v>
      </c>
      <c r="D476" s="11"/>
      <c r="E476" t="s">
        <v>560</v>
      </c>
      <c r="F476" s="110" t="s">
        <v>108</v>
      </c>
      <c r="L476">
        <v>1000</v>
      </c>
      <c r="N476" s="19">
        <v>20000</v>
      </c>
    </row>
    <row r="477" spans="1:14" x14ac:dyDescent="0.3">
      <c r="A477" s="114">
        <v>46071</v>
      </c>
      <c r="B477" t="s">
        <v>54</v>
      </c>
      <c r="C477" s="11">
        <v>2800</v>
      </c>
      <c r="D477" s="11"/>
      <c r="E477" t="s">
        <v>561</v>
      </c>
      <c r="F477" s="110" t="s">
        <v>108</v>
      </c>
      <c r="L477">
        <v>9000</v>
      </c>
      <c r="N477" s="19">
        <v>52000</v>
      </c>
    </row>
    <row r="478" spans="1:14" x14ac:dyDescent="0.3">
      <c r="A478" s="114">
        <v>46071</v>
      </c>
      <c r="B478" t="s">
        <v>527</v>
      </c>
      <c r="C478" s="11">
        <v>4500</v>
      </c>
      <c r="D478" s="11"/>
      <c r="E478" t="s">
        <v>500</v>
      </c>
      <c r="F478" s="110" t="s">
        <v>108</v>
      </c>
      <c r="L478">
        <v>21000</v>
      </c>
      <c r="N478" s="19">
        <v>49200</v>
      </c>
    </row>
    <row r="479" spans="1:14" x14ac:dyDescent="0.3">
      <c r="A479" s="114">
        <v>46071</v>
      </c>
      <c r="B479" t="s">
        <v>220</v>
      </c>
      <c r="C479" s="11"/>
      <c r="D479" s="11">
        <v>25000</v>
      </c>
      <c r="E479" t="s">
        <v>562</v>
      </c>
      <c r="F479" s="110" t="s">
        <v>108</v>
      </c>
      <c r="L479">
        <v>20300</v>
      </c>
      <c r="N479" s="19">
        <v>37600</v>
      </c>
    </row>
    <row r="480" spans="1:14" x14ac:dyDescent="0.3">
      <c r="A480" s="114">
        <v>46071</v>
      </c>
      <c r="B480" t="s">
        <v>55</v>
      </c>
      <c r="C480" s="11">
        <v>25000</v>
      </c>
      <c r="D480" s="11"/>
      <c r="E480" t="s">
        <v>562</v>
      </c>
      <c r="F480" s="110" t="s">
        <v>108</v>
      </c>
      <c r="L480">
        <v>27500</v>
      </c>
      <c r="N480" s="19">
        <v>48600</v>
      </c>
    </row>
    <row r="481" spans="1:14" x14ac:dyDescent="0.3">
      <c r="A481" s="114">
        <v>46071</v>
      </c>
      <c r="B481" t="s">
        <v>220</v>
      </c>
      <c r="C481" s="11"/>
      <c r="D481" s="11">
        <v>408000</v>
      </c>
      <c r="E481" t="s">
        <v>563</v>
      </c>
      <c r="F481" s="110" t="s">
        <v>108</v>
      </c>
      <c r="L481">
        <v>20000</v>
      </c>
      <c r="N481" s="19">
        <v>42800</v>
      </c>
    </row>
    <row r="482" spans="1:14" x14ac:dyDescent="0.3">
      <c r="A482" s="114">
        <v>46071</v>
      </c>
      <c r="B482" t="s">
        <v>189</v>
      </c>
      <c r="C482" s="95">
        <v>351000</v>
      </c>
      <c r="D482" s="95"/>
      <c r="E482" t="s">
        <v>564</v>
      </c>
      <c r="F482" s="110" t="s">
        <v>108</v>
      </c>
      <c r="L482">
        <v>20600</v>
      </c>
    </row>
    <row r="483" spans="1:14" x14ac:dyDescent="0.3">
      <c r="A483" s="114">
        <v>46071</v>
      </c>
      <c r="B483" t="s">
        <v>196</v>
      </c>
      <c r="C483" s="11">
        <v>10000</v>
      </c>
      <c r="D483" s="11"/>
      <c r="E483" t="s">
        <v>565</v>
      </c>
      <c r="F483" s="110" t="s">
        <v>108</v>
      </c>
      <c r="L483">
        <v>3400</v>
      </c>
    </row>
    <row r="484" spans="1:14" x14ac:dyDescent="0.3">
      <c r="A484" s="114">
        <v>46071</v>
      </c>
      <c r="B484" t="s">
        <v>225</v>
      </c>
      <c r="C484" s="11">
        <v>2000</v>
      </c>
      <c r="D484" s="11"/>
      <c r="E484" t="s">
        <v>566</v>
      </c>
      <c r="F484" s="110" t="s">
        <v>108</v>
      </c>
    </row>
    <row r="485" spans="1:14" x14ac:dyDescent="0.3">
      <c r="A485" s="114">
        <v>46071</v>
      </c>
      <c r="B485" t="s">
        <v>260</v>
      </c>
      <c r="C485" s="11">
        <v>100130</v>
      </c>
      <c r="D485" s="11"/>
      <c r="E485" t="s">
        <v>567</v>
      </c>
      <c r="F485" s="110" t="s">
        <v>108</v>
      </c>
    </row>
    <row r="486" spans="1:14" x14ac:dyDescent="0.3">
      <c r="A486" s="114">
        <v>46071</v>
      </c>
      <c r="B486" t="s">
        <v>481</v>
      </c>
      <c r="C486" s="11">
        <v>500</v>
      </c>
      <c r="D486" s="11"/>
      <c r="E486" t="s">
        <v>568</v>
      </c>
      <c r="F486" s="110" t="s">
        <v>108</v>
      </c>
    </row>
    <row r="487" spans="1:14" x14ac:dyDescent="0.3">
      <c r="A487" s="114">
        <v>46071</v>
      </c>
      <c r="B487" t="s">
        <v>54</v>
      </c>
      <c r="C487" s="11">
        <v>200</v>
      </c>
      <c r="D487" s="11"/>
      <c r="E487" t="s">
        <v>247</v>
      </c>
      <c r="F487" s="110" t="s">
        <v>108</v>
      </c>
    </row>
    <row r="488" spans="1:14" x14ac:dyDescent="0.3">
      <c r="A488" s="114">
        <v>46072</v>
      </c>
      <c r="B488" t="s">
        <v>54</v>
      </c>
      <c r="C488" s="11">
        <v>2400</v>
      </c>
      <c r="D488" s="11"/>
      <c r="E488" t="s">
        <v>569</v>
      </c>
      <c r="F488" s="110" t="s">
        <v>108</v>
      </c>
    </row>
    <row r="489" spans="1:14" x14ac:dyDescent="0.3">
      <c r="A489" s="38">
        <v>46072</v>
      </c>
      <c r="B489" t="s">
        <v>210</v>
      </c>
      <c r="C489" s="95">
        <v>1400</v>
      </c>
      <c r="D489" s="95"/>
      <c r="F489" s="110" t="s">
        <v>108</v>
      </c>
    </row>
    <row r="490" spans="1:14" x14ac:dyDescent="0.3">
      <c r="A490" s="114">
        <v>46072</v>
      </c>
      <c r="B490" t="s">
        <v>220</v>
      </c>
      <c r="C490" s="11"/>
      <c r="D490" s="11">
        <v>200000</v>
      </c>
      <c r="E490" t="s">
        <v>570</v>
      </c>
      <c r="F490" s="110" t="s">
        <v>108</v>
      </c>
    </row>
    <row r="491" spans="1:14" x14ac:dyDescent="0.3">
      <c r="A491" s="38">
        <v>46072</v>
      </c>
      <c r="B491" t="s">
        <v>169</v>
      </c>
      <c r="C491" s="11">
        <v>150000</v>
      </c>
      <c r="D491" s="11"/>
      <c r="E491" t="s">
        <v>571</v>
      </c>
      <c r="F491" s="110" t="s">
        <v>108</v>
      </c>
    </row>
    <row r="492" spans="1:14" x14ac:dyDescent="0.3">
      <c r="A492" s="114">
        <v>46072</v>
      </c>
      <c r="B492" t="s">
        <v>94</v>
      </c>
      <c r="C492" s="11">
        <v>35500</v>
      </c>
      <c r="D492" s="11"/>
      <c r="E492" t="s">
        <v>414</v>
      </c>
      <c r="F492" s="110" t="s">
        <v>108</v>
      </c>
    </row>
    <row r="493" spans="1:14" x14ac:dyDescent="0.3">
      <c r="A493" s="38">
        <v>46072</v>
      </c>
      <c r="B493" t="s">
        <v>220</v>
      </c>
      <c r="C493" s="11"/>
      <c r="D493" s="11">
        <v>50000</v>
      </c>
      <c r="E493" t="s">
        <v>572</v>
      </c>
      <c r="F493" s="110" t="s">
        <v>108</v>
      </c>
    </row>
    <row r="494" spans="1:14" x14ac:dyDescent="0.3">
      <c r="A494" s="114">
        <v>46072</v>
      </c>
      <c r="B494" t="s">
        <v>55</v>
      </c>
      <c r="C494" s="11">
        <v>21450</v>
      </c>
      <c r="D494" s="11"/>
      <c r="E494" t="s">
        <v>573</v>
      </c>
      <c r="F494" s="110" t="s">
        <v>108</v>
      </c>
    </row>
    <row r="495" spans="1:14" x14ac:dyDescent="0.3">
      <c r="A495" s="38">
        <v>46072</v>
      </c>
      <c r="B495" t="s">
        <v>55</v>
      </c>
      <c r="C495" s="11">
        <v>5800</v>
      </c>
      <c r="D495" s="11"/>
      <c r="E495" t="s">
        <v>574</v>
      </c>
      <c r="F495" s="110" t="s">
        <v>108</v>
      </c>
    </row>
    <row r="496" spans="1:14" x14ac:dyDescent="0.3">
      <c r="A496" s="114">
        <v>46072</v>
      </c>
      <c r="B496" t="s">
        <v>55</v>
      </c>
      <c r="C496" s="11">
        <v>5530</v>
      </c>
      <c r="D496" s="11"/>
      <c r="E496" t="s">
        <v>575</v>
      </c>
      <c r="F496" s="110" t="s">
        <v>108</v>
      </c>
    </row>
    <row r="497" spans="1:6" x14ac:dyDescent="0.3">
      <c r="A497" s="38">
        <v>46072</v>
      </c>
      <c r="B497" t="s">
        <v>220</v>
      </c>
      <c r="C497" s="11"/>
      <c r="D497" s="11">
        <v>68000</v>
      </c>
      <c r="E497" t="s">
        <v>576</v>
      </c>
      <c r="F497" s="110" t="s">
        <v>108</v>
      </c>
    </row>
    <row r="498" spans="1:6" x14ac:dyDescent="0.3">
      <c r="A498" s="114">
        <v>46072</v>
      </c>
      <c r="B498" t="s">
        <v>577</v>
      </c>
      <c r="C498" s="11">
        <v>28750</v>
      </c>
      <c r="D498" s="11"/>
      <c r="E498" t="s">
        <v>578</v>
      </c>
      <c r="F498" s="110" t="s">
        <v>108</v>
      </c>
    </row>
    <row r="499" spans="1:6" x14ac:dyDescent="0.3">
      <c r="A499" s="38">
        <v>46072</v>
      </c>
      <c r="B499" t="s">
        <v>55</v>
      </c>
      <c r="C499" s="11">
        <v>1000</v>
      </c>
      <c r="D499" s="11"/>
      <c r="E499" t="s">
        <v>579</v>
      </c>
      <c r="F499" s="110" t="s">
        <v>108</v>
      </c>
    </row>
    <row r="500" spans="1:6" x14ac:dyDescent="0.3">
      <c r="A500" s="114">
        <v>46072</v>
      </c>
      <c r="B500" t="s">
        <v>580</v>
      </c>
      <c r="C500" s="11">
        <v>72500</v>
      </c>
      <c r="D500" s="11"/>
      <c r="E500" t="s">
        <v>64</v>
      </c>
      <c r="F500" s="110" t="s">
        <v>108</v>
      </c>
    </row>
    <row r="501" spans="1:6" x14ac:dyDescent="0.3">
      <c r="A501" s="38">
        <v>46072</v>
      </c>
      <c r="B501" t="s">
        <v>220</v>
      </c>
      <c r="C501" s="11"/>
      <c r="D501" s="11">
        <v>50000</v>
      </c>
      <c r="E501" t="s">
        <v>581</v>
      </c>
      <c r="F501" s="110" t="s">
        <v>108</v>
      </c>
    </row>
    <row r="502" spans="1:6" x14ac:dyDescent="0.3">
      <c r="A502" s="38">
        <v>46076</v>
      </c>
      <c r="B502" t="s">
        <v>220</v>
      </c>
      <c r="C502" s="95"/>
      <c r="D502" s="95">
        <v>6825308</v>
      </c>
      <c r="F502" s="110" t="s">
        <v>108</v>
      </c>
    </row>
    <row r="503" spans="1:6" x14ac:dyDescent="0.3">
      <c r="A503" s="114">
        <v>46076</v>
      </c>
      <c r="B503" t="s">
        <v>210</v>
      </c>
      <c r="C503" s="11">
        <v>658663</v>
      </c>
      <c r="D503" s="11"/>
      <c r="F503" s="110" t="s">
        <v>108</v>
      </c>
    </row>
    <row r="504" spans="1:6" x14ac:dyDescent="0.3">
      <c r="A504" s="114">
        <v>46076</v>
      </c>
      <c r="B504" t="s">
        <v>222</v>
      </c>
      <c r="C504" s="11"/>
      <c r="D504" s="11">
        <v>783072</v>
      </c>
      <c r="F504" s="110" t="s">
        <v>108</v>
      </c>
    </row>
    <row r="505" spans="1:6" x14ac:dyDescent="0.3">
      <c r="A505" s="38">
        <v>46075</v>
      </c>
      <c r="B505" t="s">
        <v>586</v>
      </c>
      <c r="C505" s="11">
        <v>40000</v>
      </c>
      <c r="D505" s="95"/>
      <c r="E505" t="s">
        <v>592</v>
      </c>
      <c r="F505" s="110" t="s">
        <v>108</v>
      </c>
    </row>
    <row r="506" spans="1:6" x14ac:dyDescent="0.3">
      <c r="A506" s="38">
        <v>46078</v>
      </c>
      <c r="B506" t="s">
        <v>586</v>
      </c>
      <c r="C506" s="11">
        <v>16630</v>
      </c>
      <c r="D506" s="11"/>
      <c r="E506" t="s">
        <v>591</v>
      </c>
      <c r="F506" s="110" t="s">
        <v>108</v>
      </c>
    </row>
    <row r="507" spans="1:6" x14ac:dyDescent="0.3">
      <c r="A507" s="38">
        <v>46079</v>
      </c>
      <c r="B507" t="s">
        <v>586</v>
      </c>
      <c r="C507" s="11">
        <v>10000</v>
      </c>
      <c r="D507" s="11"/>
      <c r="E507" t="s">
        <v>589</v>
      </c>
      <c r="F507" s="110" t="s">
        <v>108</v>
      </c>
    </row>
    <row r="508" spans="1:6" x14ac:dyDescent="0.3">
      <c r="A508" s="38">
        <v>46079</v>
      </c>
      <c r="B508" t="s">
        <v>586</v>
      </c>
      <c r="C508" s="11">
        <v>15000</v>
      </c>
      <c r="D508" s="11"/>
      <c r="E508" t="s">
        <v>503</v>
      </c>
      <c r="F508" s="110" t="s">
        <v>108</v>
      </c>
    </row>
    <row r="509" spans="1:6" x14ac:dyDescent="0.3">
      <c r="A509" s="38">
        <v>46079</v>
      </c>
      <c r="B509" t="s">
        <v>586</v>
      </c>
      <c r="C509" s="11">
        <v>16000</v>
      </c>
      <c r="D509" s="11"/>
      <c r="E509" t="s">
        <v>588</v>
      </c>
      <c r="F509" s="110" t="s">
        <v>108</v>
      </c>
    </row>
    <row r="510" spans="1:6" x14ac:dyDescent="0.3">
      <c r="A510" s="38">
        <v>46079</v>
      </c>
      <c r="B510" t="s">
        <v>586</v>
      </c>
      <c r="C510" s="11">
        <v>50000</v>
      </c>
      <c r="D510" s="11"/>
      <c r="E510" t="s">
        <v>587</v>
      </c>
      <c r="F510" s="110" t="s">
        <v>108</v>
      </c>
    </row>
    <row r="511" spans="1:6" x14ac:dyDescent="0.3">
      <c r="A511" s="114">
        <v>46080</v>
      </c>
      <c r="B511" t="s">
        <v>586</v>
      </c>
      <c r="C511" s="11">
        <v>5000</v>
      </c>
      <c r="D511" s="11"/>
      <c r="E511" t="s">
        <v>585</v>
      </c>
      <c r="F511" s="110" t="s">
        <v>108</v>
      </c>
    </row>
    <row r="512" spans="1:6" x14ac:dyDescent="0.3">
      <c r="A512" s="38">
        <v>46081</v>
      </c>
      <c r="B512" t="s">
        <v>586</v>
      </c>
      <c r="C512" s="11">
        <v>928430</v>
      </c>
      <c r="D512" s="11"/>
      <c r="E512" t="s">
        <v>308</v>
      </c>
      <c r="F512" s="110" t="s">
        <v>108</v>
      </c>
    </row>
    <row r="513" spans="1:6" x14ac:dyDescent="0.3">
      <c r="A513" s="38">
        <v>46081</v>
      </c>
      <c r="B513" t="s">
        <v>586</v>
      </c>
      <c r="C513" s="11">
        <v>65000</v>
      </c>
      <c r="D513" s="11"/>
      <c r="E513" t="s">
        <v>585</v>
      </c>
      <c r="F513" s="110" t="s">
        <v>108</v>
      </c>
    </row>
    <row r="514" spans="1:6" x14ac:dyDescent="0.3">
      <c r="A514" s="38">
        <v>46074</v>
      </c>
      <c r="B514" t="s">
        <v>225</v>
      </c>
      <c r="C514" s="95">
        <v>5000</v>
      </c>
      <c r="D514" s="95"/>
      <c r="E514" t="s">
        <v>589</v>
      </c>
      <c r="F514" s="110" t="s">
        <v>108</v>
      </c>
    </row>
    <row r="515" spans="1:6" x14ac:dyDescent="0.3">
      <c r="A515" s="114">
        <v>46075</v>
      </c>
      <c r="B515" t="s">
        <v>225</v>
      </c>
      <c r="C515" s="11">
        <v>5000</v>
      </c>
      <c r="D515" s="11"/>
      <c r="E515" t="s">
        <v>585</v>
      </c>
      <c r="F515" s="110" t="s">
        <v>108</v>
      </c>
    </row>
    <row r="516" spans="1:6" x14ac:dyDescent="0.3">
      <c r="A516" s="114">
        <v>46075</v>
      </c>
      <c r="B516" t="s">
        <v>225</v>
      </c>
      <c r="C516" s="11">
        <v>1000</v>
      </c>
      <c r="D516" s="11"/>
      <c r="E516" t="s">
        <v>556</v>
      </c>
      <c r="F516" s="110" t="s">
        <v>108</v>
      </c>
    </row>
    <row r="517" spans="1:6" x14ac:dyDescent="0.3">
      <c r="A517" s="38">
        <v>46075</v>
      </c>
      <c r="B517" t="s">
        <v>225</v>
      </c>
      <c r="C517" s="11">
        <v>1000</v>
      </c>
      <c r="D517" s="11"/>
      <c r="E517" t="s">
        <v>441</v>
      </c>
      <c r="F517" s="110" t="s">
        <v>108</v>
      </c>
    </row>
    <row r="518" spans="1:6" x14ac:dyDescent="0.3">
      <c r="A518" s="38">
        <v>46076</v>
      </c>
      <c r="B518" t="s">
        <v>225</v>
      </c>
      <c r="C518" s="11">
        <v>12000</v>
      </c>
      <c r="D518" s="11"/>
      <c r="E518" t="s">
        <v>243</v>
      </c>
      <c r="F518" s="110" t="s">
        <v>108</v>
      </c>
    </row>
    <row r="519" spans="1:6" x14ac:dyDescent="0.3">
      <c r="A519" s="38">
        <v>46078</v>
      </c>
      <c r="B519" t="s">
        <v>225</v>
      </c>
      <c r="C519" s="11">
        <v>1000</v>
      </c>
      <c r="D519" s="11"/>
      <c r="E519" t="s">
        <v>590</v>
      </c>
      <c r="F519" s="110" t="s">
        <v>108</v>
      </c>
    </row>
    <row r="520" spans="1:6" x14ac:dyDescent="0.3">
      <c r="A520" s="38">
        <v>46083</v>
      </c>
      <c r="B520" t="s">
        <v>586</v>
      </c>
      <c r="C520" s="11">
        <v>20000</v>
      </c>
      <c r="D520" s="11"/>
      <c r="E520" t="s">
        <v>417</v>
      </c>
      <c r="F520" s="110" t="s">
        <v>108</v>
      </c>
    </row>
    <row r="521" spans="1:6" x14ac:dyDescent="0.3">
      <c r="A521" s="38">
        <v>46083</v>
      </c>
      <c r="B521" t="s">
        <v>586</v>
      </c>
      <c r="C521" s="11">
        <v>23000</v>
      </c>
      <c r="D521" s="11"/>
      <c r="E521" t="s">
        <v>593</v>
      </c>
      <c r="F521" s="110" t="s">
        <v>108</v>
      </c>
    </row>
    <row r="522" spans="1:6" x14ac:dyDescent="0.3">
      <c r="A522" s="38">
        <v>46083</v>
      </c>
      <c r="B522" t="s">
        <v>586</v>
      </c>
      <c r="C522" s="11">
        <v>2000</v>
      </c>
      <c r="D522" s="11"/>
      <c r="E522" t="s">
        <v>594</v>
      </c>
      <c r="F522" s="110" t="s">
        <v>108</v>
      </c>
    </row>
    <row r="523" spans="1:6" x14ac:dyDescent="0.3">
      <c r="A523" s="38">
        <v>46083</v>
      </c>
      <c r="B523" t="s">
        <v>586</v>
      </c>
      <c r="C523" s="11">
        <v>1350</v>
      </c>
      <c r="D523" s="11"/>
      <c r="F523" s="110" t="s">
        <v>108</v>
      </c>
    </row>
    <row r="524" spans="1:6" x14ac:dyDescent="0.3">
      <c r="A524" s="38">
        <v>46083</v>
      </c>
      <c r="B524" t="s">
        <v>586</v>
      </c>
      <c r="C524" s="11">
        <v>80000</v>
      </c>
      <c r="D524" s="11"/>
      <c r="E524" t="s">
        <v>502</v>
      </c>
      <c r="F524" s="110" t="s">
        <v>108</v>
      </c>
    </row>
    <row r="525" spans="1:6" x14ac:dyDescent="0.3">
      <c r="A525" s="38">
        <v>46082</v>
      </c>
      <c r="B525" t="s">
        <v>586</v>
      </c>
      <c r="C525" s="11">
        <v>75000</v>
      </c>
      <c r="D525" s="11"/>
      <c r="E525" t="s">
        <v>243</v>
      </c>
      <c r="F525" s="110" t="s">
        <v>108</v>
      </c>
    </row>
    <row r="526" spans="1:6" x14ac:dyDescent="0.3">
      <c r="A526" s="38">
        <v>46083</v>
      </c>
      <c r="B526" t="s">
        <v>586</v>
      </c>
      <c r="C526" s="11">
        <v>35000</v>
      </c>
      <c r="D526" s="95"/>
      <c r="E526" t="s">
        <v>243</v>
      </c>
      <c r="F526" s="110" t="s">
        <v>108</v>
      </c>
    </row>
    <row r="527" spans="1:6" x14ac:dyDescent="0.3">
      <c r="A527" s="38">
        <v>46083</v>
      </c>
      <c r="B527" t="s">
        <v>586</v>
      </c>
      <c r="C527" s="11">
        <v>13470</v>
      </c>
      <c r="D527" s="11"/>
      <c r="E527" t="s">
        <v>595</v>
      </c>
      <c r="F527" s="110" t="s">
        <v>108</v>
      </c>
    </row>
    <row r="528" spans="1:6" x14ac:dyDescent="0.3">
      <c r="A528" s="114">
        <v>46085</v>
      </c>
      <c r="B528" t="s">
        <v>586</v>
      </c>
      <c r="C528" s="11">
        <v>165000</v>
      </c>
      <c r="D528" s="11"/>
      <c r="E528" t="s">
        <v>597</v>
      </c>
      <c r="F528" s="110" t="s">
        <v>108</v>
      </c>
    </row>
    <row r="529" spans="1:6" x14ac:dyDescent="0.3">
      <c r="A529" s="38">
        <v>46087</v>
      </c>
      <c r="B529" t="s">
        <v>586</v>
      </c>
      <c r="C529" s="95">
        <v>6660</v>
      </c>
      <c r="D529" s="95"/>
      <c r="E529" t="s">
        <v>598</v>
      </c>
      <c r="F529" s="110" t="s">
        <v>108</v>
      </c>
    </row>
    <row r="530" spans="1:6" x14ac:dyDescent="0.3">
      <c r="A530" s="114">
        <v>46090</v>
      </c>
      <c r="B530" t="s">
        <v>586</v>
      </c>
      <c r="C530" s="11">
        <v>50000</v>
      </c>
      <c r="D530" s="11"/>
      <c r="E530" t="s">
        <v>587</v>
      </c>
      <c r="F530" s="110" t="s">
        <v>108</v>
      </c>
    </row>
    <row r="531" spans="1:6" x14ac:dyDescent="0.3">
      <c r="A531" s="114">
        <v>46093</v>
      </c>
      <c r="B531" t="s">
        <v>586</v>
      </c>
      <c r="C531" s="11">
        <v>20000</v>
      </c>
      <c r="D531" s="11"/>
      <c r="E531" t="s">
        <v>599</v>
      </c>
      <c r="F531" s="110" t="s">
        <v>108</v>
      </c>
    </row>
    <row r="532" spans="1:6" x14ac:dyDescent="0.3">
      <c r="A532" s="114">
        <v>46085</v>
      </c>
      <c r="B532" t="s">
        <v>586</v>
      </c>
      <c r="C532" s="11">
        <v>70000</v>
      </c>
      <c r="D532" s="11"/>
      <c r="E532" t="s">
        <v>600</v>
      </c>
      <c r="F532" s="110" t="s">
        <v>108</v>
      </c>
    </row>
    <row r="533" spans="1:6" x14ac:dyDescent="0.3">
      <c r="A533" s="114"/>
      <c r="C533" s="11"/>
      <c r="D533" s="11"/>
      <c r="F533" s="110"/>
    </row>
    <row r="534" spans="1:6" x14ac:dyDescent="0.3">
      <c r="A534" s="114"/>
      <c r="C534" s="11"/>
      <c r="D534" s="11"/>
      <c r="F534" s="110"/>
    </row>
    <row r="535" spans="1:6" x14ac:dyDescent="0.3">
      <c r="A535" s="38"/>
      <c r="C535" s="95"/>
      <c r="D535" s="95"/>
      <c r="F535" s="110"/>
    </row>
    <row r="536" spans="1:6" x14ac:dyDescent="0.3">
      <c r="A536" s="38"/>
      <c r="C536" s="14">
        <f>SUBTOTAL(109,Table14[Debit])</f>
        <v>25988515.203986831</v>
      </c>
      <c r="D536" s="14">
        <f>SUBTOTAL(109,Table14[Credit])</f>
        <v>31270241.203986831</v>
      </c>
      <c r="F536" s="54">
        <f>(Table14[[#Totals],[Credit]]-Table14[[#Totals],[Debit]])</f>
        <v>5281726</v>
      </c>
    </row>
  </sheetData>
  <phoneticPr fontId="4" type="noConversion"/>
  <pageMargins left="0.7" right="0.7" top="0.75" bottom="0.75" header="0.3" footer="0.3"/>
  <pageSetup paperSize="129" orientation="portrait" r:id="rId2"/>
  <drawing r:id="rId3"/>
  <tableParts count="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14-19DB-4B01-8C13-74C417326C5D}">
  <dimension ref="A1:P65"/>
  <sheetViews>
    <sheetView topLeftCell="A3" zoomScale="107" zoomScaleNormal="210" workbookViewId="0">
      <selection activeCell="E22" sqref="E22"/>
    </sheetView>
  </sheetViews>
  <sheetFormatPr defaultRowHeight="14.4" x14ac:dyDescent="0.3"/>
  <cols>
    <col min="1" max="1" width="11.109375" customWidth="1"/>
    <col min="2" max="2" width="15.5546875" customWidth="1"/>
    <col min="3" max="3" width="11.5546875" customWidth="1"/>
    <col min="5" max="5" width="12.33203125" bestFit="1" customWidth="1"/>
    <col min="6" max="6" width="11.33203125" bestFit="1" customWidth="1"/>
    <col min="7" max="7" width="10.33203125" bestFit="1" customWidth="1"/>
    <col min="8" max="8" width="12.33203125" bestFit="1" customWidth="1"/>
    <col min="9" max="9" width="15.5546875" customWidth="1"/>
    <col min="10" max="10" width="14.44140625" bestFit="1" customWidth="1"/>
    <col min="11" max="11" width="12.6640625" bestFit="1" customWidth="1"/>
    <col min="12" max="12" width="11.88671875" bestFit="1" customWidth="1"/>
    <col min="13" max="13" width="14.44140625" bestFit="1" customWidth="1"/>
  </cols>
  <sheetData>
    <row r="1" spans="1:14" x14ac:dyDescent="0.3">
      <c r="A1" s="2" t="s">
        <v>75</v>
      </c>
      <c r="B1" s="2" t="s">
        <v>120</v>
      </c>
      <c r="C1" s="2" t="s">
        <v>121</v>
      </c>
      <c r="D1" s="8" t="s">
        <v>4</v>
      </c>
      <c r="E1" s="8" t="s">
        <v>122</v>
      </c>
      <c r="F1" s="8" t="s">
        <v>110</v>
      </c>
      <c r="G1" s="8" t="s">
        <v>92</v>
      </c>
      <c r="H1" s="8" t="s">
        <v>18</v>
      </c>
      <c r="I1" s="8" t="s">
        <v>123</v>
      </c>
    </row>
    <row r="2" spans="1:14" x14ac:dyDescent="0.3">
      <c r="A2" s="84">
        <v>46008</v>
      </c>
      <c r="B2" s="81" t="s">
        <v>64</v>
      </c>
      <c r="C2" s="81"/>
      <c r="D2" s="81"/>
      <c r="E2" s="81"/>
      <c r="F2" s="96" t="s">
        <v>115</v>
      </c>
      <c r="G2" s="81">
        <f>SUMIFS(Table14[Debit], Table14[Date], Table8[[#This Row],[Date]], Table14[Party], Table8[[#This Row],[Party]])</f>
        <v>0</v>
      </c>
      <c r="H2" s="81">
        <v>0</v>
      </c>
      <c r="I2" s="81" t="s">
        <v>186</v>
      </c>
      <c r="K2" t="s">
        <v>75</v>
      </c>
      <c r="L2" t="s">
        <v>45</v>
      </c>
      <c r="M2" t="s">
        <v>36</v>
      </c>
      <c r="N2" t="s">
        <v>5</v>
      </c>
    </row>
    <row r="3" spans="1:14" x14ac:dyDescent="0.3">
      <c r="A3" s="94">
        <v>46008</v>
      </c>
      <c r="B3" s="81" t="s">
        <v>64</v>
      </c>
      <c r="C3" s="80"/>
      <c r="D3" s="80"/>
      <c r="E3" s="80"/>
      <c r="F3" s="80" t="s">
        <v>176</v>
      </c>
      <c r="G3" s="81">
        <f>SUMIFS(Table14[Debit], Table14[Date], Table8[[#This Row],[Date]], Table14[Party], Table8[[#This Row],[Party]])</f>
        <v>0</v>
      </c>
      <c r="H3" s="81">
        <v>0</v>
      </c>
      <c r="I3" s="81" t="s">
        <v>186</v>
      </c>
      <c r="K3" s="1"/>
      <c r="L3" t="s">
        <v>124</v>
      </c>
      <c r="N3" s="11">
        <f t="shared" ref="N3" si="0">47000+28750</f>
        <v>75750</v>
      </c>
    </row>
    <row r="4" spans="1:14" x14ac:dyDescent="0.3">
      <c r="A4" s="84">
        <v>46008</v>
      </c>
      <c r="B4" s="81" t="s">
        <v>64</v>
      </c>
      <c r="F4" s="80" t="s">
        <v>182</v>
      </c>
      <c r="G4" s="81">
        <f>SUMIFS(Table14[Debit], Table14[Date], Table8[[#This Row],[Date]], Table14[Party], Table8[[#This Row],[Party]])</f>
        <v>0</v>
      </c>
      <c r="H4" s="81">
        <v>0</v>
      </c>
      <c r="I4" s="81" t="s">
        <v>186</v>
      </c>
      <c r="K4" s="1"/>
      <c r="N4" s="11"/>
    </row>
    <row r="5" spans="1:14" x14ac:dyDescent="0.3">
      <c r="A5" s="94">
        <v>46008</v>
      </c>
      <c r="B5" s="81" t="s">
        <v>64</v>
      </c>
      <c r="F5" t="s">
        <v>192</v>
      </c>
      <c r="G5" s="81">
        <f>SUMIFS(Table14[Debit], Table14[Date], Table8[[#This Row],[Date]], Table14[Party], Table8[[#This Row],[Party]])</f>
        <v>0</v>
      </c>
      <c r="H5" s="81">
        <v>0</v>
      </c>
      <c r="I5" s="81" t="s">
        <v>186</v>
      </c>
      <c r="K5" s="1"/>
      <c r="N5" s="14">
        <f>SUM(Table7[Total])</f>
        <v>75750</v>
      </c>
    </row>
    <row r="6" spans="1:14" x14ac:dyDescent="0.3">
      <c r="A6" s="1">
        <v>46044</v>
      </c>
      <c r="E6">
        <v>255000</v>
      </c>
      <c r="F6" t="s">
        <v>115</v>
      </c>
      <c r="G6">
        <f>SUMIFS(Table14[Debit], Table14[Date], Table8[[#This Row],[Date]], Table14[Party], Table8[[#This Row],[Party]])</f>
        <v>0</v>
      </c>
      <c r="H6">
        <f>Table8[[#This Row],[Price]]-Table8[[#This Row],[Paid]]</f>
        <v>255000</v>
      </c>
    </row>
    <row r="7" spans="1:14" x14ac:dyDescent="0.3">
      <c r="A7" s="1">
        <v>46048</v>
      </c>
      <c r="B7" t="s">
        <v>64</v>
      </c>
      <c r="E7">
        <v>159250</v>
      </c>
      <c r="F7" t="s">
        <v>176</v>
      </c>
      <c r="G7">
        <f>SUMIFS(Table14[Debit], Table14[Date], Table8[[#This Row],[Date]], Table14[Party], Table8[[#This Row],[Party]])</f>
        <v>159250</v>
      </c>
      <c r="H7">
        <f>Table8[[#This Row],[Price]]-Table8[[#This Row],[Paid]]</f>
        <v>0</v>
      </c>
      <c r="K7" s="3" t="s">
        <v>110</v>
      </c>
      <c r="L7" t="s">
        <v>87</v>
      </c>
    </row>
    <row r="8" spans="1:14" x14ac:dyDescent="0.3">
      <c r="A8" s="1">
        <v>46051</v>
      </c>
      <c r="B8" t="s">
        <v>64</v>
      </c>
      <c r="E8">
        <v>423000</v>
      </c>
      <c r="F8" t="s">
        <v>115</v>
      </c>
      <c r="G8">
        <f>SUMIFS(Table14[Debit], Table14[Date], Table8[[#This Row],[Date]], Table14[Party], Table8[[#This Row],[Party]])</f>
        <v>0</v>
      </c>
      <c r="H8">
        <f>Table8[[#This Row],[Price]]-Table8[[#This Row],[Paid]]</f>
        <v>423000</v>
      </c>
      <c r="I8" t="s">
        <v>378</v>
      </c>
    </row>
    <row r="9" spans="1:14" x14ac:dyDescent="0.3">
      <c r="A9" s="1">
        <v>46053</v>
      </c>
      <c r="B9" t="s">
        <v>64</v>
      </c>
      <c r="E9">
        <v>86250</v>
      </c>
      <c r="F9" t="s">
        <v>115</v>
      </c>
      <c r="G9">
        <f>SUMIFS(Table14[Debit], Table14[Date], Table8[[#This Row],[Date]], Table14[Party], Table8[[#This Row],[Party]])</f>
        <v>0</v>
      </c>
      <c r="H9">
        <f>Table8[[#This Row],[Price]]-Table8[[#This Row],[Paid]]</f>
        <v>86250</v>
      </c>
      <c r="I9" t="s">
        <v>379</v>
      </c>
      <c r="K9" s="3" t="s">
        <v>6</v>
      </c>
      <c r="L9" t="s">
        <v>127</v>
      </c>
      <c r="M9" t="s">
        <v>128</v>
      </c>
    </row>
    <row r="10" spans="1:14" x14ac:dyDescent="0.3">
      <c r="A10" s="1">
        <v>46056</v>
      </c>
      <c r="B10" t="s">
        <v>64</v>
      </c>
      <c r="E10">
        <v>483125</v>
      </c>
      <c r="F10" t="s">
        <v>380</v>
      </c>
      <c r="G10">
        <f>SUMIFS(Table14[Debit], Table14[Date], Table8[[#This Row],[Date]], Table14[Party], Table8[[#This Row],[Party]])</f>
        <v>0</v>
      </c>
      <c r="H10">
        <f>Table8[[#This Row],[Price]]-Table8[[#This Row],[Paid]]</f>
        <v>483125</v>
      </c>
      <c r="K10" s="26">
        <v>46008</v>
      </c>
      <c r="M10">
        <v>0</v>
      </c>
    </row>
    <row r="11" spans="1:14" x14ac:dyDescent="0.3">
      <c r="A11" s="1">
        <v>46058</v>
      </c>
      <c r="F11" t="s">
        <v>420</v>
      </c>
      <c r="G11">
        <f>SUMIFS(Table14[Debit], Table14[Date], Table8[[#This Row],[Date]], Table14[Party], Table8[[#This Row],[Party]])</f>
        <v>0</v>
      </c>
      <c r="H11">
        <f>Table8[[#This Row],[Price]]-Table8[[#This Row],[Paid]]</f>
        <v>0</v>
      </c>
      <c r="K11" s="26">
        <v>46044</v>
      </c>
      <c r="L11">
        <v>255000</v>
      </c>
      <c r="M11">
        <v>255000</v>
      </c>
    </row>
    <row r="12" spans="1:14" x14ac:dyDescent="0.3">
      <c r="A12" s="1">
        <v>46060</v>
      </c>
      <c r="B12" t="s">
        <v>410</v>
      </c>
      <c r="E12">
        <v>15000</v>
      </c>
      <c r="F12" t="s">
        <v>176</v>
      </c>
      <c r="G12">
        <f>SUMIFS(Table14[Debit], Table14[Date], Table8[[#This Row],[Date]], Table14[Party], Table8[[#This Row],[Party]])</f>
        <v>15000</v>
      </c>
      <c r="H12">
        <f>Table8[[#This Row],[Price]]-Table8[[#This Row],[Paid]]</f>
        <v>0</v>
      </c>
      <c r="K12" s="26">
        <v>46048</v>
      </c>
      <c r="L12">
        <v>159250</v>
      </c>
      <c r="M12">
        <v>0</v>
      </c>
    </row>
    <row r="13" spans="1:14" x14ac:dyDescent="0.3">
      <c r="A13" s="1">
        <v>46062</v>
      </c>
      <c r="B13" t="s">
        <v>64</v>
      </c>
      <c r="E13">
        <v>122500</v>
      </c>
      <c r="F13" t="s">
        <v>432</v>
      </c>
      <c r="G13">
        <f>SUMIFS(Table14[Debit], Table14[Date], Table8[[#This Row],[Date]], Table14[Party], Table8[[#This Row],[Party]])</f>
        <v>122500</v>
      </c>
      <c r="H13">
        <f>Table8[[#This Row],[Price]]-Table8[[#This Row],[Paid]]</f>
        <v>0</v>
      </c>
      <c r="K13" s="26">
        <v>46051</v>
      </c>
      <c r="L13">
        <v>423000</v>
      </c>
      <c r="M13">
        <v>423000</v>
      </c>
    </row>
    <row r="14" spans="1:14" x14ac:dyDescent="0.3">
      <c r="A14" s="133">
        <v>46053</v>
      </c>
      <c r="B14" t="s">
        <v>64</v>
      </c>
      <c r="E14">
        <v>28750</v>
      </c>
      <c r="F14" t="s">
        <v>449</v>
      </c>
      <c r="G14">
        <f>SUMIFS(Table14[Debit], Table14[Date], Table8[[#This Row],[Date]], Table14[Party], Table8[[#This Row],[Party]])</f>
        <v>28750</v>
      </c>
      <c r="H14">
        <f>Table8[[#This Row],[Price]]-Table8[[#This Row],[Paid]]</f>
        <v>0</v>
      </c>
      <c r="K14" s="26">
        <v>46053</v>
      </c>
      <c r="L14">
        <v>115000</v>
      </c>
      <c r="M14">
        <v>86250</v>
      </c>
    </row>
    <row r="15" spans="1:14" x14ac:dyDescent="0.3">
      <c r="A15" s="133">
        <v>46067</v>
      </c>
      <c r="B15" t="s">
        <v>537</v>
      </c>
      <c r="E15">
        <v>24650</v>
      </c>
      <c r="F15" t="s">
        <v>176</v>
      </c>
      <c r="G15">
        <f>SUMIFS(Table14[Debit], Table14[Date], Table8[[#This Row],[Date]], Table14[Party], Table8[[#This Row],[Party]])</f>
        <v>24650</v>
      </c>
      <c r="H15">
        <f>Table8[[#This Row],[Price]]-Table8[[#This Row],[Paid]]</f>
        <v>0</v>
      </c>
      <c r="K15" s="26">
        <v>46056</v>
      </c>
      <c r="M15">
        <v>0</v>
      </c>
    </row>
    <row r="16" spans="1:14" x14ac:dyDescent="0.3">
      <c r="A16" s="133">
        <v>46067</v>
      </c>
      <c r="B16" t="s">
        <v>538</v>
      </c>
      <c r="E16">
        <v>155000</v>
      </c>
      <c r="F16" t="s">
        <v>64</v>
      </c>
      <c r="G16">
        <f>SUMIFS(Table14[Debit], Table14[Date], Table8[[#This Row],[Date]], Table14[Party], Table8[[#This Row],[Party]])</f>
        <v>155000</v>
      </c>
      <c r="H16">
        <f>Table8[[#This Row],[Price]]-Table8[[#This Row],[Paid]]</f>
        <v>0</v>
      </c>
      <c r="K16" s="4" t="s">
        <v>103</v>
      </c>
      <c r="M16">
        <v>0</v>
      </c>
    </row>
    <row r="17" spans="1:13" x14ac:dyDescent="0.3">
      <c r="A17" s="133">
        <v>46067</v>
      </c>
      <c r="B17" t="s">
        <v>146</v>
      </c>
      <c r="E17">
        <v>35000</v>
      </c>
      <c r="F17" t="s">
        <v>182</v>
      </c>
      <c r="G17">
        <f>SUMIFS(Table14[Debit], Table14[Date], Table8[[#This Row],[Date]], Table14[Party], Table8[[#This Row],[Party]])</f>
        <v>35000</v>
      </c>
      <c r="H17">
        <f>Table8[[#This Row],[Price]]-Table8[[#This Row],[Paid]]</f>
        <v>0</v>
      </c>
      <c r="K17" s="26">
        <v>46058</v>
      </c>
      <c r="M17">
        <v>0</v>
      </c>
    </row>
    <row r="18" spans="1:13" x14ac:dyDescent="0.3">
      <c r="A18" s="133">
        <v>46070</v>
      </c>
      <c r="B18" t="s">
        <v>537</v>
      </c>
      <c r="E18">
        <v>21750</v>
      </c>
      <c r="F18" t="s">
        <v>176</v>
      </c>
      <c r="G18">
        <f>SUMIFS(Table14[Debit], Table14[Date], Table8[[#This Row],[Date]], Table14[Party], Table8[[#This Row],[Party]])</f>
        <v>21750</v>
      </c>
      <c r="H18">
        <f>Table8[[#This Row],[Price]]-Table8[[#This Row],[Paid]]</f>
        <v>0</v>
      </c>
      <c r="K18" s="26">
        <v>46060</v>
      </c>
      <c r="L18">
        <v>15000</v>
      </c>
      <c r="M18">
        <v>0</v>
      </c>
    </row>
    <row r="19" spans="1:13" x14ac:dyDescent="0.3">
      <c r="A19" s="133">
        <v>46072</v>
      </c>
      <c r="B19" t="s">
        <v>64</v>
      </c>
      <c r="E19">
        <f>SUMIFS(Table14[Debit], Table14[Date], Table8[[#This Row],[Date]], Table14[Party], Table8[[#This Row],[Party]])</f>
        <v>72500</v>
      </c>
      <c r="F19" t="s">
        <v>580</v>
      </c>
      <c r="G19">
        <f>SUMIFS(Table14[Debit], Table14[Date], Table8[[#This Row],[Date]], Table14[Party], Table8[[#This Row],[Party]])</f>
        <v>72500</v>
      </c>
      <c r="H19">
        <f>Table8[[#This Row],[Price]]-Table8[[#This Row],[Paid]]</f>
        <v>0</v>
      </c>
      <c r="K19" s="26">
        <v>46062</v>
      </c>
      <c r="L19">
        <v>122500</v>
      </c>
      <c r="M19">
        <v>0</v>
      </c>
    </row>
    <row r="20" spans="1:13" x14ac:dyDescent="0.3">
      <c r="A20" s="133">
        <v>46072</v>
      </c>
      <c r="B20" t="s">
        <v>64</v>
      </c>
      <c r="E20">
        <f>SUMIFS(Table14[Debit], Table14[Date], Table8[[#This Row],[Date]], Table14[Party], Table8[[#This Row],[Party]])</f>
        <v>28750</v>
      </c>
      <c r="F20" t="s">
        <v>449</v>
      </c>
      <c r="G20">
        <f>SUMIFS(Table14[Debit], Table14[Date], Table8[[#This Row],[Date]], Table14[Party], Table8[[#This Row],[Party]])</f>
        <v>28750</v>
      </c>
      <c r="H20">
        <f>Table8[[#This Row],[Price]]-Table8[[#This Row],[Paid]]</f>
        <v>0</v>
      </c>
      <c r="K20" s="26">
        <v>46067</v>
      </c>
      <c r="L20">
        <v>214650</v>
      </c>
      <c r="M20">
        <v>0</v>
      </c>
    </row>
    <row r="21" spans="1:13" x14ac:dyDescent="0.3">
      <c r="A21" s="133">
        <v>46073</v>
      </c>
      <c r="B21" t="s">
        <v>64</v>
      </c>
      <c r="E21">
        <f>SUMIFS(Table14[Debit], Table14[Date], Table8[[#This Row],[Date]], Table14[Party], Table8[[#This Row],[Party]])</f>
        <v>0</v>
      </c>
      <c r="F21" t="s">
        <v>580</v>
      </c>
      <c r="G21">
        <f>SUMIFS(Table14[Debit], Table14[Date], Table8[[#This Row],[Date]], Table14[Party], Table8[[#This Row],[Party]])</f>
        <v>0</v>
      </c>
      <c r="H21">
        <f>Table8[[#This Row],[Price]]-Table8[[#This Row],[Paid]]</f>
        <v>0</v>
      </c>
      <c r="K21" s="26">
        <v>46070</v>
      </c>
      <c r="L21">
        <v>21750</v>
      </c>
      <c r="M21">
        <v>0</v>
      </c>
    </row>
    <row r="22" spans="1:13" x14ac:dyDescent="0.3">
      <c r="A22" s="133">
        <v>46075</v>
      </c>
      <c r="B22" t="s">
        <v>64</v>
      </c>
      <c r="F22" t="s">
        <v>380</v>
      </c>
      <c r="G22">
        <f>SUMIFS(Table14[Debit], Table14[Date], Table8[[#This Row],[Date]], Table14[Party], Table8[[#This Row],[Party]])</f>
        <v>0</v>
      </c>
      <c r="H22">
        <f>Table8[[#This Row],[Price]]-Table8[[#This Row],[Paid]]</f>
        <v>0</v>
      </c>
      <c r="K22" s="26">
        <v>46072</v>
      </c>
      <c r="L22">
        <v>101250</v>
      </c>
      <c r="M22">
        <v>0</v>
      </c>
    </row>
    <row r="23" spans="1:13" x14ac:dyDescent="0.3">
      <c r="G23">
        <f>SUMIFS(Table14[Debit], Table14[Date], Table8[[#This Row],[Date]], Table14[Party], Table8[[#This Row],[Party]])</f>
        <v>0</v>
      </c>
      <c r="H23">
        <f>Table8[[#This Row],[Price]]-Table8[[#This Row],[Paid]]</f>
        <v>0</v>
      </c>
      <c r="K23" s="26">
        <v>46073</v>
      </c>
      <c r="L23">
        <v>100000</v>
      </c>
      <c r="M23">
        <v>0</v>
      </c>
    </row>
    <row r="24" spans="1:13" x14ac:dyDescent="0.3">
      <c r="G24">
        <f>SUMIFS(Table14[Debit], Table14[Date], Table8[[#This Row],[Date]], Table14[Party], Table8[[#This Row],[Party]])</f>
        <v>0</v>
      </c>
      <c r="H24">
        <f>Table8[[#This Row],[Price]]-Table8[[#This Row],[Paid]]</f>
        <v>0</v>
      </c>
      <c r="K24" s="26">
        <v>46075</v>
      </c>
      <c r="M24">
        <v>0</v>
      </c>
    </row>
    <row r="25" spans="1:13" x14ac:dyDescent="0.3">
      <c r="G25">
        <f>SUMIFS(Table14[Debit], Table14[Date], Table8[[#This Row],[Date]], Table14[Party], Table8[[#This Row],[Party]])</f>
        <v>0</v>
      </c>
      <c r="H25">
        <f>Table8[[#This Row],[Price]]-Table8[[#This Row],[Paid]]</f>
        <v>0</v>
      </c>
      <c r="K25" s="4" t="s">
        <v>28</v>
      </c>
      <c r="L25">
        <v>1527400</v>
      </c>
      <c r="M25">
        <v>764250</v>
      </c>
    </row>
    <row r="26" spans="1:13" x14ac:dyDescent="0.3">
      <c r="E26">
        <f>SUBTOTAL(109,Table8[Price])</f>
        <v>1910525</v>
      </c>
      <c r="H26">
        <f>SUBTOTAL(109,Table8[Balance])</f>
        <v>1247375</v>
      </c>
    </row>
    <row r="32" spans="1:13" x14ac:dyDescent="0.3">
      <c r="L32" t="s">
        <v>163</v>
      </c>
    </row>
    <row r="33" spans="1:16" x14ac:dyDescent="0.3">
      <c r="L33" t="s">
        <v>57</v>
      </c>
      <c r="M33" t="s">
        <v>156</v>
      </c>
      <c r="N33" t="s">
        <v>157</v>
      </c>
      <c r="O33" t="s">
        <v>4</v>
      </c>
      <c r="P33" t="s">
        <v>158</v>
      </c>
    </row>
    <row r="34" spans="1:16" x14ac:dyDescent="0.3">
      <c r="L34" t="s">
        <v>131</v>
      </c>
      <c r="M34">
        <v>1</v>
      </c>
      <c r="N34">
        <v>5</v>
      </c>
      <c r="O34">
        <v>1400</v>
      </c>
      <c r="P34">
        <f>Table23[[#This Row],[boxes]]*Table23[[#This Row],[kgs]]*Table23[[#This Row],[Rate]]</f>
        <v>7000</v>
      </c>
    </row>
    <row r="35" spans="1:16" x14ac:dyDescent="0.3">
      <c r="L35" t="s">
        <v>129</v>
      </c>
      <c r="M35">
        <v>1</v>
      </c>
      <c r="N35">
        <v>30</v>
      </c>
      <c r="O35">
        <v>1340</v>
      </c>
      <c r="P35">
        <f>Table23[[#This Row],[boxes]]*Table23[[#This Row],[kgs]]*Table23[[#This Row],[Rate]]</f>
        <v>40200</v>
      </c>
    </row>
    <row r="36" spans="1:16" x14ac:dyDescent="0.3">
      <c r="L36" t="s">
        <v>147</v>
      </c>
      <c r="M36">
        <v>1</v>
      </c>
      <c r="O36">
        <v>1140</v>
      </c>
      <c r="P36">
        <f>Table23[[#This Row],[boxes]]*Table23[[#This Row],[kgs]]*Table23[[#This Row],[Rate]]</f>
        <v>0</v>
      </c>
    </row>
    <row r="37" spans="1:16" x14ac:dyDescent="0.3">
      <c r="L37" t="s">
        <v>126</v>
      </c>
      <c r="M37">
        <v>1</v>
      </c>
      <c r="N37">
        <v>28</v>
      </c>
      <c r="O37">
        <v>1140</v>
      </c>
      <c r="P37">
        <f>Table23[[#This Row],[boxes]]*Table23[[#This Row],[kgs]]*Table23[[#This Row],[Rate]]</f>
        <v>31920</v>
      </c>
    </row>
    <row r="38" spans="1:16" x14ac:dyDescent="0.3">
      <c r="A38" t="s">
        <v>57</v>
      </c>
      <c r="B38" t="s">
        <v>156</v>
      </c>
      <c r="C38" t="s">
        <v>157</v>
      </c>
      <c r="D38" t="s">
        <v>4</v>
      </c>
      <c r="E38" t="s">
        <v>158</v>
      </c>
      <c r="L38" t="s">
        <v>125</v>
      </c>
      <c r="M38">
        <v>1</v>
      </c>
      <c r="N38">
        <v>8</v>
      </c>
      <c r="O38">
        <v>1130</v>
      </c>
      <c r="P38">
        <f>Table23[[#This Row],[boxes]]*Table23[[#This Row],[kgs]]*Table23[[#This Row],[Rate]]</f>
        <v>9040</v>
      </c>
    </row>
    <row r="39" spans="1:16" x14ac:dyDescent="0.3">
      <c r="A39" t="s">
        <v>131</v>
      </c>
      <c r="B39">
        <v>1</v>
      </c>
      <c r="D39">
        <v>1400</v>
      </c>
      <c r="E39">
        <f>Table2325[[#This Row],[boxes]]*Table2325[[#This Row],[kgs]]*Table2325[[#This Row],[Rate]]</f>
        <v>0</v>
      </c>
      <c r="L39" t="s">
        <v>146</v>
      </c>
      <c r="M39">
        <v>1</v>
      </c>
      <c r="O39">
        <v>1300</v>
      </c>
      <c r="P39">
        <f>Table23[[#This Row],[boxes]]*Table23[[#This Row],[kgs]]*Table23[[#This Row],[Rate]]</f>
        <v>0</v>
      </c>
    </row>
    <row r="40" spans="1:16" x14ac:dyDescent="0.3">
      <c r="A40" t="s">
        <v>129</v>
      </c>
      <c r="B40">
        <v>1</v>
      </c>
      <c r="D40">
        <v>1340</v>
      </c>
      <c r="E40">
        <f>Table2325[[#This Row],[boxes]]*Table2325[[#This Row],[kgs]]*Table2325[[#This Row],[Rate]]</f>
        <v>0</v>
      </c>
      <c r="L40" t="s">
        <v>132</v>
      </c>
      <c r="M40">
        <v>1</v>
      </c>
      <c r="N40">
        <v>30</v>
      </c>
      <c r="O40">
        <v>1450</v>
      </c>
      <c r="P40">
        <f>Table23[[#This Row],[boxes]]*Table23[[#This Row],[kgs]]*Table23[[#This Row],[Rate]]</f>
        <v>43500</v>
      </c>
    </row>
    <row r="41" spans="1:16" x14ac:dyDescent="0.3">
      <c r="A41" t="s">
        <v>147</v>
      </c>
      <c r="B41">
        <v>1</v>
      </c>
      <c r="D41">
        <v>1120</v>
      </c>
      <c r="E41">
        <f>Table2325[[#This Row],[boxes]]*Table2325[[#This Row],[kgs]]*Table2325[[#This Row],[Rate]]</f>
        <v>0</v>
      </c>
      <c r="L41" t="s">
        <v>159</v>
      </c>
      <c r="M41">
        <v>1</v>
      </c>
      <c r="N41">
        <v>40</v>
      </c>
      <c r="O41">
        <v>910</v>
      </c>
      <c r="P41">
        <f>Table23[[#This Row],[boxes]]*Table23[[#This Row],[kgs]]*Table23[[#This Row],[Rate]]</f>
        <v>36400</v>
      </c>
    </row>
    <row r="42" spans="1:16" x14ac:dyDescent="0.3">
      <c r="A42" t="s">
        <v>126</v>
      </c>
      <c r="B42">
        <v>1</v>
      </c>
      <c r="D42">
        <v>1120</v>
      </c>
      <c r="E42">
        <f>Table2325[[#This Row],[boxes]]*Table2325[[#This Row],[kgs]]*Table2325[[#This Row],[Rate]]</f>
        <v>0</v>
      </c>
      <c r="L42" t="s">
        <v>125</v>
      </c>
      <c r="M42">
        <v>1</v>
      </c>
      <c r="O42">
        <v>1130</v>
      </c>
      <c r="P42">
        <f>Table23[[#This Row],[boxes]]*Table23[[#This Row],[kgs]]*Table23[[#This Row],[Rate]]</f>
        <v>0</v>
      </c>
    </row>
    <row r="43" spans="1:16" x14ac:dyDescent="0.3">
      <c r="A43" t="s">
        <v>125</v>
      </c>
      <c r="B43">
        <v>1</v>
      </c>
      <c r="D43">
        <v>1120</v>
      </c>
      <c r="E43">
        <f>Table2325[[#This Row],[boxes]]*Table2325[[#This Row],[kgs]]*Table2325[[#This Row],[Rate]]</f>
        <v>0</v>
      </c>
      <c r="L43" t="s">
        <v>146</v>
      </c>
      <c r="M43">
        <v>1</v>
      </c>
      <c r="N43">
        <v>10</v>
      </c>
      <c r="O43">
        <v>1300</v>
      </c>
      <c r="P43">
        <f>Table23[[#This Row],[boxes]]*Table23[[#This Row],[kgs]]*Table23[[#This Row],[Rate]]</f>
        <v>13000</v>
      </c>
    </row>
    <row r="44" spans="1:16" x14ac:dyDescent="0.3">
      <c r="A44" t="s">
        <v>146</v>
      </c>
      <c r="B44">
        <v>1</v>
      </c>
      <c r="D44">
        <v>1300</v>
      </c>
      <c r="E44">
        <f>Table2325[[#This Row],[boxes]]*Table2325[[#This Row],[kgs]]*Table2325[[#This Row],[Rate]]</f>
        <v>0</v>
      </c>
      <c r="L44" t="s">
        <v>133</v>
      </c>
      <c r="M44">
        <v>1</v>
      </c>
      <c r="N44">
        <v>4</v>
      </c>
      <c r="O44">
        <v>1650</v>
      </c>
      <c r="P44">
        <f>Table23[[#This Row],[boxes]]*Table23[[#This Row],[kgs]]*Table23[[#This Row],[Rate]]</f>
        <v>6600</v>
      </c>
    </row>
    <row r="45" spans="1:16" x14ac:dyDescent="0.3">
      <c r="A45" t="s">
        <v>132</v>
      </c>
      <c r="B45">
        <v>1</v>
      </c>
      <c r="D45">
        <v>1450</v>
      </c>
      <c r="E45">
        <f>Table2325[[#This Row],[boxes]]*Table2325[[#This Row],[kgs]]*Table2325[[#This Row],[Rate]]</f>
        <v>0</v>
      </c>
      <c r="L45" t="s">
        <v>129</v>
      </c>
      <c r="M45">
        <v>1</v>
      </c>
      <c r="O45">
        <v>1340</v>
      </c>
      <c r="P45">
        <f>Table23[[#This Row],[boxes]]*Table23[[#This Row],[kgs]]*Table23[[#This Row],[Rate]]</f>
        <v>0</v>
      </c>
    </row>
    <row r="46" spans="1:16" x14ac:dyDescent="0.3">
      <c r="A46" t="s">
        <v>159</v>
      </c>
      <c r="B46">
        <v>1</v>
      </c>
      <c r="D46">
        <v>940</v>
      </c>
      <c r="E46">
        <f>Table2325[[#This Row],[boxes]]*Table2325[[#This Row],[kgs]]*Table2325[[#This Row],[Rate]]</f>
        <v>0</v>
      </c>
      <c r="L46" t="s">
        <v>132</v>
      </c>
      <c r="M46">
        <v>1</v>
      </c>
      <c r="O46">
        <v>1450</v>
      </c>
      <c r="P46">
        <f>Table23[[#This Row],[boxes]]*Table23[[#This Row],[kgs]]*Table23[[#This Row],[Rate]]</f>
        <v>0</v>
      </c>
    </row>
    <row r="47" spans="1:16" x14ac:dyDescent="0.3">
      <c r="A47" t="s">
        <v>125</v>
      </c>
      <c r="D47">
        <v>1130</v>
      </c>
      <c r="E47">
        <f>Table2325[[#This Row],[boxes]]*Table2325[[#This Row],[kgs]]*Table2325[[#This Row],[Rate]]</f>
        <v>0</v>
      </c>
      <c r="L47" t="s">
        <v>131</v>
      </c>
      <c r="M47">
        <v>1</v>
      </c>
      <c r="O47">
        <v>1400</v>
      </c>
      <c r="P47">
        <f>Table23[[#This Row],[boxes]]*Table23[[#This Row],[kgs]]*Table23[[#This Row],[Rate]]</f>
        <v>0</v>
      </c>
    </row>
    <row r="48" spans="1:16" x14ac:dyDescent="0.3">
      <c r="A48" t="s">
        <v>146</v>
      </c>
      <c r="B48">
        <v>1</v>
      </c>
      <c r="C48">
        <v>10</v>
      </c>
      <c r="D48">
        <v>1300</v>
      </c>
      <c r="E48">
        <f>Table2325[[#This Row],[boxes]]*Table2325[[#This Row],[kgs]]*Table2325[[#This Row],[Rate]]</f>
        <v>13000</v>
      </c>
      <c r="L48" t="s">
        <v>160</v>
      </c>
      <c r="M48">
        <v>1</v>
      </c>
      <c r="O48">
        <v>1000</v>
      </c>
      <c r="P48">
        <f>Table23[[#This Row],[boxes]]*Table23[[#This Row],[kgs]]*Table23[[#This Row],[Rate]]</f>
        <v>0</v>
      </c>
    </row>
    <row r="49" spans="1:16" x14ac:dyDescent="0.3">
      <c r="A49" t="s">
        <v>133</v>
      </c>
      <c r="B49">
        <v>1</v>
      </c>
      <c r="C49">
        <v>40</v>
      </c>
      <c r="D49">
        <v>1650</v>
      </c>
      <c r="E49">
        <f>Table2325[[#This Row],[boxes]]*Table2325[[#This Row],[kgs]]*Table2325[[#This Row],[Rate]]</f>
        <v>66000</v>
      </c>
      <c r="L49" t="s">
        <v>130</v>
      </c>
      <c r="M49">
        <v>1</v>
      </c>
      <c r="N49">
        <v>5</v>
      </c>
      <c r="O49">
        <v>1650</v>
      </c>
      <c r="P49">
        <f>Table23[[#This Row],[boxes]]*Table23[[#This Row],[kgs]]*Table23[[#This Row],[Rate]]</f>
        <v>8250</v>
      </c>
    </row>
    <row r="50" spans="1:16" x14ac:dyDescent="0.3">
      <c r="A50" t="s">
        <v>129</v>
      </c>
      <c r="B50">
        <v>1</v>
      </c>
      <c r="C50">
        <v>15</v>
      </c>
      <c r="D50">
        <v>1340</v>
      </c>
      <c r="E50">
        <f>Table2325[[#This Row],[boxes]]*Table2325[[#This Row],[kgs]]*Table2325[[#This Row],[Rate]]</f>
        <v>20100</v>
      </c>
      <c r="L50" t="s">
        <v>114</v>
      </c>
      <c r="M50">
        <v>1</v>
      </c>
      <c r="N50">
        <v>20</v>
      </c>
      <c r="O50">
        <v>1130</v>
      </c>
      <c r="P50">
        <f>Table23[[#This Row],[boxes]]*Table23[[#This Row],[kgs]]*Table23[[#This Row],[Rate]]</f>
        <v>22600</v>
      </c>
    </row>
    <row r="51" spans="1:16" x14ac:dyDescent="0.3">
      <c r="A51" t="s">
        <v>132</v>
      </c>
      <c r="B51">
        <v>1</v>
      </c>
      <c r="C51">
        <v>40</v>
      </c>
      <c r="D51">
        <v>1450</v>
      </c>
      <c r="E51">
        <f>Table2325[[#This Row],[boxes]]*Table2325[[#This Row],[kgs]]*Table2325[[#This Row],[Rate]]</f>
        <v>58000</v>
      </c>
      <c r="L51" t="s">
        <v>153</v>
      </c>
      <c r="M51">
        <v>1</v>
      </c>
      <c r="O51">
        <v>3100</v>
      </c>
      <c r="P51">
        <f>Table23[[#This Row],[boxes]]*Table23[[#This Row],[kgs]]*Table23[[#This Row],[Rate]]</f>
        <v>0</v>
      </c>
    </row>
    <row r="52" spans="1:16" x14ac:dyDescent="0.3">
      <c r="A52" t="s">
        <v>131</v>
      </c>
      <c r="B52">
        <v>1</v>
      </c>
      <c r="C52">
        <v>45</v>
      </c>
      <c r="D52">
        <v>1400</v>
      </c>
      <c r="E52">
        <f>Table2325[[#This Row],[boxes]]*Table2325[[#This Row],[kgs]]*Table2325[[#This Row],[Rate]]</f>
        <v>63000</v>
      </c>
      <c r="L52" t="s">
        <v>126</v>
      </c>
      <c r="M52">
        <v>1</v>
      </c>
      <c r="O52">
        <v>1140</v>
      </c>
      <c r="P52">
        <f>Table23[[#This Row],[boxes]]*Table23[[#This Row],[kgs]]*Table23[[#This Row],[Rate]]</f>
        <v>0</v>
      </c>
    </row>
    <row r="53" spans="1:16" x14ac:dyDescent="0.3">
      <c r="A53" t="s">
        <v>160</v>
      </c>
      <c r="D53">
        <v>1000</v>
      </c>
      <c r="E53">
        <f>Table2325[[#This Row],[boxes]]*Table2325[[#This Row],[kgs]]*Table2325[[#This Row],[Rate]]</f>
        <v>0</v>
      </c>
      <c r="L53" t="s">
        <v>147</v>
      </c>
      <c r="M53">
        <v>1</v>
      </c>
      <c r="N53">
        <v>10</v>
      </c>
      <c r="O53">
        <v>1140</v>
      </c>
      <c r="P53">
        <f>Table23[[#This Row],[boxes]]*Table23[[#This Row],[kgs]]*Table23[[#This Row],[Rate]]</f>
        <v>11400</v>
      </c>
    </row>
    <row r="54" spans="1:16" x14ac:dyDescent="0.3">
      <c r="A54" t="s">
        <v>130</v>
      </c>
      <c r="B54">
        <v>1</v>
      </c>
      <c r="C54">
        <v>10</v>
      </c>
      <c r="D54">
        <v>1650</v>
      </c>
      <c r="E54">
        <f>Table2325[[#This Row],[boxes]]*Table2325[[#This Row],[kgs]]*Table2325[[#This Row],[Rate]]</f>
        <v>16500</v>
      </c>
      <c r="L54" t="s">
        <v>161</v>
      </c>
      <c r="M54">
        <v>1</v>
      </c>
      <c r="N54">
        <v>10</v>
      </c>
      <c r="O54">
        <v>1000</v>
      </c>
      <c r="P54">
        <f>Table23[[#This Row],[boxes]]*Table23[[#This Row],[kgs]]*Table23[[#This Row],[Rate]]</f>
        <v>10000</v>
      </c>
    </row>
    <row r="55" spans="1:16" x14ac:dyDescent="0.3">
      <c r="A55" t="s">
        <v>114</v>
      </c>
      <c r="D55">
        <v>1130</v>
      </c>
      <c r="E55">
        <f>Table2325[[#This Row],[boxes]]*Table2325[[#This Row],[kgs]]*Table2325[[#This Row],[Rate]]</f>
        <v>0</v>
      </c>
      <c r="L55" t="s">
        <v>162</v>
      </c>
      <c r="M55">
        <v>1</v>
      </c>
      <c r="N55">
        <v>5</v>
      </c>
      <c r="O55">
        <v>1000</v>
      </c>
      <c r="P55">
        <f>Table23[[#This Row],[boxes]]*Table23[[#This Row],[kgs]]*Table23[[#This Row],[Rate]]</f>
        <v>5000</v>
      </c>
    </row>
    <row r="56" spans="1:16" x14ac:dyDescent="0.3">
      <c r="A56" t="s">
        <v>153</v>
      </c>
      <c r="B56">
        <v>1</v>
      </c>
      <c r="C56">
        <v>0</v>
      </c>
      <c r="D56">
        <v>3100</v>
      </c>
      <c r="E56">
        <f>Table2325[[#This Row],[boxes]]*Table2325[[#This Row],[kgs]]*Table2325[[#This Row],[Rate]]</f>
        <v>0</v>
      </c>
      <c r="L56" t="s">
        <v>5</v>
      </c>
      <c r="P56">
        <f>SUM(P34:P55)</f>
        <v>244910</v>
      </c>
    </row>
    <row r="57" spans="1:16" x14ac:dyDescent="0.3">
      <c r="A57" t="s">
        <v>126</v>
      </c>
      <c r="B57">
        <v>1</v>
      </c>
      <c r="C57">
        <v>25</v>
      </c>
      <c r="D57">
        <v>1140</v>
      </c>
      <c r="E57">
        <f>Table2325[[#This Row],[boxes]]*Table2325[[#This Row],[kgs]]*Table2325[[#This Row],[Rate]]</f>
        <v>28500</v>
      </c>
    </row>
    <row r="58" spans="1:16" x14ac:dyDescent="0.3">
      <c r="A58" t="s">
        <v>147</v>
      </c>
      <c r="B58">
        <v>1</v>
      </c>
      <c r="C58">
        <v>0</v>
      </c>
      <c r="D58">
        <v>1140</v>
      </c>
      <c r="E58">
        <f>Table2325[[#This Row],[boxes]]*Table2325[[#This Row],[kgs]]*Table2325[[#This Row],[Rate]]</f>
        <v>0</v>
      </c>
    </row>
    <row r="59" spans="1:16" x14ac:dyDescent="0.3">
      <c r="A59" t="s">
        <v>161</v>
      </c>
      <c r="B59">
        <v>1</v>
      </c>
      <c r="C59">
        <v>2</v>
      </c>
      <c r="D59">
        <v>1000</v>
      </c>
      <c r="E59">
        <f>Table2325[[#This Row],[boxes]]*Table2325[[#This Row],[kgs]]*Table2325[[#This Row],[Rate]]</f>
        <v>2000</v>
      </c>
    </row>
    <row r="60" spans="1:16" x14ac:dyDescent="0.3">
      <c r="A60" t="s">
        <v>162</v>
      </c>
      <c r="B60">
        <v>1</v>
      </c>
      <c r="C60">
        <v>10</v>
      </c>
      <c r="D60">
        <v>1600</v>
      </c>
      <c r="E60">
        <f>Table2325[[#This Row],[boxes]]*Table2325[[#This Row],[kgs]]*Table2325[[#This Row],[Rate]]</f>
        <v>16000</v>
      </c>
    </row>
    <row r="61" spans="1:16" x14ac:dyDescent="0.3">
      <c r="A61" t="s">
        <v>114</v>
      </c>
      <c r="B61">
        <v>1</v>
      </c>
      <c r="C61">
        <v>10</v>
      </c>
      <c r="D61">
        <v>1120</v>
      </c>
      <c r="E61">
        <f>Table2325[[#This Row],[boxes]]*Table2325[[#This Row],[kgs]]*Table2325[[#This Row],[Rate]]</f>
        <v>11200</v>
      </c>
    </row>
    <row r="62" spans="1:16" x14ac:dyDescent="0.3">
      <c r="A62" t="s">
        <v>187</v>
      </c>
      <c r="B62">
        <v>1</v>
      </c>
      <c r="C62">
        <v>8</v>
      </c>
      <c r="D62">
        <v>920</v>
      </c>
      <c r="E62">
        <f>Table2325[[#This Row],[boxes]]*Table2325[[#This Row],[kgs]]*Table2325[[#This Row],[Rate]]</f>
        <v>7360</v>
      </c>
    </row>
    <row r="65" spans="5:5" x14ac:dyDescent="0.3">
      <c r="E65">
        <f>SUM(Table2325[total])</f>
        <v>301660</v>
      </c>
    </row>
  </sheetData>
  <pageMargins left="0.7" right="0.7" top="0.75" bottom="0.75" header="0.3" footer="0.3"/>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B8EA-7CD9-455D-A87F-F3555B03CAC4}">
  <dimension ref="A4:M30"/>
  <sheetViews>
    <sheetView topLeftCell="A7" zoomScale="104" workbookViewId="0">
      <selection activeCell="D15" sqref="D15"/>
    </sheetView>
  </sheetViews>
  <sheetFormatPr defaultRowHeight="14.4" x14ac:dyDescent="0.3"/>
  <cols>
    <col min="1" max="1" width="13.88671875" customWidth="1"/>
    <col min="2" max="2" width="14.109375" customWidth="1"/>
    <col min="3" max="3" width="13" customWidth="1"/>
    <col min="4" max="4" width="10.6640625" bestFit="1" customWidth="1"/>
    <col min="7" max="8" width="12.33203125" bestFit="1" customWidth="1"/>
    <col min="9" max="9" width="11.33203125" bestFit="1" customWidth="1"/>
    <col min="10" max="10" width="12.6640625" bestFit="1" customWidth="1"/>
    <col min="11" max="11" width="11.33203125" bestFit="1" customWidth="1"/>
    <col min="12" max="12" width="10.77734375" bestFit="1" customWidth="1"/>
    <col min="13" max="13" width="13.88671875" bestFit="1" customWidth="1"/>
  </cols>
  <sheetData>
    <row r="4" spans="1:13" x14ac:dyDescent="0.3">
      <c r="A4" s="2" t="s">
        <v>75</v>
      </c>
      <c r="B4" s="8" t="s">
        <v>2</v>
      </c>
      <c r="C4" s="2" t="s">
        <v>134</v>
      </c>
      <c r="D4" s="2" t="s">
        <v>121</v>
      </c>
      <c r="E4" s="8" t="s">
        <v>135</v>
      </c>
      <c r="F4" s="8" t="s">
        <v>122</v>
      </c>
      <c r="G4" s="8" t="s">
        <v>92</v>
      </c>
      <c r="H4" s="8" t="s">
        <v>18</v>
      </c>
      <c r="J4" s="3" t="s">
        <v>6</v>
      </c>
      <c r="K4" t="s">
        <v>127</v>
      </c>
      <c r="L4" t="s">
        <v>101</v>
      </c>
      <c r="M4" t="s">
        <v>128</v>
      </c>
    </row>
    <row r="5" spans="1:13" x14ac:dyDescent="0.3">
      <c r="A5" s="84">
        <v>46042</v>
      </c>
      <c r="B5" s="84" t="s">
        <v>117</v>
      </c>
      <c r="C5" s="81" t="s">
        <v>209</v>
      </c>
      <c r="D5" s="81"/>
      <c r="E5" s="81"/>
      <c r="F5" s="81">
        <f>Table2[[#This Row],[Quantity]]*200*Table2[[#This Row],[Boxes]]</f>
        <v>0</v>
      </c>
      <c r="G5" s="81">
        <f>SUMIFS(Table14[Debit], Table14[Date], Table2[[#This Row],[Date]], Table14[Party], Table2[[#This Row],[Party Name]])</f>
        <v>0</v>
      </c>
      <c r="H5" s="81">
        <v>0</v>
      </c>
      <c r="J5" s="4" t="s">
        <v>103</v>
      </c>
      <c r="K5">
        <v>0</v>
      </c>
      <c r="L5">
        <v>0</v>
      </c>
      <c r="M5">
        <v>0</v>
      </c>
    </row>
    <row r="6" spans="1:13" x14ac:dyDescent="0.3">
      <c r="A6" s="84">
        <v>46042</v>
      </c>
      <c r="B6" s="84" t="s">
        <v>116</v>
      </c>
      <c r="C6" s="81" t="s">
        <v>209</v>
      </c>
      <c r="D6" s="81"/>
      <c r="E6" s="81"/>
      <c r="F6" s="81">
        <f>Table2[[#This Row],[Quantity]]*200*Table2[[#This Row],[Boxes]]</f>
        <v>0</v>
      </c>
      <c r="G6" s="81">
        <f>SUMIFS(Table14[Debit], Table14[Date], Table2[[#This Row],[Date]], Table14[Party], Table2[[#This Row],[Party Name]])</f>
        <v>0</v>
      </c>
      <c r="H6" s="81">
        <v>50000</v>
      </c>
      <c r="J6" s="4" t="s">
        <v>116</v>
      </c>
      <c r="K6">
        <v>0</v>
      </c>
      <c r="L6">
        <v>50000</v>
      </c>
      <c r="M6">
        <v>0</v>
      </c>
    </row>
    <row r="7" spans="1:13" x14ac:dyDescent="0.3">
      <c r="A7" s="84">
        <v>46042</v>
      </c>
      <c r="B7" s="84" t="s">
        <v>165</v>
      </c>
      <c r="C7" s="81" t="s">
        <v>209</v>
      </c>
      <c r="F7" s="81">
        <f>Table2[[#This Row],[Quantity]]*200*Table2[[#This Row],[Boxes]]</f>
        <v>0</v>
      </c>
      <c r="G7" s="81">
        <f>SUMIFS(Table14[Debit], Table14[Date], Table2[[#This Row],[Date]], Table14[Party], Table2[[#This Row],[Party Name]])</f>
        <v>0</v>
      </c>
      <c r="H7" s="80">
        <v>0</v>
      </c>
      <c r="J7" s="4" t="s">
        <v>117</v>
      </c>
      <c r="K7">
        <v>176400</v>
      </c>
      <c r="L7">
        <v>176400</v>
      </c>
      <c r="M7">
        <v>0</v>
      </c>
    </row>
    <row r="8" spans="1:13" x14ac:dyDescent="0.3">
      <c r="A8" s="84">
        <v>46042</v>
      </c>
      <c r="B8" s="94" t="s">
        <v>189</v>
      </c>
      <c r="C8" s="81" t="s">
        <v>209</v>
      </c>
      <c r="F8" s="81">
        <f>Table2[[#This Row],[Quantity]]*200*Table2[[#This Row],[Boxes]]</f>
        <v>0</v>
      </c>
      <c r="G8" s="81">
        <f>SUMIFS(Table14[Debit], Table14[Date], Table2[[#This Row],[Date]], Table14[Party], Table2[[#This Row],[Party Name]])</f>
        <v>0</v>
      </c>
      <c r="H8" s="80">
        <v>0</v>
      </c>
      <c r="J8" s="4" t="s">
        <v>165</v>
      </c>
      <c r="K8">
        <v>300000</v>
      </c>
      <c r="L8">
        <v>122500</v>
      </c>
      <c r="M8">
        <v>177500</v>
      </c>
    </row>
    <row r="9" spans="1:13" x14ac:dyDescent="0.3">
      <c r="A9" s="84">
        <v>46042</v>
      </c>
      <c r="B9" s="115" t="s">
        <v>193</v>
      </c>
      <c r="C9" s="87" t="s">
        <v>209</v>
      </c>
      <c r="F9" s="81">
        <f>Table2[[#This Row],[Quantity]]*200*Table2[[#This Row],[Boxes]]</f>
        <v>0</v>
      </c>
      <c r="G9" s="81">
        <f>SUMIFS(Table14[Debit], Table14[Date], Table2[[#This Row],[Date]], Table14[Party], Table2[[#This Row],[Party Name]])</f>
        <v>0</v>
      </c>
      <c r="H9" s="80">
        <f>Table2[[#This Row],[Price]]-Table2[[#This Row],[Paid]]</f>
        <v>0</v>
      </c>
      <c r="J9" s="4" t="s">
        <v>189</v>
      </c>
      <c r="K9">
        <v>351000</v>
      </c>
      <c r="L9">
        <v>351000</v>
      </c>
      <c r="M9">
        <v>0</v>
      </c>
    </row>
    <row r="10" spans="1:13" x14ac:dyDescent="0.3">
      <c r="A10" s="1">
        <v>46042</v>
      </c>
      <c r="B10" s="1" t="s">
        <v>189</v>
      </c>
      <c r="C10" t="s">
        <v>61</v>
      </c>
      <c r="D10">
        <v>45</v>
      </c>
      <c r="F10">
        <v>351000</v>
      </c>
      <c r="G10">
        <f>SUMIFS(Table14[Debit], Table14[Date], Table2[[#This Row],[Date]], Table14[Party], Table2[[#This Row],[Party Name]])</f>
        <v>0</v>
      </c>
      <c r="H10">
        <f>Table2[[#This Row],[Price]]-Table2[[#This Row],[Paid]]</f>
        <v>351000</v>
      </c>
      <c r="J10" s="4" t="s">
        <v>193</v>
      </c>
      <c r="K10">
        <v>49200</v>
      </c>
      <c r="L10">
        <v>49200</v>
      </c>
      <c r="M10">
        <v>0</v>
      </c>
    </row>
    <row r="11" spans="1:13" x14ac:dyDescent="0.3">
      <c r="A11" s="1">
        <v>46043</v>
      </c>
      <c r="B11" s="1" t="s">
        <v>193</v>
      </c>
      <c r="C11" t="s">
        <v>164</v>
      </c>
      <c r="F11">
        <v>49200</v>
      </c>
      <c r="G11">
        <f>SUMIFS(Table14[Debit], Table14[Date], Table2[[#This Row],[Date]], Table14[Party], Table2[[#This Row],[Party Name]])</f>
        <v>49200</v>
      </c>
      <c r="H11">
        <f>Table2[[#This Row],[Price]]-Table2[[#This Row],[Paid]]</f>
        <v>0</v>
      </c>
      <c r="J11" s="4" t="s">
        <v>304</v>
      </c>
      <c r="L11">
        <v>0</v>
      </c>
      <c r="M11">
        <v>0</v>
      </c>
    </row>
    <row r="12" spans="1:13" x14ac:dyDescent="0.3">
      <c r="A12" s="1">
        <v>46044</v>
      </c>
      <c r="B12" s="1" t="s">
        <v>165</v>
      </c>
      <c r="C12" t="s">
        <v>212</v>
      </c>
      <c r="D12">
        <v>2</v>
      </c>
      <c r="E12">
        <v>125</v>
      </c>
      <c r="F12">
        <f>Table2[[#This Row],[Quantity]]*240*Table2[[#This Row],[Boxes]]</f>
        <v>60000</v>
      </c>
      <c r="G12">
        <f>SUMIFS(Table14[Debit], Table14[Date], Table2[[#This Row],[Date]], Table14[Party], Table2[[#This Row],[Party Name]])</f>
        <v>0</v>
      </c>
      <c r="H12">
        <f>Table2[[#This Row],[Price]]-Table2[[#This Row],[Paid]]</f>
        <v>60000</v>
      </c>
      <c r="J12" s="4" t="s">
        <v>28</v>
      </c>
      <c r="K12">
        <v>876600</v>
      </c>
      <c r="L12">
        <v>749100</v>
      </c>
      <c r="M12">
        <v>177500</v>
      </c>
    </row>
    <row r="13" spans="1:13" x14ac:dyDescent="0.3">
      <c r="A13" s="1">
        <v>46048</v>
      </c>
      <c r="B13" s="1" t="s">
        <v>165</v>
      </c>
      <c r="C13" t="s">
        <v>212</v>
      </c>
      <c r="D13">
        <v>2</v>
      </c>
      <c r="E13">
        <v>125</v>
      </c>
      <c r="F13">
        <f>Table2[[#This Row],[Quantity]]*240*Table2[[#This Row],[Boxes]]</f>
        <v>60000</v>
      </c>
      <c r="G13">
        <f>SUMIFS(Table14[Debit], Table14[Date], Table2[[#This Row],[Date]], Table14[Party], Table2[[#This Row],[Party Name]])</f>
        <v>0</v>
      </c>
      <c r="H13">
        <f>Table2[[#This Row],[Price]]-Table2[[#This Row],[Paid]]</f>
        <v>60000</v>
      </c>
    </row>
    <row r="14" spans="1:13" x14ac:dyDescent="0.3">
      <c r="A14" s="1">
        <v>46051</v>
      </c>
      <c r="B14" s="1" t="s">
        <v>304</v>
      </c>
      <c r="C14" t="s">
        <v>303</v>
      </c>
      <c r="D14">
        <v>2</v>
      </c>
      <c r="E14">
        <v>125</v>
      </c>
      <c r="G14">
        <f>SUMIFS(Table14[Debit], Table14[Date], Table2[[#This Row],[Date]], Table14[Party], Table2[[#This Row],[Party Name]])</f>
        <v>0</v>
      </c>
      <c r="H14">
        <f>Table2[[#This Row],[Price]]-Table2[[#This Row],[Paid]]</f>
        <v>0</v>
      </c>
    </row>
    <row r="15" spans="1:13" x14ac:dyDescent="0.3">
      <c r="A15" s="1">
        <v>46053</v>
      </c>
      <c r="B15" s="1" t="s">
        <v>117</v>
      </c>
      <c r="C15" t="s">
        <v>303</v>
      </c>
      <c r="F15">
        <v>20400</v>
      </c>
      <c r="G15">
        <f>SUMIFS(Table14[Debit], Table14[Date], Table2[[#This Row],[Date]], Table14[Party], Table2[[#This Row],[Party Name]])</f>
        <v>20400</v>
      </c>
      <c r="H15">
        <f>Table2[[#This Row],[Price]]-Table2[[#This Row],[Paid]]</f>
        <v>0</v>
      </c>
    </row>
    <row r="16" spans="1:13" x14ac:dyDescent="0.3">
      <c r="A16" s="1">
        <v>46058</v>
      </c>
      <c r="B16" s="1" t="s">
        <v>165</v>
      </c>
      <c r="C16" t="s">
        <v>212</v>
      </c>
      <c r="D16">
        <v>4</v>
      </c>
      <c r="E16">
        <v>125</v>
      </c>
      <c r="F16">
        <f>Table2[[#This Row],[Quantity]]*240*Table2[[#This Row],[Boxes]]</f>
        <v>120000</v>
      </c>
      <c r="G16">
        <f>SUMIFS(Table14[Debit], Table14[Date], Table2[[#This Row],[Date]], Table14[Party], Table2[[#This Row],[Party Name]])</f>
        <v>0</v>
      </c>
      <c r="H16">
        <f>Table2[[#This Row],[Price]]-Table2[[#This Row],[Paid]]</f>
        <v>120000</v>
      </c>
    </row>
    <row r="17" spans="1:11" x14ac:dyDescent="0.3">
      <c r="A17" s="1">
        <v>46060</v>
      </c>
      <c r="B17" s="1" t="s">
        <v>165</v>
      </c>
      <c r="F17">
        <f>Table2[[#This Row],[Quantity]]*200*Table2[[#This Row],[Boxes]]</f>
        <v>0</v>
      </c>
      <c r="G17">
        <f>SUMIFS(Table14[Debit], Table14[Date], Table2[[#This Row],[Date]], Table14[Party], Table2[[#This Row],[Party Name]])</f>
        <v>60000</v>
      </c>
      <c r="H17">
        <f>Table2[[#This Row],[Price]]-Table2[[#This Row],[Paid]]</f>
        <v>-60000</v>
      </c>
    </row>
    <row r="18" spans="1:11" x14ac:dyDescent="0.3">
      <c r="A18" s="1">
        <v>46062</v>
      </c>
      <c r="B18" s="1" t="s">
        <v>116</v>
      </c>
      <c r="F18">
        <f>Table2[[#This Row],[Quantity]]*200*Table2[[#This Row],[Boxes]]</f>
        <v>0</v>
      </c>
      <c r="G18">
        <f>SUMIFS(Table14[Debit], Table14[Date], Table2[[#This Row],[Date]], Table14[Party], Table2[[#This Row],[Party Name]])</f>
        <v>50000</v>
      </c>
      <c r="H18">
        <f>Table2[[#This Row],[Price]]-Table2[[#This Row],[Paid]]</f>
        <v>-50000</v>
      </c>
    </row>
    <row r="19" spans="1:11" x14ac:dyDescent="0.3">
      <c r="A19" s="1">
        <v>46064</v>
      </c>
      <c r="B19" s="1" t="s">
        <v>165</v>
      </c>
      <c r="F19">
        <f>Table2[[#This Row],[Quantity]]*200*Table2[[#This Row],[Boxes]]</f>
        <v>0</v>
      </c>
      <c r="G19">
        <f>SUMIFS(Table14[Debit], Table14[Date], Table2[[#This Row],[Date]], Table14[Party], Table2[[#This Row],[Party Name]])</f>
        <v>60000</v>
      </c>
      <c r="H19">
        <f>Table2[[#This Row],[Price]]-Table2[[#This Row],[Paid]]</f>
        <v>-60000</v>
      </c>
    </row>
    <row r="20" spans="1:11" x14ac:dyDescent="0.3">
      <c r="A20" s="1">
        <v>46068</v>
      </c>
      <c r="B20" s="1" t="s">
        <v>117</v>
      </c>
      <c r="C20" t="s">
        <v>61</v>
      </c>
      <c r="F20">
        <v>78000</v>
      </c>
      <c r="G20">
        <f>SUMIFS(Table14[Debit], Table14[Date], Table2[[#This Row],[Date]], Table14[Party], Table2[[#This Row],[Party Name]])</f>
        <v>78000</v>
      </c>
      <c r="H20">
        <f>Table2[[#This Row],[Price]]-Table2[[#This Row],[Paid]]</f>
        <v>0</v>
      </c>
    </row>
    <row r="21" spans="1:11" x14ac:dyDescent="0.3">
      <c r="A21" s="1">
        <v>46071</v>
      </c>
      <c r="B21" s="1" t="s">
        <v>189</v>
      </c>
      <c r="F21">
        <f>Table2[[#This Row],[Quantity]]*200*Table2[[#This Row],[Boxes]]</f>
        <v>0</v>
      </c>
      <c r="G21">
        <f>SUMIFS(Table14[Debit], Table14[Date], Table2[[#This Row],[Date]], Table14[Party], Table2[[#This Row],[Party Name]])</f>
        <v>351000</v>
      </c>
      <c r="H21">
        <f>Table2[[#This Row],[Price]]-Table2[[#This Row],[Paid]]</f>
        <v>-351000</v>
      </c>
    </row>
    <row r="22" spans="1:11" x14ac:dyDescent="0.3">
      <c r="A22" s="1"/>
      <c r="B22" s="1"/>
    </row>
    <row r="23" spans="1:11" x14ac:dyDescent="0.3">
      <c r="A23" s="1"/>
      <c r="B23" s="1"/>
    </row>
    <row r="24" spans="1:11" x14ac:dyDescent="0.3">
      <c r="A24" s="1"/>
      <c r="B24" s="1"/>
      <c r="I24" t="s">
        <v>57</v>
      </c>
      <c r="J24" t="s">
        <v>174</v>
      </c>
      <c r="K24" t="s">
        <v>201</v>
      </c>
    </row>
    <row r="25" spans="1:11" x14ac:dyDescent="0.3">
      <c r="A25" s="1"/>
      <c r="B25" s="1"/>
      <c r="I25" t="s">
        <v>61</v>
      </c>
      <c r="J25">
        <f>7800*60</f>
        <v>468000</v>
      </c>
      <c r="K25">
        <f>2*7800</f>
        <v>15600</v>
      </c>
    </row>
    <row r="26" spans="1:11" x14ac:dyDescent="0.3">
      <c r="A26" s="1"/>
      <c r="F26">
        <f>SUBTOTAL(109,Table2[Price])</f>
        <v>738600</v>
      </c>
      <c r="G26">
        <f>SUBTOTAL(109,Table2[Paid])</f>
        <v>668600</v>
      </c>
      <c r="H26">
        <f>SUBTOTAL(109,Table2[Balance])</f>
        <v>120000</v>
      </c>
      <c r="I26" t="s">
        <v>61</v>
      </c>
      <c r="K26">
        <f>13*4000</f>
        <v>52000</v>
      </c>
    </row>
    <row r="27" spans="1:11" x14ac:dyDescent="0.3">
      <c r="I27" t="s">
        <v>164</v>
      </c>
      <c r="J27">
        <f>13000*3</f>
        <v>39000</v>
      </c>
      <c r="K27">
        <f>13000*3</f>
        <v>39000</v>
      </c>
    </row>
    <row r="30" spans="1:11" x14ac:dyDescent="0.3">
      <c r="I30" t="s">
        <v>158</v>
      </c>
      <c r="J30">
        <f>SUM(J25:J27)</f>
        <v>507000</v>
      </c>
      <c r="K30">
        <f>SUM(K25:K27)</f>
        <v>106600</v>
      </c>
    </row>
  </sheetData>
  <phoneticPr fontId="4" type="noConversion"/>
  <pageMargins left="0.7" right="0.7" top="0.75" bottom="0.75" header="0.3" footer="0.3"/>
  <pageSetup scale="0" firstPageNumber="0" fitToWidth="0" fitToHeight="0" orientation="portrait" horizontalDpi="0" verticalDpi="0" copies="0"/>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7EB1-FAC4-4151-BC54-C60611322E2D}">
  <dimension ref="B2:E3"/>
  <sheetViews>
    <sheetView workbookViewId="0">
      <selection activeCell="E3" sqref="E3"/>
    </sheetView>
  </sheetViews>
  <sheetFormatPr defaultRowHeight="14.4" x14ac:dyDescent="0.3"/>
  <cols>
    <col min="3" max="3" width="12.33203125" customWidth="1"/>
    <col min="5" max="5" width="11.44140625" bestFit="1" customWidth="1"/>
  </cols>
  <sheetData>
    <row r="2" spans="2:5" x14ac:dyDescent="0.3">
      <c r="B2" t="s">
        <v>75</v>
      </c>
      <c r="C2" t="s">
        <v>136</v>
      </c>
      <c r="D2" t="s">
        <v>137</v>
      </c>
      <c r="E2" t="s">
        <v>5</v>
      </c>
    </row>
    <row r="3" spans="2:5" x14ac:dyDescent="0.3">
      <c r="B3" s="19" t="s">
        <v>213</v>
      </c>
      <c r="C3" s="19" t="s">
        <v>97</v>
      </c>
      <c r="D3" s="19" t="s">
        <v>97</v>
      </c>
      <c r="E3" s="20">
        <v>2222081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BF89-1A2A-4F2E-9BAA-643F24136016}">
  <dimension ref="B2:E6"/>
  <sheetViews>
    <sheetView workbookViewId="0">
      <selection activeCell="C4" sqref="C4"/>
    </sheetView>
  </sheetViews>
  <sheetFormatPr defaultRowHeight="14.4" x14ac:dyDescent="0.3"/>
  <cols>
    <col min="2" max="2" width="16.21875" customWidth="1"/>
    <col min="3" max="3" width="12.5546875" customWidth="1"/>
    <col min="4" max="4" width="13.33203125" customWidth="1"/>
    <col min="5" max="5" width="15.5546875" customWidth="1"/>
  </cols>
  <sheetData>
    <row r="2" spans="2:5" x14ac:dyDescent="0.3">
      <c r="B2" t="s">
        <v>75</v>
      </c>
      <c r="C2" t="s">
        <v>45</v>
      </c>
      <c r="D2" t="s">
        <v>46</v>
      </c>
      <c r="E2" t="s">
        <v>66</v>
      </c>
    </row>
    <row r="3" spans="2:5" x14ac:dyDescent="0.3">
      <c r="B3" s="1"/>
      <c r="D3" s="11"/>
    </row>
    <row r="4" spans="2:5" x14ac:dyDescent="0.3">
      <c r="D4" s="11"/>
    </row>
    <row r="5" spans="2:5" x14ac:dyDescent="0.3">
      <c r="D5" s="11"/>
    </row>
    <row r="6" spans="2:5" x14ac:dyDescent="0.3">
      <c r="B6" t="s">
        <v>5</v>
      </c>
      <c r="D6" s="14">
        <f>SUBTOTAL(109,Table210[Amount])</f>
        <v>0</v>
      </c>
      <c r="E6">
        <f>SUBTOTAL(103,Table210[Column1])</f>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2331-540A-4BE5-B987-3C6225CFE23F}">
  <dimension ref="B2:J43"/>
  <sheetViews>
    <sheetView topLeftCell="C19" zoomScale="118" workbookViewId="0">
      <selection activeCell="H30" sqref="H30:H36"/>
    </sheetView>
  </sheetViews>
  <sheetFormatPr defaultRowHeight="14.4" x14ac:dyDescent="0.3"/>
  <cols>
    <col min="2" max="2" width="12.33203125" customWidth="1"/>
    <col min="3" max="3" width="11.33203125" customWidth="1"/>
    <col min="4" max="4" width="10.33203125" bestFit="1" customWidth="1"/>
    <col min="8" max="8" width="14" customWidth="1"/>
    <col min="9" max="9" width="10" customWidth="1"/>
    <col min="10" max="10" width="13.33203125" customWidth="1"/>
  </cols>
  <sheetData>
    <row r="2" spans="2:10" x14ac:dyDescent="0.3">
      <c r="B2" t="s">
        <v>75</v>
      </c>
      <c r="C2" t="s">
        <v>46</v>
      </c>
      <c r="D2" t="s">
        <v>66</v>
      </c>
      <c r="E2" t="s">
        <v>67</v>
      </c>
      <c r="H2" t="s">
        <v>75</v>
      </c>
      <c r="I2" t="s">
        <v>138</v>
      </c>
      <c r="J2" t="s">
        <v>139</v>
      </c>
    </row>
    <row r="3" spans="2:10" x14ac:dyDescent="0.3">
      <c r="B3" s="1">
        <v>46037</v>
      </c>
      <c r="C3" s="20">
        <f>SUMIFS(Table14[Debit], Table14[Date], Table11[[#This Row],[Date]], Table14[Party],"Salary ", Table14[Description],Table11[[#This Row],[Column1]])</f>
        <v>0</v>
      </c>
      <c r="H3" s="1">
        <v>46037</v>
      </c>
      <c r="I3">
        <f>SUMIFS(Table14[Debit], Table14[Date], Table16[[#This Row],[Date]], Table14[Party], "Advance Salary", Table14[Description], Table16[[#This Row],[Person]] )</f>
        <v>0</v>
      </c>
    </row>
    <row r="4" spans="2:10" x14ac:dyDescent="0.3">
      <c r="B4" s="1">
        <v>46038</v>
      </c>
      <c r="C4" s="20">
        <f>SUMIFS(Table14[Debit], Table14[Date], Table11[[#This Row],[Date]], Table14[Party],"Salary", Table14[Description],Table11[[#This Row],[Column1]])</f>
        <v>0</v>
      </c>
      <c r="H4" s="1">
        <v>46038</v>
      </c>
      <c r="I4">
        <f>SUMIFS(Table14[Debit], Table14[Date], Table16[[#This Row],[Date]], Table14[Party], "Advance Salary", Table14[Description], Table16[[#This Row],[Person]] )</f>
        <v>0</v>
      </c>
    </row>
    <row r="5" spans="2:10" x14ac:dyDescent="0.3">
      <c r="B5" s="1">
        <v>46039</v>
      </c>
      <c r="C5" s="20">
        <f>SUMIFS(Table14[Debit], Table14[Date], Table11[[#This Row],[Date]], Table14[Party],"Salary", Table14[Description],Table11[[#This Row],[Column1]])</f>
        <v>0</v>
      </c>
      <c r="H5" s="1">
        <v>46039</v>
      </c>
      <c r="I5">
        <f>SUMIFS(Table14[Debit], Table14[Date], Table16[[#This Row],[Date]], Table14[Party], "Advance Salary", Table14[Description], Table16[[#This Row],[Person]] )</f>
        <v>0</v>
      </c>
    </row>
    <row r="6" spans="2:10" x14ac:dyDescent="0.3">
      <c r="B6" s="1">
        <v>46040</v>
      </c>
      <c r="C6" s="20">
        <f>SUMIFS(Table14[Debit], Table14[Date], Table11[[#This Row],[Date]], Table14[Party],"Salary", Table14[Description],Table11[[#This Row],[Column1]])</f>
        <v>0</v>
      </c>
      <c r="H6" s="1">
        <v>46040</v>
      </c>
      <c r="I6">
        <f>SUMIFS(Table14[Debit], Table14[Date], Table16[[#This Row],[Date]], Table14[Party], "Advance Salary", Table14[Description], Table16[[#This Row],[Person]] )</f>
        <v>0</v>
      </c>
    </row>
    <row r="7" spans="2:10" x14ac:dyDescent="0.3">
      <c r="B7" s="1">
        <v>46041</v>
      </c>
      <c r="C7" s="20">
        <f>SUMIFS(Table14[Debit], Table14[Date], Table11[[#This Row],[Date]], Table14[Party],"Salary", Table14[Description],Table11[[#This Row],[Column1]])</f>
        <v>0</v>
      </c>
      <c r="H7" s="1">
        <v>46041</v>
      </c>
      <c r="I7">
        <f>SUMIFS(Table14[Debit], Table14[Date], Table16[[#This Row],[Date]], Table14[Party], "Advance Salary", Table14[Description], Table16[[#This Row],[Person]] )</f>
        <v>0</v>
      </c>
    </row>
    <row r="8" spans="2:10" x14ac:dyDescent="0.3">
      <c r="B8" s="1">
        <v>46042</v>
      </c>
      <c r="C8" s="20">
        <f>SUMIFS(Table14[Debit], Table14[Date], Table11[[#This Row],[Date]], Table14[Party],"Salary", Table14[Description],Table11[[#This Row],[Column1]])</f>
        <v>0</v>
      </c>
      <c r="H8" s="1">
        <v>46042</v>
      </c>
      <c r="I8">
        <f>SUMIFS(Table14[Debit], Table14[Date], Table16[[#This Row],[Date]], Table14[Party], "Advance Salary", Table14[Description], Table16[[#This Row],[Person]] )</f>
        <v>0</v>
      </c>
    </row>
    <row r="9" spans="2:10" x14ac:dyDescent="0.3">
      <c r="B9" s="1">
        <v>46043</v>
      </c>
      <c r="C9" s="20">
        <f>SUMIFS(Table14[Debit], Table14[Date], Table11[[#This Row],[Date]], Table14[Party],"Salary", Table14[Description],Table11[[#This Row],[Column1]])</f>
        <v>0</v>
      </c>
      <c r="H9" s="1">
        <v>46043</v>
      </c>
      <c r="I9">
        <f>SUMIFS(Table14[Debit], Table14[Date], Table16[[#This Row],[Date]], Table14[Party], "Advance Salary", Table14[Description], Table16[[#This Row],[Person]] )</f>
        <v>0</v>
      </c>
    </row>
    <row r="10" spans="2:10" x14ac:dyDescent="0.3">
      <c r="B10" s="1">
        <v>46044</v>
      </c>
      <c r="C10" s="20">
        <f>SUMIFS(Table14[Debit], Table14[Date], Table11[[#This Row],[Date]], Table14[Party],"Salary", Table14[Description],Table11[[#This Row],[Column1]])</f>
        <v>0</v>
      </c>
      <c r="H10" s="1">
        <v>46044</v>
      </c>
      <c r="I10">
        <f>SUMIFS(Table14[Debit], Table14[Date], Table16[[#This Row],[Date]], Table14[Party], "Advance Salary", Table14[Description], Table16[[#This Row],[Person]] )</f>
        <v>0</v>
      </c>
    </row>
    <row r="11" spans="2:10" x14ac:dyDescent="0.3">
      <c r="B11" s="1">
        <v>46045</v>
      </c>
      <c r="C11" s="20">
        <f>SUMIFS(Table14[Debit], Table14[Date], Table11[[#This Row],[Date]], Table14[Party],"Salary", Table14[Description],Table11[[#This Row],[Column1]])</f>
        <v>0</v>
      </c>
      <c r="H11" s="1">
        <v>46045</v>
      </c>
      <c r="I11">
        <f>SUMIFS(Table14[Debit], Table14[Date], Table16[[#This Row],[Date]], Table14[Party], "Advance Salary", Table14[Description], Table16[[#This Row],[Person]] )</f>
        <v>0</v>
      </c>
    </row>
    <row r="12" spans="2:10" x14ac:dyDescent="0.3">
      <c r="B12" s="1">
        <v>46046</v>
      </c>
      <c r="C12" s="20">
        <f>SUMIFS(Table14[Debit], Table14[Date], Table11[[#This Row],[Date]], Table14[Party],"Salary", Table14[Description],Table11[[#This Row],[Column1]])</f>
        <v>0</v>
      </c>
      <c r="H12" s="1">
        <v>46046</v>
      </c>
      <c r="I12">
        <f>SUMIFS(Table14[Debit], Table14[Date], Table16[[#This Row],[Date]], Table14[Party], "Advance Salary", Table14[Description], Table16[[#This Row],[Person]] )</f>
        <v>0</v>
      </c>
    </row>
    <row r="13" spans="2:10" x14ac:dyDescent="0.3">
      <c r="B13" s="1">
        <v>46047</v>
      </c>
      <c r="C13" s="20">
        <f>SUMIFS(Table14[Debit], Table14[Date], Table11[[#This Row],[Date]], Table14[Party],"Salary", Table14[Description],Table11[[#This Row],[Column1]])</f>
        <v>0</v>
      </c>
      <c r="H13" s="1">
        <v>46047</v>
      </c>
      <c r="I13">
        <f>SUMIFS(Table14[Debit], Table14[Date], Table16[[#This Row],[Date]], Table14[Party], "Advance Salary", Table14[Description], Table16[[#This Row],[Person]] )</f>
        <v>0</v>
      </c>
    </row>
    <row r="14" spans="2:10" x14ac:dyDescent="0.3">
      <c r="B14" s="1">
        <v>46048</v>
      </c>
      <c r="C14" s="20">
        <f>SUMIFS(Table14[Debit], Table14[Date], Table11[[#This Row],[Date]], Table14[Party],"Salary", Table14[Description],Table11[[#This Row],[Column1]])</f>
        <v>0</v>
      </c>
      <c r="H14" s="1">
        <v>46048</v>
      </c>
      <c r="I14">
        <f>SUMIFS(Table14[Debit], Table14[Date], Table16[[#This Row],[Date]], Table14[Party], "Advance Salary", Table14[Description], Table16[[#This Row],[Person]] )</f>
        <v>0</v>
      </c>
    </row>
    <row r="15" spans="2:10" x14ac:dyDescent="0.3">
      <c r="B15" s="1">
        <v>46049</v>
      </c>
      <c r="C15" s="20">
        <f>SUMIFS(Table14[Debit], Table14[Date], Table11[[#This Row],[Date]], Table14[Party],"Salary", Table14[Description],Table11[[#This Row],[Column1]])</f>
        <v>0</v>
      </c>
      <c r="H15" s="1">
        <v>46049</v>
      </c>
      <c r="I15">
        <f>SUMIFS(Table14[Debit], Table14[Date], Table16[[#This Row],[Date]], Table14[Party], "Advance Salary", Table14[Description], Table16[[#This Row],[Person]] )</f>
        <v>0</v>
      </c>
    </row>
    <row r="16" spans="2:10" x14ac:dyDescent="0.3">
      <c r="B16" s="1">
        <v>46050</v>
      </c>
      <c r="C16" s="20">
        <f>SUMIFS(Table14[Debit], Table14[Date], Table11[[#This Row],[Date]], Table14[Party],"Salary", Table14[Description],Table11[[#This Row],[Column1]])</f>
        <v>0</v>
      </c>
      <c r="H16" s="1">
        <v>46050</v>
      </c>
      <c r="I16">
        <f>SUMIFS(Table14[Debit], Table14[Date], Table16[[#This Row],[Date]], Table14[Party], "Advance Salary", Table14[Description], Table16[[#This Row],[Person]] )</f>
        <v>0</v>
      </c>
    </row>
    <row r="17" spans="2:9" x14ac:dyDescent="0.3">
      <c r="B17" s="1">
        <v>46051</v>
      </c>
      <c r="C17" s="20">
        <f>SUMIFS(Table14[Debit], Table14[Date], Table11[[#This Row],[Date]], Table14[Party],"Salary", Table14[Description],Table11[[#This Row],[Column1]])</f>
        <v>0</v>
      </c>
      <c r="H17" s="1">
        <v>46051</v>
      </c>
      <c r="I17">
        <f>SUMIFS(Table14[Debit], Table14[Date], Table16[[#This Row],[Date]], Table14[Party], "Advance Salary", Table14[Description], Table16[[#This Row],[Person]] )</f>
        <v>0</v>
      </c>
    </row>
    <row r="18" spans="2:9" x14ac:dyDescent="0.3">
      <c r="B18" s="1">
        <v>46052</v>
      </c>
      <c r="C18" s="20">
        <f>SUMIFS(Table14[Debit], Table14[Date], Table11[[#This Row],[Date]], Table14[Party],"Salary", Table14[Description],Table11[[#This Row],[Column1]])</f>
        <v>0</v>
      </c>
      <c r="H18" s="1">
        <v>46052</v>
      </c>
      <c r="I18">
        <f>SUMIFS(Table14[Debit], Table14[Date], Table16[[#This Row],[Date]], Table14[Party], "Advance Salary", Table14[Description], Table16[[#This Row],[Person]] )</f>
        <v>0</v>
      </c>
    </row>
    <row r="19" spans="2:9" x14ac:dyDescent="0.3">
      <c r="B19" s="1">
        <v>46053</v>
      </c>
      <c r="C19" s="20">
        <f>SUMIFS(Table14[Debit], Table14[Date], Table11[[#This Row],[Date]], Table14[Party],"Salary", Table14[Description],Table11[[#This Row],[Column1]])</f>
        <v>0</v>
      </c>
      <c r="H19" s="1">
        <v>46053</v>
      </c>
      <c r="I19">
        <f>SUMIFS(Table14[Debit], Table14[Date], Table16[[#This Row],[Date]], Table14[Party], "Advance Salary", Table14[Description], Table16[[#This Row],[Person]] )</f>
        <v>0</v>
      </c>
    </row>
    <row r="20" spans="2:9" x14ac:dyDescent="0.3">
      <c r="B20" s="1">
        <v>46054</v>
      </c>
      <c r="C20" s="20">
        <f>SUMIFS(Table14[Debit], Table14[Date], Table11[[#This Row],[Date]], Table14[Party],"Salary", Table14[Description],Table11[[#This Row],[Column1]])</f>
        <v>0</v>
      </c>
      <c r="H20" s="1">
        <v>46054</v>
      </c>
      <c r="I20">
        <f>SUMIFS(Table14[Debit], Table14[Date], Table16[[#This Row],[Date]], Table14[Party], "Advance Salary", Table14[Description], Table16[[#This Row],[Person]] )</f>
        <v>0</v>
      </c>
    </row>
    <row r="21" spans="2:9" x14ac:dyDescent="0.3">
      <c r="B21" s="1">
        <v>46055</v>
      </c>
      <c r="C21" s="20">
        <f>SUMIFS(Table14[Debit], Table14[Date], Table11[[#This Row],[Date]], Table14[Party],"Salary", Table14[Description],Table11[[#This Row],[Column1]])</f>
        <v>0</v>
      </c>
      <c r="H21" s="1">
        <v>46055</v>
      </c>
      <c r="I21">
        <f>SUMIFS(Table14[Debit], Table14[Date], Table16[[#This Row],[Date]], Table14[Party], "Advance Salary", Table14[Description], Table16[[#This Row],[Person]] )</f>
        <v>0</v>
      </c>
    </row>
    <row r="22" spans="2:9" x14ac:dyDescent="0.3">
      <c r="B22" s="1">
        <v>46056</v>
      </c>
      <c r="C22" s="20">
        <f>SUMIFS(Table14[Debit], Table14[Date], Table11[[#This Row],[Date]], Table14[Party],"Salary", Table14[Description],Table11[[#This Row],[Column1]])</f>
        <v>0</v>
      </c>
      <c r="H22" s="1">
        <v>46056</v>
      </c>
      <c r="I22">
        <f>SUMIFS(Table14[Debit], Table14[Date], Table16[[#This Row],[Date]], Table14[Party], "Advance Salary", Table14[Description], Table16[[#This Row],[Person]] )</f>
        <v>0</v>
      </c>
    </row>
    <row r="23" spans="2:9" x14ac:dyDescent="0.3">
      <c r="B23" s="1">
        <v>46057</v>
      </c>
      <c r="C23" s="20">
        <f>SUMIFS(Table14[Debit], Table14[Date], Table11[[#This Row],[Date]], Table14[Party],"Salary", Table14[Description],Table11[[#This Row],[Column1]])</f>
        <v>0</v>
      </c>
      <c r="H23" s="1">
        <v>46057</v>
      </c>
      <c r="I23">
        <f>SUMIFS(Table14[Debit], Table14[Date], Table16[[#This Row],[Date]], Table14[Party], "Advance Salary", Table14[Description], Table16[[#This Row],[Person]] )</f>
        <v>0</v>
      </c>
    </row>
    <row r="24" spans="2:9" x14ac:dyDescent="0.3">
      <c r="B24" s="1">
        <v>46058</v>
      </c>
      <c r="C24" s="20">
        <f>SUMIFS(Table14[Debit], Table14[Date], Table11[[#This Row],[Date]], Table14[Party],"Salary", Table14[Description],Table11[[#This Row],[Column1]])</f>
        <v>0</v>
      </c>
      <c r="H24" s="1">
        <v>46058</v>
      </c>
      <c r="I24">
        <f>SUMIFS(Table14[Debit], Table14[Date], Table16[[#This Row],[Date]], Table14[Party], "Advance Salary", Table14[Description], Table16[[#This Row],[Person]] )</f>
        <v>0</v>
      </c>
    </row>
    <row r="25" spans="2:9" x14ac:dyDescent="0.3">
      <c r="B25" s="1">
        <v>46059</v>
      </c>
      <c r="C25" s="20">
        <f>SUMIFS(Table14[Debit], Table14[Date], Table11[[#This Row],[Date]], Table14[Party],"Salary", Table14[Description],Table11[[#This Row],[Column1]])</f>
        <v>0</v>
      </c>
      <c r="H25" s="1">
        <v>46059</v>
      </c>
      <c r="I25">
        <f>SUMIFS(Table14[Debit], Table14[Date], Table16[[#This Row],[Date]], Table14[Party], "Advance Salary", Table14[Description], Table16[[#This Row],[Person]] )</f>
        <v>0</v>
      </c>
    </row>
    <row r="26" spans="2:9" x14ac:dyDescent="0.3">
      <c r="B26" s="1">
        <v>46060</v>
      </c>
      <c r="C26" s="20">
        <f>SUMIFS(Table14[Debit], Table14[Date], Table11[[#This Row],[Date]], Table14[Party],"Salary", Table14[Description],Table11[[#This Row],[Column1]])</f>
        <v>0</v>
      </c>
      <c r="H26" s="1">
        <v>46060</v>
      </c>
      <c r="I26">
        <f>SUMIFS(Table14[Debit], Table14[Date], Table16[[#This Row],[Date]], Table14[Party], "Advance Salary", Table14[Description], Table16[[#This Row],[Person]] )</f>
        <v>0</v>
      </c>
    </row>
    <row r="27" spans="2:9" x14ac:dyDescent="0.3">
      <c r="B27" s="1">
        <v>46061</v>
      </c>
      <c r="C27" s="20">
        <f>SUMIFS(Table14[Debit], Table14[Date], Table11[[#This Row],[Date]], Table14[Party],"Salary", Table14[Description],Table11[[#This Row],[Column1]])</f>
        <v>0</v>
      </c>
      <c r="H27" s="1">
        <v>46061</v>
      </c>
      <c r="I27">
        <f>SUMIFS(Table14[Debit], Table14[Date], Table16[[#This Row],[Date]], Table14[Party], "Advance Salary", Table14[Description], Table16[[#This Row],[Person]] )</f>
        <v>0</v>
      </c>
    </row>
    <row r="28" spans="2:9" x14ac:dyDescent="0.3">
      <c r="B28" s="1">
        <v>46062</v>
      </c>
      <c r="C28" s="20">
        <f>SUMIFS(Table14[Debit], Table14[Date], Table11[[#This Row],[Date]], Table14[Party],"Salary", Table14[Description],Table11[[#This Row],[Column1]])</f>
        <v>0</v>
      </c>
      <c r="H28" s="1">
        <v>46062</v>
      </c>
      <c r="I28">
        <f>SUMIFS(Table14[Debit], Table14[Date], Table16[[#This Row],[Date]], Table14[Party], "Advance Salary", Table14[Description], Table16[[#This Row],[Person]] )</f>
        <v>0</v>
      </c>
    </row>
    <row r="29" spans="2:9" x14ac:dyDescent="0.3">
      <c r="B29" s="1">
        <v>46063</v>
      </c>
      <c r="C29" s="20">
        <f>SUMIFS(Table14[Debit], Table14[Date], Table11[[#This Row],[Date]], Table14[Party],"Salary", Table14[Description],Table11[[#This Row],[Column1]])</f>
        <v>0</v>
      </c>
      <c r="H29" s="1">
        <v>46063</v>
      </c>
      <c r="I29">
        <f>SUMIFS(Table14[Debit], Table14[Date], Table16[[#This Row],[Date]], Table14[Party], "Advance Salary", Table14[Description], Table16[[#This Row],[Person]] )</f>
        <v>0</v>
      </c>
    </row>
    <row r="30" spans="2:9" x14ac:dyDescent="0.3">
      <c r="B30" s="1">
        <v>46064</v>
      </c>
      <c r="C30" s="20">
        <f>SUMIFS(Table14[Debit], Table14[Date], Table11[[#This Row],[Date]], Table14[Party],"Salary", Table14[Description],Table11[[#This Row],[Column1]])</f>
        <v>0</v>
      </c>
      <c r="H30" s="1">
        <v>46064</v>
      </c>
      <c r="I30">
        <f>SUMIFS(Table14[Debit], Table14[Date], Table16[[#This Row],[Date]], Table14[Party], "Advance Salary", Table14[Description], Table16[[#This Row],[Person]] )</f>
        <v>0</v>
      </c>
    </row>
    <row r="31" spans="2:9" x14ac:dyDescent="0.3">
      <c r="B31" s="1">
        <v>46065</v>
      </c>
      <c r="C31" s="20">
        <f>SUMIFS(Table14[Debit], Table14[Date], Table11[[#This Row],[Date]], Table14[Party],"Salary", Table14[Description],Table11[[#This Row],[Column1]])</f>
        <v>0</v>
      </c>
      <c r="H31" s="1">
        <v>46065</v>
      </c>
      <c r="I31">
        <f>SUMIFS(Table14[Debit], Table14[Date], Table16[[#This Row],[Date]], Table14[Party], "Advance Salary", Table14[Description], Table16[[#This Row],[Person]] )</f>
        <v>0</v>
      </c>
    </row>
    <row r="32" spans="2:9" x14ac:dyDescent="0.3">
      <c r="B32" s="1">
        <v>46066</v>
      </c>
      <c r="C32" s="20">
        <f>SUMIFS(Table14[Debit], Table14[Date], Table11[[#This Row],[Date]], Table14[Party],"Salary", Table14[Description],Table11[[#This Row],[Column1]])</f>
        <v>0</v>
      </c>
      <c r="H32" s="1">
        <v>46066</v>
      </c>
      <c r="I32">
        <f>SUMIFS(Table14[Debit], Table14[Date], Table16[[#This Row],[Date]], Table14[Party], "Advance Salary", Table14[Description], Table16[[#This Row],[Person]] )</f>
        <v>0</v>
      </c>
    </row>
    <row r="33" spans="2:9" x14ac:dyDescent="0.3">
      <c r="B33" s="1">
        <v>46067</v>
      </c>
      <c r="C33" s="20">
        <f>SUMIFS(Table14[Debit], Table14[Date], Table11[[#This Row],[Date]], Table14[Party],"Salary", Table14[Description],Table11[[#This Row],[Column1]])</f>
        <v>0</v>
      </c>
      <c r="H33" s="1">
        <v>46067</v>
      </c>
      <c r="I33">
        <f>SUMIFS(Table14[Debit], Table14[Date], Table16[[#This Row],[Date]], Table14[Party], "Advance Salary", Table14[Description], Table16[[#This Row],[Person]] )</f>
        <v>0</v>
      </c>
    </row>
    <row r="34" spans="2:9" x14ac:dyDescent="0.3">
      <c r="B34" s="1">
        <v>46068</v>
      </c>
      <c r="C34" s="20">
        <f>SUMIFS(Table14[Debit], Table14[Date], Table11[[#This Row],[Date]], Table14[Party],"Salary", Table14[Description],Table11[[#This Row],[Column1]])</f>
        <v>0</v>
      </c>
      <c r="H34" s="1">
        <v>46068</v>
      </c>
      <c r="I34">
        <f>SUMIFS(Table14[Debit], Table14[Date], Table16[[#This Row],[Date]], Table14[Party], "Advance Salary", Table14[Description], Table16[[#This Row],[Person]] )</f>
        <v>0</v>
      </c>
    </row>
    <row r="35" spans="2:9" x14ac:dyDescent="0.3">
      <c r="B35" s="1">
        <v>46069</v>
      </c>
      <c r="C35" s="20">
        <f>SUMIFS(Table14[Debit], Table14[Date], Table11[[#This Row],[Date]], Table14[Party],"Salary", Table14[Description],Table11[[#This Row],[Column1]])</f>
        <v>0</v>
      </c>
      <c r="H35" s="1">
        <v>46069</v>
      </c>
      <c r="I35">
        <f>SUMIFS(Table14[Debit], Table14[Date], Table16[[#This Row],[Date]], Table14[Party], "Advance Salary", Table14[Description], Table16[[#This Row],[Person]] )</f>
        <v>0</v>
      </c>
    </row>
    <row r="36" spans="2:9" x14ac:dyDescent="0.3">
      <c r="B36" s="1">
        <v>46070</v>
      </c>
      <c r="C36" s="20">
        <f>SUMIFS(Table14[Debit], Table14[Date], Table11[[#This Row],[Date]], Table14[Party],"Salary", Table14[Description],Table11[[#This Row],[Column1]])</f>
        <v>0</v>
      </c>
      <c r="H36" s="1">
        <v>46070</v>
      </c>
      <c r="I36">
        <f>SUMIFS(Table14[Debit], Table14[Date], Table16[[#This Row],[Date]], Table14[Party], "Advance Salary", Table14[Description], Table16[[#This Row],[Person]] )</f>
        <v>0</v>
      </c>
    </row>
    <row r="37" spans="2:9" x14ac:dyDescent="0.3">
      <c r="B37" s="1">
        <v>46071</v>
      </c>
      <c r="C37" s="20">
        <f>SUMIFS(Table14[Debit], Table14[Date], Table11[[#This Row],[Date]], Table14[Party],"Salary", Table14[Description],Table11[[#This Row],[Column1]])</f>
        <v>0</v>
      </c>
      <c r="H37" s="1"/>
      <c r="I37">
        <f>SUBTOTAL(109,Table16[Advance])</f>
        <v>0</v>
      </c>
    </row>
    <row r="38" spans="2:9" x14ac:dyDescent="0.3">
      <c r="B38" s="1">
        <v>46072</v>
      </c>
      <c r="C38" s="20">
        <f>SUMIFS(Table14[Debit], Table14[Date], Table11[[#This Row],[Date]], Table14[Party],"Salary", Table14[Description],Table11[[#This Row],[Column1]])</f>
        <v>0</v>
      </c>
    </row>
    <row r="39" spans="2:9" x14ac:dyDescent="0.3">
      <c r="B39" s="1">
        <v>46073</v>
      </c>
      <c r="C39" s="20">
        <f>SUMIFS(Table14[Debit], Table14[Date], Table11[[#This Row],[Date]], Table14[Party],"Salary", Table14[Description],Table11[[#This Row],[Column1]])</f>
        <v>0</v>
      </c>
    </row>
    <row r="40" spans="2:9" x14ac:dyDescent="0.3">
      <c r="B40" s="1">
        <v>46074</v>
      </c>
      <c r="C40" s="20">
        <f>SUMIFS(Table14[Debit], Table14[Date], Table11[[#This Row],[Date]], Table14[Party],"Salary", Table14[Description],Table11[[#This Row],[Column1]])</f>
        <v>0</v>
      </c>
    </row>
    <row r="41" spans="2:9" x14ac:dyDescent="0.3">
      <c r="B41" s="1">
        <v>46075</v>
      </c>
      <c r="C41" s="20">
        <f>SUMIFS(Table14[Debit], Table14[Date], Table11[[#This Row],[Date]], Table14[Party],"Salary", Table14[Description],Table11[[#This Row],[Column1]])</f>
        <v>0</v>
      </c>
    </row>
    <row r="42" spans="2:9" x14ac:dyDescent="0.3">
      <c r="B42" s="1">
        <v>46076</v>
      </c>
      <c r="C42" s="20">
        <f>SUMIFS(Table14[Debit], Table14[Date], Table11[[#This Row],[Date]], Table14[Party],"Salary", Table14[Description],Table11[[#This Row],[Column1]])</f>
        <v>0</v>
      </c>
    </row>
    <row r="43" spans="2:9" x14ac:dyDescent="0.3">
      <c r="B43" s="1"/>
      <c r="C43" s="25">
        <f>SUM(Table11[Amount])</f>
        <v>0</v>
      </c>
    </row>
  </sheetData>
  <phoneticPr fontId="4" type="noConversion"/>
  <pageMargins left="0.7" right="0.7" top="0.75" bottom="0.75" header="0.3" footer="0.3"/>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A8C4-D49C-464B-A701-37B1759EDEA7}">
  <dimension ref="A1:L119"/>
  <sheetViews>
    <sheetView topLeftCell="A6" zoomScale="90" workbookViewId="0">
      <selection activeCell="F192" sqref="F192"/>
    </sheetView>
  </sheetViews>
  <sheetFormatPr defaultRowHeight="14.4" x14ac:dyDescent="0.3"/>
  <cols>
    <col min="1" max="1" width="20.5546875" bestFit="1" customWidth="1"/>
    <col min="2" max="2" width="18.5546875" bestFit="1" customWidth="1"/>
    <col min="3" max="3" width="17.6640625" bestFit="1" customWidth="1"/>
    <col min="4" max="4" width="17.109375" bestFit="1" customWidth="1"/>
    <col min="5" max="5" width="16.21875" customWidth="1"/>
    <col min="6" max="6" width="17" customWidth="1"/>
    <col min="7" max="7" width="12.33203125" customWidth="1"/>
    <col min="8" max="8" width="15.33203125" customWidth="1"/>
    <col min="9" max="9" width="13.6640625" customWidth="1"/>
    <col min="10" max="10" width="15.33203125" customWidth="1"/>
    <col min="11" max="11" width="13.5546875" bestFit="1" customWidth="1"/>
  </cols>
  <sheetData>
    <row r="1" spans="1:12" x14ac:dyDescent="0.3">
      <c r="A1" s="44" t="s">
        <v>2</v>
      </c>
      <c r="B1" s="14" t="s">
        <v>87</v>
      </c>
      <c r="C1" s="14"/>
    </row>
    <row r="2" spans="1:12" x14ac:dyDescent="0.3">
      <c r="A2" s="31" t="s">
        <v>28</v>
      </c>
      <c r="B2" s="33">
        <f>SUM(B4:INDEX(B:B, MATCH(1E+100, B:B)-1))</f>
        <v>2600156</v>
      </c>
      <c r="C2" s="32">
        <f>GETPIVOTDATA("Sum of Tiyaar/gaz",$A$3)</f>
        <v>2236958</v>
      </c>
      <c r="D2" s="31">
        <f>((B2*48)+((C2/1.0936)*10))/C2</f>
        <v>64.937509190924033</v>
      </c>
      <c r="J2">
        <v>48</v>
      </c>
    </row>
    <row r="3" spans="1:12" x14ac:dyDescent="0.3">
      <c r="A3" s="34" t="s">
        <v>140</v>
      </c>
      <c r="B3" s="35" t="s">
        <v>141</v>
      </c>
      <c r="C3" s="36" t="s">
        <v>88</v>
      </c>
      <c r="D3" s="32" t="s">
        <v>142</v>
      </c>
      <c r="E3" s="11" t="s">
        <v>143</v>
      </c>
      <c r="F3" s="11" t="str">
        <f t="shared" ref="F3:F38" si="0">C3</f>
        <v>Sum of Tiyaar/gaz</v>
      </c>
      <c r="G3" s="77" t="s">
        <v>82</v>
      </c>
      <c r="H3" s="11" t="s">
        <v>144</v>
      </c>
      <c r="I3" s="29" t="s">
        <v>145</v>
      </c>
    </row>
    <row r="4" spans="1:12" x14ac:dyDescent="0.3">
      <c r="A4" s="16" t="s">
        <v>103</v>
      </c>
      <c r="B4" s="14"/>
      <c r="C4" s="14"/>
      <c r="D4" s="28" t="e">
        <f>I4</f>
        <v>#DIV/0!</v>
      </c>
      <c r="E4" s="11">
        <f>B4 * 1.0936</f>
        <v>0</v>
      </c>
      <c r="F4" s="11">
        <f t="shared" si="0"/>
        <v>0</v>
      </c>
      <c r="G4" s="78" t="e">
        <f>100- (F4/E4 *100)</f>
        <v>#DIV/0!</v>
      </c>
      <c r="H4" s="28">
        <f>F4/1.0936</f>
        <v>0</v>
      </c>
      <c r="I4" s="28" t="e">
        <f>((B4*48)+(H4*10))/C4</f>
        <v>#DIV/0!</v>
      </c>
      <c r="J4" s="28"/>
      <c r="K4" s="28"/>
      <c r="L4" s="28"/>
    </row>
    <row r="5" spans="1:12" x14ac:dyDescent="0.3">
      <c r="A5" s="16">
        <v>1990</v>
      </c>
      <c r="B5" s="14">
        <v>45681</v>
      </c>
      <c r="C5" s="14">
        <v>48690</v>
      </c>
      <c r="D5" s="28">
        <f t="shared" ref="D5:D38" si="1">I5</f>
        <v>54.177752597198015</v>
      </c>
      <c r="E5" s="11">
        <f t="shared" ref="E5:E38" si="2">B5 * 1.0936</f>
        <v>49956.741599999994</v>
      </c>
      <c r="F5" s="11">
        <f t="shared" si="0"/>
        <v>48690</v>
      </c>
      <c r="G5" s="78">
        <f>100- (F5/E5 *100)</f>
        <v>2.53567698658712</v>
      </c>
      <c r="H5" s="28">
        <f t="shared" ref="H5:H38" si="3">F5/1.0936</f>
        <v>44522.677395757135</v>
      </c>
      <c r="I5" s="28">
        <f>((B5*48)+(H5*10))/C5</f>
        <v>54.177752597198015</v>
      </c>
      <c r="J5" s="28"/>
      <c r="K5" s="28"/>
      <c r="L5" s="28"/>
    </row>
    <row r="6" spans="1:12" x14ac:dyDescent="0.3">
      <c r="A6" s="16">
        <v>1989</v>
      </c>
      <c r="B6" s="14">
        <v>61388</v>
      </c>
      <c r="C6" s="14">
        <v>65685</v>
      </c>
      <c r="D6" s="28">
        <f t="shared" si="1"/>
        <v>54.004033549094544</v>
      </c>
      <c r="E6" s="11">
        <f t="shared" si="2"/>
        <v>67133.916799999992</v>
      </c>
      <c r="F6" s="11">
        <f t="shared" si="0"/>
        <v>65685</v>
      </c>
      <c r="G6" s="78">
        <f t="shared" ref="G6:G18" si="4">100- (F6/E6 *100)</f>
        <v>2.1582485710114128</v>
      </c>
      <c r="H6" s="28">
        <f t="shared" si="3"/>
        <v>60063.09436722751</v>
      </c>
      <c r="I6" s="28">
        <f>((B6*48)+(H6*10))/C6</f>
        <v>54.004033549094544</v>
      </c>
      <c r="J6" s="28"/>
      <c r="K6" s="28"/>
      <c r="L6" s="28"/>
    </row>
    <row r="7" spans="1:12" x14ac:dyDescent="0.3">
      <c r="A7" s="16">
        <v>2006</v>
      </c>
      <c r="B7" s="14">
        <v>24208</v>
      </c>
      <c r="C7" s="14">
        <v>9666</v>
      </c>
      <c r="D7" s="28">
        <f t="shared" si="1"/>
        <v>129.35764316011401</v>
      </c>
      <c r="E7" s="11">
        <f t="shared" si="2"/>
        <v>26473.868799999997</v>
      </c>
      <c r="F7" s="11">
        <f t="shared" si="0"/>
        <v>9666</v>
      </c>
      <c r="G7" s="78">
        <f t="shared" si="4"/>
        <v>63.488524956352428</v>
      </c>
      <c r="H7" s="28">
        <f t="shared" si="3"/>
        <v>8838.697878566205</v>
      </c>
      <c r="I7" s="28">
        <f>((B7*48)+(H7*10))/C7</f>
        <v>129.35764316011401</v>
      </c>
      <c r="J7" s="28"/>
      <c r="K7" s="28"/>
      <c r="L7" s="28"/>
    </row>
    <row r="8" spans="1:12" x14ac:dyDescent="0.3">
      <c r="A8" s="16">
        <v>1976</v>
      </c>
      <c r="B8" s="14">
        <v>22604</v>
      </c>
      <c r="C8" s="14">
        <v>24110</v>
      </c>
      <c r="D8" s="28">
        <f t="shared" si="1"/>
        <v>54.145853208153198</v>
      </c>
      <c r="E8" s="11">
        <f t="shared" si="2"/>
        <v>24719.734399999998</v>
      </c>
      <c r="F8" s="11">
        <f t="shared" si="0"/>
        <v>24110</v>
      </c>
      <c r="G8" s="78">
        <f t="shared" si="4"/>
        <v>2.4665896086650321</v>
      </c>
      <c r="H8" s="28">
        <f t="shared" si="3"/>
        <v>22046.452084857352</v>
      </c>
      <c r="I8" s="28">
        <f t="shared" ref="I8:I38" si="5">((B8*48)+(H8*10))/C8</f>
        <v>54.145853208153198</v>
      </c>
      <c r="J8" s="28"/>
      <c r="K8" s="28"/>
      <c r="L8" s="28"/>
    </row>
    <row r="9" spans="1:12" x14ac:dyDescent="0.3">
      <c r="A9" s="16">
        <v>2037</v>
      </c>
      <c r="B9" s="14">
        <v>14961</v>
      </c>
      <c r="C9" s="14">
        <v>1686</v>
      </c>
      <c r="D9" s="28">
        <f t="shared" si="1"/>
        <v>435.08005425289031</v>
      </c>
      <c r="E9" s="11">
        <f t="shared" si="2"/>
        <v>16361.349599999998</v>
      </c>
      <c r="F9" s="11">
        <f t="shared" si="0"/>
        <v>1686</v>
      </c>
      <c r="G9" s="78">
        <f t="shared" si="4"/>
        <v>89.695226608934504</v>
      </c>
      <c r="H9" s="28">
        <f t="shared" si="3"/>
        <v>1541.697147037308</v>
      </c>
      <c r="I9" s="28">
        <f t="shared" si="5"/>
        <v>435.08005425289031</v>
      </c>
      <c r="J9" s="28"/>
      <c r="K9" s="28"/>
      <c r="L9" s="28"/>
    </row>
    <row r="10" spans="1:12" x14ac:dyDescent="0.3">
      <c r="A10" s="16">
        <v>2026</v>
      </c>
      <c r="B10" s="14">
        <v>70035</v>
      </c>
      <c r="C10" s="14">
        <v>8408</v>
      </c>
      <c r="D10" s="28">
        <f t="shared" si="1"/>
        <v>408.96333098306764</v>
      </c>
      <c r="E10" s="11">
        <f t="shared" si="2"/>
        <v>76590.275999999998</v>
      </c>
      <c r="F10" s="11">
        <f t="shared" si="0"/>
        <v>8408</v>
      </c>
      <c r="G10" s="78">
        <f t="shared" si="4"/>
        <v>89.022105103786288</v>
      </c>
      <c r="H10" s="28">
        <f t="shared" si="3"/>
        <v>7688.3686905632776</v>
      </c>
      <c r="I10" s="28">
        <f t="shared" si="5"/>
        <v>408.96333098306764</v>
      </c>
      <c r="J10" s="28"/>
      <c r="K10" s="28"/>
      <c r="L10" s="28"/>
    </row>
    <row r="11" spans="1:12" x14ac:dyDescent="0.3">
      <c r="A11" s="16">
        <v>2012</v>
      </c>
      <c r="B11" s="14">
        <v>28546</v>
      </c>
      <c r="C11" s="14">
        <v>15267</v>
      </c>
      <c r="D11" s="28"/>
      <c r="E11" s="11">
        <f t="shared" si="2"/>
        <v>31217.905599999998</v>
      </c>
      <c r="F11" s="11">
        <f t="shared" si="0"/>
        <v>15267</v>
      </c>
      <c r="G11" s="78">
        <f t="shared" si="4"/>
        <v>51.095373931811743</v>
      </c>
      <c r="H11" s="28">
        <f t="shared" si="3"/>
        <v>13960.314557425019</v>
      </c>
      <c r="I11" s="28">
        <f t="shared" si="5"/>
        <v>98.893767313437493</v>
      </c>
      <c r="J11" s="28"/>
      <c r="K11" s="28"/>
      <c r="L11" s="28"/>
    </row>
    <row r="12" spans="1:12" x14ac:dyDescent="0.3">
      <c r="A12" s="16">
        <v>2039</v>
      </c>
      <c r="B12" s="14">
        <v>31746</v>
      </c>
      <c r="C12" s="14">
        <v>15139</v>
      </c>
      <c r="D12" s="28">
        <f t="shared" si="1"/>
        <v>109.79857978344832</v>
      </c>
      <c r="E12" s="11">
        <f t="shared" si="2"/>
        <v>34717.425599999995</v>
      </c>
      <c r="F12" s="11">
        <f t="shared" si="0"/>
        <v>15139</v>
      </c>
      <c r="G12" s="78">
        <f t="shared" si="4"/>
        <v>56.393656101044535</v>
      </c>
      <c r="H12" s="28">
        <f t="shared" si="3"/>
        <v>13843.269934162401</v>
      </c>
      <c r="I12" s="28">
        <f t="shared" si="5"/>
        <v>109.79857978344832</v>
      </c>
    </row>
    <row r="13" spans="1:12" x14ac:dyDescent="0.3">
      <c r="A13" s="16">
        <v>2023</v>
      </c>
      <c r="B13" s="14">
        <v>20503</v>
      </c>
      <c r="C13" s="14">
        <v>10968</v>
      </c>
      <c r="D13" s="28">
        <f t="shared" si="1"/>
        <v>98.872776400269558</v>
      </c>
      <c r="E13" s="11">
        <f t="shared" si="2"/>
        <v>22422.0808</v>
      </c>
      <c r="F13" s="11">
        <f t="shared" si="0"/>
        <v>10968</v>
      </c>
      <c r="G13" s="78">
        <f t="shared" si="4"/>
        <v>51.083933298465325</v>
      </c>
      <c r="H13" s="28">
        <f t="shared" si="3"/>
        <v>10029.261155815655</v>
      </c>
      <c r="I13" s="28">
        <f t="shared" si="5"/>
        <v>98.872776400269558</v>
      </c>
    </row>
    <row r="14" spans="1:12" x14ac:dyDescent="0.3">
      <c r="A14" s="16" t="s">
        <v>218</v>
      </c>
      <c r="B14" s="14">
        <v>57352</v>
      </c>
      <c r="C14" s="14">
        <v>46886</v>
      </c>
      <c r="D14" s="28">
        <f t="shared" si="1"/>
        <v>67.858780816586957</v>
      </c>
      <c r="E14" s="11">
        <f t="shared" si="2"/>
        <v>62720.147199999992</v>
      </c>
      <c r="F14" s="11">
        <f t="shared" si="0"/>
        <v>46886</v>
      </c>
      <c r="G14" s="78">
        <f t="shared" si="4"/>
        <v>25.245711158024818</v>
      </c>
      <c r="H14" s="28">
        <f t="shared" si="3"/>
        <v>42873.079736649604</v>
      </c>
      <c r="I14" s="28">
        <f t="shared" si="5"/>
        <v>67.858780816586957</v>
      </c>
    </row>
    <row r="15" spans="1:12" x14ac:dyDescent="0.3">
      <c r="A15" s="16">
        <v>2024</v>
      </c>
      <c r="B15" s="14">
        <v>16895</v>
      </c>
      <c r="C15" s="14">
        <v>18197</v>
      </c>
      <c r="D15" s="28">
        <f t="shared" si="1"/>
        <v>53.709698926634012</v>
      </c>
      <c r="E15" s="11">
        <f>B15 * 1.0936</f>
        <v>18476.371999999999</v>
      </c>
      <c r="F15" s="11">
        <f t="shared" si="0"/>
        <v>18197</v>
      </c>
      <c r="G15" s="78">
        <f t="shared" si="4"/>
        <v>1.5120500929511422</v>
      </c>
      <c r="H15" s="28">
        <f t="shared" si="3"/>
        <v>16639.539136795906</v>
      </c>
      <c r="I15" s="28">
        <f>((B15*48)+(H15*10))/C15</f>
        <v>53.709698926634012</v>
      </c>
    </row>
    <row r="16" spans="1:12" x14ac:dyDescent="0.3">
      <c r="A16" s="16">
        <v>2025</v>
      </c>
      <c r="B16" s="14">
        <v>6991</v>
      </c>
      <c r="C16" s="14">
        <v>7531</v>
      </c>
      <c r="D16" s="28">
        <f t="shared" si="1"/>
        <v>53.702337191595397</v>
      </c>
      <c r="E16" s="11">
        <f t="shared" si="2"/>
        <v>7645.3575999999994</v>
      </c>
      <c r="F16" s="11">
        <f t="shared" si="0"/>
        <v>7531</v>
      </c>
      <c r="G16" s="78">
        <f t="shared" si="4"/>
        <v>1.4957783008083112</v>
      </c>
      <c r="H16" s="28">
        <f t="shared" si="3"/>
        <v>6886.4301389904904</v>
      </c>
      <c r="I16" s="28">
        <f>((B16*48)+(H16*10))/C16</f>
        <v>53.702337191595397</v>
      </c>
    </row>
    <row r="17" spans="1:9" x14ac:dyDescent="0.3">
      <c r="A17" s="16">
        <v>2041</v>
      </c>
      <c r="B17" s="14">
        <v>50350</v>
      </c>
      <c r="C17" s="14">
        <v>54214</v>
      </c>
      <c r="D17" s="28">
        <f t="shared" si="1"/>
        <v>53.723002253741562</v>
      </c>
      <c r="E17" s="11">
        <f t="shared" si="2"/>
        <v>55062.759999999995</v>
      </c>
      <c r="F17" s="11">
        <f t="shared" si="0"/>
        <v>54214</v>
      </c>
      <c r="G17" s="78">
        <f t="shared" si="4"/>
        <v>1.5414410756017247</v>
      </c>
      <c r="H17" s="28">
        <f t="shared" si="3"/>
        <v>49573.884418434529</v>
      </c>
      <c r="I17" s="28">
        <f>((B17*48)+(H17*10))/C17</f>
        <v>53.723002253741562</v>
      </c>
    </row>
    <row r="18" spans="1:9" x14ac:dyDescent="0.3">
      <c r="A18" s="16">
        <v>2035</v>
      </c>
      <c r="B18" s="14">
        <v>61388</v>
      </c>
      <c r="C18" s="14">
        <v>9698</v>
      </c>
      <c r="D18" s="28">
        <f t="shared" si="1"/>
        <v>312.98242837119187</v>
      </c>
      <c r="E18" s="11">
        <f t="shared" si="2"/>
        <v>67133.916799999992</v>
      </c>
      <c r="F18" s="11">
        <f t="shared" si="0"/>
        <v>9698</v>
      </c>
      <c r="G18" s="78">
        <f t="shared" si="4"/>
        <v>85.554246702316647</v>
      </c>
      <c r="H18" s="28">
        <f t="shared" si="3"/>
        <v>8867.9590343818581</v>
      </c>
      <c r="I18" s="28">
        <f>((B18*48)+(H18*10))/C18</f>
        <v>312.98242837119187</v>
      </c>
    </row>
    <row r="19" spans="1:9" x14ac:dyDescent="0.3">
      <c r="A19" s="16">
        <v>2040</v>
      </c>
      <c r="B19" s="14">
        <v>13976</v>
      </c>
      <c r="C19" s="14">
        <v>14923</v>
      </c>
      <c r="D19" s="28">
        <f t="shared" si="1"/>
        <v>54.098074872617254</v>
      </c>
      <c r="E19" s="11">
        <f t="shared" si="2"/>
        <v>15284.153599999998</v>
      </c>
      <c r="F19" s="11">
        <f t="shared" si="0"/>
        <v>14923</v>
      </c>
      <c r="G19" s="78">
        <f t="shared" ref="G19:G38" si="6">100- (F19/E19 *100)</f>
        <v>2.3629283599976247</v>
      </c>
      <c r="H19" s="28">
        <f t="shared" si="3"/>
        <v>13645.757132406732</v>
      </c>
      <c r="I19" s="28">
        <f t="shared" si="5"/>
        <v>54.098074872617254</v>
      </c>
    </row>
    <row r="20" spans="1:9" x14ac:dyDescent="0.3">
      <c r="A20" s="16">
        <v>2020</v>
      </c>
      <c r="B20" s="14">
        <v>22557</v>
      </c>
      <c r="C20" s="14">
        <v>24649</v>
      </c>
      <c r="D20" s="28">
        <f t="shared" si="1"/>
        <v>53.070274525590207</v>
      </c>
      <c r="E20" s="11">
        <f>B20 * 1.0936</f>
        <v>24668.335199999998</v>
      </c>
      <c r="F20" s="11">
        <f t="shared" si="0"/>
        <v>24649</v>
      </c>
      <c r="G20" s="78">
        <f t="shared" si="6"/>
        <v>7.8380644024960588E-2</v>
      </c>
      <c r="H20" s="28">
        <f t="shared" si="3"/>
        <v>22539.319678127289</v>
      </c>
      <c r="I20" s="28">
        <f t="shared" si="5"/>
        <v>53.070274525590207</v>
      </c>
    </row>
    <row r="21" spans="1:9" x14ac:dyDescent="0.3">
      <c r="A21" s="16">
        <v>2034</v>
      </c>
      <c r="B21" s="14">
        <v>50630</v>
      </c>
      <c r="C21" s="14">
        <v>54174</v>
      </c>
      <c r="D21" s="28">
        <f t="shared" si="1"/>
        <v>54.004007083409931</v>
      </c>
      <c r="E21" s="11">
        <f t="shared" si="2"/>
        <v>55368.967999999993</v>
      </c>
      <c r="F21" s="11">
        <f t="shared" si="0"/>
        <v>54174</v>
      </c>
      <c r="G21" s="78">
        <f t="shared" si="6"/>
        <v>2.1581908479854519</v>
      </c>
      <c r="H21" s="28">
        <f t="shared" si="3"/>
        <v>49537.307973664967</v>
      </c>
      <c r="I21" s="28">
        <f t="shared" si="5"/>
        <v>54.004007083409931</v>
      </c>
    </row>
    <row r="22" spans="1:9" x14ac:dyDescent="0.3">
      <c r="A22" s="16">
        <v>2046</v>
      </c>
      <c r="B22" s="14">
        <v>100417</v>
      </c>
      <c r="C22" s="14">
        <v>6704</v>
      </c>
      <c r="D22" s="28">
        <f t="shared" si="1"/>
        <v>728.1202448439434</v>
      </c>
      <c r="E22" s="11">
        <f t="shared" si="2"/>
        <v>109816.0312</v>
      </c>
      <c r="F22" s="11">
        <f t="shared" si="0"/>
        <v>6704</v>
      </c>
      <c r="G22" s="78">
        <f t="shared" si="6"/>
        <v>93.895244686278559</v>
      </c>
      <c r="H22" s="28">
        <f t="shared" si="3"/>
        <v>6130.2121433796638</v>
      </c>
      <c r="I22" s="28">
        <f t="shared" si="5"/>
        <v>728.1202448439434</v>
      </c>
    </row>
    <row r="23" spans="1:9" x14ac:dyDescent="0.3">
      <c r="A23" s="16">
        <v>2033</v>
      </c>
      <c r="B23" s="14">
        <v>26970</v>
      </c>
      <c r="C23" s="14">
        <v>29067</v>
      </c>
      <c r="D23" s="28">
        <f t="shared" si="1"/>
        <v>53.681215124686453</v>
      </c>
      <c r="E23" s="11">
        <f t="shared" si="2"/>
        <v>29494.391999999996</v>
      </c>
      <c r="F23" s="11">
        <f t="shared" si="0"/>
        <v>29067</v>
      </c>
      <c r="G23" s="78">
        <f t="shared" si="6"/>
        <v>1.4490619098030351</v>
      </c>
      <c r="H23" s="28">
        <f t="shared" si="3"/>
        <v>26579.188002926119</v>
      </c>
      <c r="I23" s="28">
        <f t="shared" si="5"/>
        <v>53.681215124686453</v>
      </c>
    </row>
    <row r="24" spans="1:9" x14ac:dyDescent="0.3">
      <c r="A24" s="16">
        <v>2032</v>
      </c>
      <c r="B24" s="14">
        <v>25205</v>
      </c>
      <c r="C24" s="14">
        <v>27004</v>
      </c>
      <c r="D24" s="28">
        <f t="shared" si="1"/>
        <v>53.94636271068569</v>
      </c>
      <c r="E24" s="11">
        <f t="shared" si="2"/>
        <v>27564.187999999998</v>
      </c>
      <c r="F24" s="11">
        <f t="shared" si="0"/>
        <v>27004</v>
      </c>
      <c r="G24" s="78">
        <f t="shared" si="6"/>
        <v>2.0323036542923063</v>
      </c>
      <c r="H24" s="28">
        <f t="shared" si="3"/>
        <v>24692.757863935629</v>
      </c>
      <c r="I24" s="28">
        <f t="shared" si="5"/>
        <v>53.94636271068569</v>
      </c>
    </row>
    <row r="25" spans="1:9" x14ac:dyDescent="0.3">
      <c r="A25" s="16">
        <v>2021</v>
      </c>
      <c r="B25" s="14">
        <v>24970</v>
      </c>
      <c r="C25" s="14">
        <v>26890</v>
      </c>
      <c r="D25" s="28">
        <f t="shared" si="1"/>
        <v>53.716814799681053</v>
      </c>
      <c r="E25" s="11">
        <f t="shared" si="2"/>
        <v>27307.191999999999</v>
      </c>
      <c r="F25" s="11">
        <f t="shared" si="0"/>
        <v>26890</v>
      </c>
      <c r="G25" s="78">
        <f t="shared" si="6"/>
        <v>1.5277733426417512</v>
      </c>
      <c r="H25" s="28">
        <f t="shared" si="3"/>
        <v>24588.514996342357</v>
      </c>
      <c r="I25" s="28">
        <f t="shared" si="5"/>
        <v>53.716814799681053</v>
      </c>
    </row>
    <row r="26" spans="1:9" x14ac:dyDescent="0.3">
      <c r="A26" s="16">
        <v>2052</v>
      </c>
      <c r="B26" s="14">
        <v>72275</v>
      </c>
      <c r="C26" s="14">
        <v>77643</v>
      </c>
      <c r="D26" s="28">
        <f t="shared" si="1"/>
        <v>53.825537721506123</v>
      </c>
      <c r="E26" s="11">
        <f t="shared" si="2"/>
        <v>79039.939999999988</v>
      </c>
      <c r="F26" s="11">
        <f t="shared" si="0"/>
        <v>77643</v>
      </c>
      <c r="G26" s="78">
        <f t="shared" si="6"/>
        <v>1.7673849448772216</v>
      </c>
      <c r="H26" s="28">
        <f t="shared" si="3"/>
        <v>70997.62253108999</v>
      </c>
      <c r="I26" s="28">
        <f t="shared" si="5"/>
        <v>53.825537721506123</v>
      </c>
    </row>
    <row r="27" spans="1:9" x14ac:dyDescent="0.3">
      <c r="A27" s="16" t="s">
        <v>302</v>
      </c>
      <c r="B27" s="14">
        <v>61388</v>
      </c>
      <c r="C27" s="14">
        <v>53292</v>
      </c>
      <c r="D27" s="28">
        <f t="shared" si="1"/>
        <v>64.436162532180433</v>
      </c>
      <c r="E27" s="11">
        <f t="shared" si="2"/>
        <v>67133.916799999992</v>
      </c>
      <c r="F27" s="11">
        <f t="shared" si="0"/>
        <v>53292</v>
      </c>
      <c r="G27" s="78">
        <f t="shared" si="6"/>
        <v>20.618366184765776</v>
      </c>
      <c r="H27" s="28">
        <f t="shared" si="3"/>
        <v>48730.797366495979</v>
      </c>
      <c r="I27" s="28">
        <f t="shared" si="5"/>
        <v>64.436162532180433</v>
      </c>
    </row>
    <row r="28" spans="1:9" x14ac:dyDescent="0.3">
      <c r="A28" s="16">
        <v>2015</v>
      </c>
      <c r="B28" s="14">
        <v>29087</v>
      </c>
      <c r="C28" s="14">
        <v>31183</v>
      </c>
      <c r="D28" s="28">
        <f t="shared" si="1"/>
        <v>53.917737847941602</v>
      </c>
      <c r="E28" s="11">
        <f t="shared" si="2"/>
        <v>31809.543199999996</v>
      </c>
      <c r="F28" s="11">
        <f t="shared" si="0"/>
        <v>31183</v>
      </c>
      <c r="G28" s="78">
        <f t="shared" si="6"/>
        <v>1.969670535853524</v>
      </c>
      <c r="H28" s="28">
        <f t="shared" si="3"/>
        <v>28514.081931236287</v>
      </c>
      <c r="I28" s="28">
        <f t="shared" si="5"/>
        <v>53.917737847941602</v>
      </c>
    </row>
    <row r="29" spans="1:9" x14ac:dyDescent="0.3">
      <c r="A29" s="16">
        <v>2061</v>
      </c>
      <c r="B29" s="14">
        <v>9163</v>
      </c>
      <c r="C29" s="14">
        <v>8404</v>
      </c>
      <c r="D29" s="28">
        <f t="shared" si="1"/>
        <v>61.479189726423513</v>
      </c>
      <c r="E29" s="11">
        <f t="shared" si="2"/>
        <v>10020.656799999999</v>
      </c>
      <c r="F29" s="11">
        <f t="shared" si="0"/>
        <v>8404</v>
      </c>
      <c r="G29" s="78">
        <f t="shared" si="6"/>
        <v>16.133241884903185</v>
      </c>
      <c r="H29" s="28">
        <f t="shared" si="3"/>
        <v>7684.7110460863214</v>
      </c>
      <c r="I29" s="28">
        <f t="shared" si="5"/>
        <v>61.479189726423513</v>
      </c>
    </row>
    <row r="30" spans="1:9" x14ac:dyDescent="0.3">
      <c r="A30" s="16">
        <v>1978</v>
      </c>
      <c r="B30" s="14">
        <v>15801</v>
      </c>
      <c r="C30" s="14">
        <v>16480</v>
      </c>
      <c r="D30" s="28">
        <f t="shared" si="1"/>
        <v>55.166441289479479</v>
      </c>
      <c r="E30" s="11">
        <f t="shared" si="2"/>
        <v>17279.973599999998</v>
      </c>
      <c r="F30" s="11">
        <f t="shared" si="0"/>
        <v>16480</v>
      </c>
      <c r="G30" s="78">
        <f t="shared" si="6"/>
        <v>4.6294839246745028</v>
      </c>
      <c r="H30" s="28">
        <f t="shared" si="3"/>
        <v>15069.49524506218</v>
      </c>
      <c r="I30" s="28">
        <f t="shared" si="5"/>
        <v>55.166441289479479</v>
      </c>
    </row>
    <row r="31" spans="1:9" x14ac:dyDescent="0.3">
      <c r="A31" s="16">
        <v>2043</v>
      </c>
      <c r="B31" s="14">
        <v>10156</v>
      </c>
      <c r="C31" s="14">
        <v>10772</v>
      </c>
      <c r="D31" s="28">
        <f t="shared" si="1"/>
        <v>54.399217022321551</v>
      </c>
      <c r="E31" s="11">
        <f t="shared" si="2"/>
        <v>11106.601599999998</v>
      </c>
      <c r="F31" s="11">
        <f t="shared" si="0"/>
        <v>10772</v>
      </c>
      <c r="G31" s="78">
        <f t="shared" si="6"/>
        <v>3.0126370968415586</v>
      </c>
      <c r="H31" s="28">
        <f t="shared" si="3"/>
        <v>9850.0365764447706</v>
      </c>
      <c r="I31" s="28">
        <f t="shared" si="5"/>
        <v>54.399217022321551</v>
      </c>
    </row>
    <row r="32" spans="1:9" x14ac:dyDescent="0.3">
      <c r="A32" s="16">
        <v>2044</v>
      </c>
      <c r="B32" s="14">
        <v>18250</v>
      </c>
      <c r="C32" s="14">
        <v>19489</v>
      </c>
      <c r="D32" s="28">
        <f t="shared" si="1"/>
        <v>54.09254364146593</v>
      </c>
      <c r="E32" s="11">
        <f t="shared" si="2"/>
        <v>19958.199999999997</v>
      </c>
      <c r="F32" s="11">
        <f t="shared" si="0"/>
        <v>19489</v>
      </c>
      <c r="G32" s="78">
        <f t="shared" si="6"/>
        <v>2.3509134090248409</v>
      </c>
      <c r="H32" s="28">
        <f t="shared" si="3"/>
        <v>17820.958302852963</v>
      </c>
      <c r="I32" s="28">
        <f t="shared" si="5"/>
        <v>54.09254364146593</v>
      </c>
    </row>
    <row r="33" spans="1:9" x14ac:dyDescent="0.3">
      <c r="A33" s="16">
        <v>2050</v>
      </c>
      <c r="B33" s="14">
        <v>22555</v>
      </c>
      <c r="C33" s="14">
        <v>23930</v>
      </c>
      <c r="D33" s="28">
        <f t="shared" ref="D33:D37" si="7">I33</f>
        <v>54.386066896529165</v>
      </c>
      <c r="E33" s="11">
        <f t="shared" ref="E33:E37" si="8">B33 * 1.0936</f>
        <v>24666.147999999997</v>
      </c>
      <c r="F33" s="11">
        <f t="shared" ref="F33:F37" si="9">C33</f>
        <v>23930</v>
      </c>
      <c r="G33" s="78">
        <f t="shared" ref="G33:G37" si="10">100- (F33/E33 *100)</f>
        <v>2.9844465378217819</v>
      </c>
      <c r="H33" s="28">
        <f t="shared" ref="H33:H37" si="11">F33/1.0936</f>
        <v>21881.858083394294</v>
      </c>
      <c r="I33" s="28">
        <f t="shared" ref="I33:I37" si="12">((B33*48)+(H33*10))/C33</f>
        <v>54.386066896529165</v>
      </c>
    </row>
    <row r="34" spans="1:9" x14ac:dyDescent="0.3">
      <c r="A34" s="16">
        <v>2059</v>
      </c>
      <c r="B34" s="14">
        <v>2825</v>
      </c>
      <c r="C34" s="14">
        <v>3025</v>
      </c>
      <c r="D34" s="28">
        <f t="shared" si="7"/>
        <v>53.970557473383842</v>
      </c>
      <c r="E34" s="11">
        <f t="shared" si="8"/>
        <v>3089.4199999999996</v>
      </c>
      <c r="F34" s="11">
        <f t="shared" si="9"/>
        <v>3025</v>
      </c>
      <c r="G34" s="78">
        <f t="shared" si="10"/>
        <v>2.0851810372173247</v>
      </c>
      <c r="H34" s="28">
        <f t="shared" si="11"/>
        <v>2766.0936356986103</v>
      </c>
      <c r="I34" s="28">
        <f t="shared" si="12"/>
        <v>53.970557473383842</v>
      </c>
    </row>
    <row r="35" spans="1:9" x14ac:dyDescent="0.3">
      <c r="A35" s="16">
        <v>2051</v>
      </c>
      <c r="B35" s="14">
        <v>24771</v>
      </c>
      <c r="C35" s="14">
        <v>26201</v>
      </c>
      <c r="D35" s="28">
        <f t="shared" si="7"/>
        <v>54.52436385450423</v>
      </c>
      <c r="E35" s="11">
        <f t="shared" si="8"/>
        <v>27089.565599999998</v>
      </c>
      <c r="F35" s="11">
        <f t="shared" si="9"/>
        <v>26201</v>
      </c>
      <c r="G35" s="78">
        <f t="shared" si="10"/>
        <v>3.2801028009101714</v>
      </c>
      <c r="H35" s="28">
        <f t="shared" si="11"/>
        <v>23958.485735186543</v>
      </c>
      <c r="I35" s="28">
        <f t="shared" si="12"/>
        <v>54.52436385450423</v>
      </c>
    </row>
    <row r="36" spans="1:9" x14ac:dyDescent="0.3">
      <c r="A36" s="16" t="s">
        <v>334</v>
      </c>
      <c r="B36" s="14">
        <v>20829</v>
      </c>
      <c r="C36" s="14">
        <v>21454</v>
      </c>
      <c r="D36" s="28">
        <f t="shared" si="7"/>
        <v>55.745770556613223</v>
      </c>
      <c r="E36" s="11">
        <f t="shared" si="8"/>
        <v>22778.594399999998</v>
      </c>
      <c r="F36" s="11">
        <f t="shared" si="9"/>
        <v>21454</v>
      </c>
      <c r="G36" s="78">
        <f t="shared" si="10"/>
        <v>5.8150840071150185</v>
      </c>
      <c r="H36" s="28">
        <f t="shared" si="11"/>
        <v>19617.776152158011</v>
      </c>
      <c r="I36" s="28">
        <f t="shared" si="12"/>
        <v>55.745770556613223</v>
      </c>
    </row>
    <row r="37" spans="1:9" x14ac:dyDescent="0.3">
      <c r="A37" s="16">
        <v>2042</v>
      </c>
      <c r="B37" s="14">
        <v>38203</v>
      </c>
      <c r="C37" s="14">
        <v>40953</v>
      </c>
      <c r="D37" s="28">
        <f t="shared" si="7"/>
        <v>53.920904101336497</v>
      </c>
      <c r="E37" s="11">
        <f t="shared" si="8"/>
        <v>41778.800799999997</v>
      </c>
      <c r="F37" s="11">
        <f t="shared" si="9"/>
        <v>40953</v>
      </c>
      <c r="G37" s="78">
        <f t="shared" si="10"/>
        <v>1.9766024495370402</v>
      </c>
      <c r="H37" s="28">
        <f t="shared" si="11"/>
        <v>37447.87856620337</v>
      </c>
      <c r="I37" s="28">
        <f t="shared" si="12"/>
        <v>53.920904101336497</v>
      </c>
    </row>
    <row r="38" spans="1:9" x14ac:dyDescent="0.3">
      <c r="A38" s="16">
        <v>2036</v>
      </c>
      <c r="B38" s="14">
        <v>19708</v>
      </c>
      <c r="C38" s="14">
        <v>21060</v>
      </c>
      <c r="D38" s="28">
        <f t="shared" si="1"/>
        <v>54.06262971091062</v>
      </c>
      <c r="E38" s="11">
        <f t="shared" si="2"/>
        <v>21552.668799999999</v>
      </c>
      <c r="F38" s="11">
        <f t="shared" si="0"/>
        <v>21060</v>
      </c>
      <c r="G38" s="78">
        <f t="shared" si="6"/>
        <v>2.2858830364432663</v>
      </c>
      <c r="H38" s="28">
        <f t="shared" si="3"/>
        <v>19257.498171177762</v>
      </c>
      <c r="I38" s="28">
        <f t="shared" si="5"/>
        <v>54.06262971091062</v>
      </c>
    </row>
    <row r="39" spans="1:9" x14ac:dyDescent="0.3">
      <c r="A39" s="16">
        <v>2057</v>
      </c>
      <c r="B39" s="14">
        <v>51107</v>
      </c>
      <c r="C39" s="14">
        <v>54438</v>
      </c>
      <c r="D39" s="28">
        <f t="shared" ref="D39:D44" si="13">I39</f>
        <v>54.207045172332577</v>
      </c>
      <c r="E39" s="11">
        <f t="shared" ref="E39:E44" si="14">B39 * 1.0936</f>
        <v>55890.615199999993</v>
      </c>
      <c r="F39" s="11">
        <f t="shared" ref="F39:F44" si="15">C39</f>
        <v>54438</v>
      </c>
      <c r="G39" s="78">
        <f t="shared" ref="G39:G44" si="16">100- (F39/E39 *100)</f>
        <v>2.5990324042809902</v>
      </c>
      <c r="H39" s="28">
        <f t="shared" ref="H39:H44" si="17">F39/1.0936</f>
        <v>49778.712509144112</v>
      </c>
      <c r="I39" s="28">
        <f t="shared" ref="I39:I44" si="18">((B39*48)+(H39*10))/C39</f>
        <v>54.207045172332577</v>
      </c>
    </row>
    <row r="40" spans="1:9" x14ac:dyDescent="0.3">
      <c r="A40" s="16">
        <v>2056</v>
      </c>
      <c r="B40" s="14">
        <v>25068</v>
      </c>
      <c r="C40" s="14">
        <v>26732</v>
      </c>
      <c r="D40" s="28">
        <f t="shared" si="13"/>
        <v>54.156231497644235</v>
      </c>
      <c r="E40" s="11">
        <f t="shared" si="14"/>
        <v>27414.364799999999</v>
      </c>
      <c r="F40" s="11">
        <f t="shared" si="15"/>
        <v>26732</v>
      </c>
      <c r="G40" s="78">
        <f t="shared" si="16"/>
        <v>2.4890775510508973</v>
      </c>
      <c r="H40" s="28">
        <f t="shared" si="17"/>
        <v>24444.038039502564</v>
      </c>
      <c r="I40" s="28">
        <f t="shared" si="18"/>
        <v>54.156231497644235</v>
      </c>
    </row>
    <row r="41" spans="1:9" x14ac:dyDescent="0.3">
      <c r="A41" s="16">
        <v>2065</v>
      </c>
      <c r="B41" s="14">
        <v>49937</v>
      </c>
      <c r="C41" s="14">
        <v>52623</v>
      </c>
      <c r="D41" s="28">
        <f t="shared" si="13"/>
        <v>54.694079837281215</v>
      </c>
      <c r="E41" s="11">
        <f t="shared" si="14"/>
        <v>54611.103199999998</v>
      </c>
      <c r="F41" s="11">
        <f t="shared" si="15"/>
        <v>52623</v>
      </c>
      <c r="G41" s="78">
        <f t="shared" si="16"/>
        <v>3.640474342221296</v>
      </c>
      <c r="H41" s="28">
        <f t="shared" si="17"/>
        <v>48119.056327724946</v>
      </c>
      <c r="I41" s="28">
        <f t="shared" si="18"/>
        <v>54.694079837281215</v>
      </c>
    </row>
    <row r="42" spans="1:9" x14ac:dyDescent="0.3">
      <c r="A42" s="16">
        <v>2053</v>
      </c>
      <c r="B42" s="14">
        <v>20797</v>
      </c>
      <c r="C42" s="14">
        <v>22226</v>
      </c>
      <c r="D42" s="28">
        <f t="shared" si="13"/>
        <v>54.057995832003364</v>
      </c>
      <c r="E42" s="11">
        <f t="shared" si="14"/>
        <v>22743.599199999997</v>
      </c>
      <c r="F42" s="11">
        <f t="shared" si="15"/>
        <v>22226</v>
      </c>
      <c r="G42" s="78">
        <f t="shared" si="16"/>
        <v>2.2758016242213586</v>
      </c>
      <c r="H42" s="28">
        <f t="shared" si="17"/>
        <v>20323.701536210683</v>
      </c>
      <c r="I42" s="28">
        <f t="shared" si="18"/>
        <v>54.057995832003364</v>
      </c>
    </row>
    <row r="43" spans="1:9" x14ac:dyDescent="0.3">
      <c r="A43" s="16">
        <v>2080</v>
      </c>
      <c r="B43" s="14">
        <v>53024</v>
      </c>
      <c r="C43" s="14">
        <v>53303</v>
      </c>
      <c r="D43" s="28">
        <f t="shared" si="13"/>
        <v>56.892868297995918</v>
      </c>
      <c r="E43" s="11">
        <f t="shared" si="14"/>
        <v>57987.046399999992</v>
      </c>
      <c r="F43" s="11">
        <f t="shared" si="15"/>
        <v>53303</v>
      </c>
      <c r="G43" s="78">
        <f t="shared" si="16"/>
        <v>8.0777461360749641</v>
      </c>
      <c r="H43" s="28">
        <f t="shared" si="17"/>
        <v>48740.855888807615</v>
      </c>
      <c r="I43" s="28">
        <f t="shared" si="18"/>
        <v>56.892868297995918</v>
      </c>
    </row>
    <row r="44" spans="1:9" x14ac:dyDescent="0.3">
      <c r="A44" s="16">
        <v>2068</v>
      </c>
      <c r="B44" s="14">
        <v>52566</v>
      </c>
      <c r="C44" s="14">
        <v>56937</v>
      </c>
      <c r="D44" s="28">
        <f t="shared" si="13"/>
        <v>53.459196286443422</v>
      </c>
      <c r="E44" s="11">
        <f t="shared" si="14"/>
        <v>57486.177599999995</v>
      </c>
      <c r="F44" s="11">
        <f t="shared" si="15"/>
        <v>56937</v>
      </c>
      <c r="G44" s="78">
        <f t="shared" si="16"/>
        <v>0.95532112749133091</v>
      </c>
      <c r="H44" s="28">
        <f t="shared" si="17"/>
        <v>52063.8258961229</v>
      </c>
      <c r="I44" s="28">
        <f t="shared" si="18"/>
        <v>53.459196286443422</v>
      </c>
    </row>
    <row r="45" spans="1:9" x14ac:dyDescent="0.3">
      <c r="A45" s="16">
        <v>2067</v>
      </c>
      <c r="B45" s="14">
        <v>20322</v>
      </c>
      <c r="C45" s="14">
        <v>21839</v>
      </c>
      <c r="D45" s="28">
        <f t="shared" ref="D45:D58" si="19">I45</f>
        <v>53.809892592639365</v>
      </c>
      <c r="E45" s="11">
        <f t="shared" ref="E45:E58" si="20">B45 * 1.0936</f>
        <v>22224.139199999998</v>
      </c>
      <c r="F45" s="11">
        <f t="shared" ref="F45:F58" si="21">C45</f>
        <v>21839</v>
      </c>
      <c r="G45" s="78">
        <f t="shared" ref="G45:G58" si="22">100- (F45/E45 *100)</f>
        <v>1.7329769064801326</v>
      </c>
      <c r="H45" s="28">
        <f t="shared" ref="H45:H58" si="23">F45/1.0936</f>
        <v>19969.824433065107</v>
      </c>
      <c r="I45" s="28">
        <f t="shared" ref="I45:I58" si="24">((B45*48)+(H45*10))/C45</f>
        <v>53.809892592639365</v>
      </c>
    </row>
    <row r="46" spans="1:9" x14ac:dyDescent="0.3">
      <c r="A46" s="16">
        <v>2047</v>
      </c>
      <c r="B46" s="14">
        <v>70927</v>
      </c>
      <c r="C46" s="14">
        <v>78148</v>
      </c>
      <c r="D46" s="28">
        <f t="shared" si="19"/>
        <v>52.708834537839202</v>
      </c>
      <c r="E46" s="11">
        <f t="shared" si="20"/>
        <v>77565.767199999987</v>
      </c>
      <c r="F46" s="11">
        <f t="shared" si="21"/>
        <v>78148</v>
      </c>
      <c r="G46" s="78">
        <f t="shared" si="22"/>
        <v>-0.75063113666979575</v>
      </c>
      <c r="H46" s="28">
        <f t="shared" si="23"/>
        <v>71459.400146305779</v>
      </c>
      <c r="I46" s="28">
        <f t="shared" si="24"/>
        <v>52.708834537839202</v>
      </c>
    </row>
    <row r="47" spans="1:9" x14ac:dyDescent="0.3">
      <c r="A47" s="16">
        <v>2049</v>
      </c>
      <c r="B47" s="14">
        <v>55052</v>
      </c>
      <c r="C47" s="14">
        <v>36704</v>
      </c>
      <c r="D47" s="28">
        <f t="shared" si="19"/>
        <v>81.138880154902992</v>
      </c>
      <c r="E47" s="11">
        <f t="shared" si="20"/>
        <v>60204.867199999993</v>
      </c>
      <c r="F47" s="11">
        <f t="shared" si="21"/>
        <v>36704</v>
      </c>
      <c r="G47" s="78">
        <f t="shared" si="22"/>
        <v>39.034829396650508</v>
      </c>
      <c r="H47" s="28">
        <f t="shared" si="23"/>
        <v>33562.545720555965</v>
      </c>
      <c r="I47" s="28">
        <f t="shared" si="24"/>
        <v>81.138880154902992</v>
      </c>
    </row>
    <row r="48" spans="1:9" x14ac:dyDescent="0.3">
      <c r="A48" s="16">
        <v>2055</v>
      </c>
      <c r="B48" s="14">
        <v>47813</v>
      </c>
      <c r="C48" s="14">
        <v>50450</v>
      </c>
      <c r="D48" s="28">
        <f t="shared" si="19"/>
        <v>54.635171648289031</v>
      </c>
      <c r="E48" s="11">
        <f t="shared" si="20"/>
        <v>52288.296799999996</v>
      </c>
      <c r="F48" s="11">
        <f t="shared" si="21"/>
        <v>50450</v>
      </c>
      <c r="G48" s="78">
        <f t="shared" si="22"/>
        <v>3.5156945483066409</v>
      </c>
      <c r="H48" s="28">
        <f t="shared" si="23"/>
        <v>46132.040965618144</v>
      </c>
      <c r="I48" s="28">
        <f t="shared" si="24"/>
        <v>54.635171648289031</v>
      </c>
    </row>
    <row r="49" spans="1:9" x14ac:dyDescent="0.3">
      <c r="A49" s="16">
        <v>2087</v>
      </c>
      <c r="B49" s="14">
        <v>25142</v>
      </c>
      <c r="C49" s="14">
        <v>28472</v>
      </c>
      <c r="D49" s="28">
        <f t="shared" si="19"/>
        <v>51.530174693375521</v>
      </c>
      <c r="E49" s="11">
        <f t="shared" si="20"/>
        <v>27495.291199999996</v>
      </c>
      <c r="F49" s="11">
        <f t="shared" si="21"/>
        <v>28472</v>
      </c>
      <c r="G49" s="78">
        <f t="shared" si="22"/>
        <v>-3.5522766167321151</v>
      </c>
      <c r="H49" s="28">
        <f t="shared" si="23"/>
        <v>26035.113386978788</v>
      </c>
      <c r="I49" s="28">
        <f t="shared" si="24"/>
        <v>51.530174693375521</v>
      </c>
    </row>
    <row r="50" spans="1:9" x14ac:dyDescent="0.3">
      <c r="A50" s="16">
        <v>2077</v>
      </c>
      <c r="B50" s="14">
        <v>62470</v>
      </c>
      <c r="C50" s="14">
        <v>66034</v>
      </c>
      <c r="D50" s="28">
        <f t="shared" si="19"/>
        <v>54.553445777605774</v>
      </c>
      <c r="E50" s="11">
        <f t="shared" si="20"/>
        <v>68317.191999999995</v>
      </c>
      <c r="F50" s="11">
        <f t="shared" si="21"/>
        <v>66034</v>
      </c>
      <c r="G50" s="78">
        <f t="shared" si="22"/>
        <v>3.3420460255450735</v>
      </c>
      <c r="H50" s="28">
        <f t="shared" si="23"/>
        <v>60382.223847841997</v>
      </c>
      <c r="I50" s="28">
        <f t="shared" si="24"/>
        <v>54.553445777605774</v>
      </c>
    </row>
    <row r="51" spans="1:9" x14ac:dyDescent="0.3">
      <c r="A51" s="16">
        <v>2076</v>
      </c>
      <c r="B51" s="14">
        <v>50784</v>
      </c>
      <c r="C51" s="14">
        <v>53541</v>
      </c>
      <c r="D51" s="28">
        <f t="shared" si="19"/>
        <v>54.672435280474133</v>
      </c>
      <c r="E51" s="11">
        <f t="shared" si="20"/>
        <v>55537.382399999995</v>
      </c>
      <c r="F51" s="11">
        <f t="shared" si="21"/>
        <v>53541</v>
      </c>
      <c r="G51" s="78">
        <f t="shared" si="22"/>
        <v>3.5946641950485514</v>
      </c>
      <c r="H51" s="28">
        <f t="shared" si="23"/>
        <v>48958.485735186543</v>
      </c>
      <c r="I51" s="28">
        <f t="shared" si="24"/>
        <v>54.672435280474133</v>
      </c>
    </row>
    <row r="52" spans="1:9" x14ac:dyDescent="0.3">
      <c r="A52" s="16">
        <v>2070</v>
      </c>
      <c r="B52" s="14">
        <v>60945</v>
      </c>
      <c r="C52" s="14">
        <v>64989</v>
      </c>
      <c r="D52" s="28">
        <f t="shared" si="19"/>
        <v>54.157267264958229</v>
      </c>
      <c r="E52" s="11">
        <f t="shared" si="20"/>
        <v>66649.45199999999</v>
      </c>
      <c r="F52" s="11">
        <f t="shared" si="21"/>
        <v>64989</v>
      </c>
      <c r="G52" s="78">
        <f t="shared" si="22"/>
        <v>2.4913213089883897</v>
      </c>
      <c r="H52" s="28">
        <f t="shared" si="23"/>
        <v>59426.664228237023</v>
      </c>
      <c r="I52" s="28">
        <f t="shared" si="24"/>
        <v>54.157267264958229</v>
      </c>
    </row>
    <row r="53" spans="1:9" x14ac:dyDescent="0.3">
      <c r="A53" s="16">
        <v>2064</v>
      </c>
      <c r="B53" s="14">
        <v>34568</v>
      </c>
      <c r="C53" s="14">
        <v>36850</v>
      </c>
      <c r="D53" s="28">
        <f t="shared" si="19"/>
        <v>54.171628153043393</v>
      </c>
      <c r="E53" s="11">
        <f t="shared" si="20"/>
        <v>37803.5648</v>
      </c>
      <c r="F53" s="11">
        <f t="shared" si="21"/>
        <v>36850</v>
      </c>
      <c r="G53" s="78">
        <f t="shared" si="22"/>
        <v>2.52242031947209</v>
      </c>
      <c r="H53" s="28">
        <f t="shared" si="23"/>
        <v>33696.04974396489</v>
      </c>
      <c r="I53" s="28">
        <f t="shared" si="24"/>
        <v>54.171628153043393</v>
      </c>
    </row>
    <row r="54" spans="1:9" x14ac:dyDescent="0.3">
      <c r="A54" s="16">
        <v>2062</v>
      </c>
      <c r="B54" s="14">
        <v>27813</v>
      </c>
      <c r="C54" s="14">
        <v>29372</v>
      </c>
      <c r="D54" s="28">
        <f t="shared" si="19"/>
        <v>54.596378658005605</v>
      </c>
      <c r="E54" s="11">
        <f t="shared" si="20"/>
        <v>30416.296799999996</v>
      </c>
      <c r="F54" s="11">
        <f t="shared" si="21"/>
        <v>29372</v>
      </c>
      <c r="G54" s="78">
        <f t="shared" si="22"/>
        <v>3.4333462974361737</v>
      </c>
      <c r="H54" s="28">
        <f t="shared" si="23"/>
        <v>26858.083394294077</v>
      </c>
      <c r="I54" s="28">
        <f t="shared" si="24"/>
        <v>54.596378658005605</v>
      </c>
    </row>
    <row r="55" spans="1:9" x14ac:dyDescent="0.3">
      <c r="A55" s="16">
        <v>2063</v>
      </c>
      <c r="B55" s="14">
        <v>24175</v>
      </c>
      <c r="C55" s="14">
        <v>25825</v>
      </c>
      <c r="D55" s="28">
        <f t="shared" si="19"/>
        <v>54.077315451830628</v>
      </c>
      <c r="E55" s="11">
        <f t="shared" si="20"/>
        <v>26437.78</v>
      </c>
      <c r="F55" s="11">
        <f t="shared" si="21"/>
        <v>25825</v>
      </c>
      <c r="G55" s="78">
        <f t="shared" si="22"/>
        <v>2.3178194235673288</v>
      </c>
      <c r="H55" s="28">
        <f t="shared" si="23"/>
        <v>23614.667154352599</v>
      </c>
      <c r="I55" s="28">
        <f t="shared" si="24"/>
        <v>54.077315451830628</v>
      </c>
    </row>
    <row r="56" spans="1:9" x14ac:dyDescent="0.3">
      <c r="A56" s="16">
        <v>2072</v>
      </c>
      <c r="B56" s="14">
        <v>15104</v>
      </c>
      <c r="C56" s="14">
        <v>15955</v>
      </c>
      <c r="D56" s="28">
        <f t="shared" si="19"/>
        <v>54.583910628305603</v>
      </c>
      <c r="E56" s="11">
        <f t="shared" si="20"/>
        <v>16517.734399999998</v>
      </c>
      <c r="F56" s="11">
        <f t="shared" si="21"/>
        <v>15955</v>
      </c>
      <c r="G56" s="78">
        <f t="shared" si="22"/>
        <v>3.4068497917002247</v>
      </c>
      <c r="H56" s="28">
        <f t="shared" si="23"/>
        <v>14589.429407461595</v>
      </c>
      <c r="I56" s="28">
        <f t="shared" si="24"/>
        <v>54.583910628305603</v>
      </c>
    </row>
    <row r="57" spans="1:9" x14ac:dyDescent="0.3">
      <c r="A57" s="16">
        <v>2078</v>
      </c>
      <c r="B57" s="14">
        <v>25072</v>
      </c>
      <c r="C57" s="14">
        <v>26750</v>
      </c>
      <c r="D57" s="28">
        <f t="shared" si="19"/>
        <v>54.133120538186489</v>
      </c>
      <c r="E57" s="11">
        <f t="shared" si="20"/>
        <v>27418.739199999996</v>
      </c>
      <c r="F57" s="11">
        <f t="shared" si="21"/>
        <v>26750</v>
      </c>
      <c r="G57" s="78">
        <f t="shared" si="22"/>
        <v>2.4389859618344332</v>
      </c>
      <c r="H57" s="28">
        <f t="shared" si="23"/>
        <v>24460.497439648869</v>
      </c>
      <c r="I57" s="28">
        <f t="shared" si="24"/>
        <v>54.133120538186489</v>
      </c>
    </row>
    <row r="58" spans="1:9" x14ac:dyDescent="0.3">
      <c r="A58" s="16" t="s">
        <v>498</v>
      </c>
      <c r="B58" s="14">
        <v>38006</v>
      </c>
      <c r="C58" s="14">
        <v>41523</v>
      </c>
      <c r="D58" s="28">
        <f t="shared" si="19"/>
        <v>53.078508996019004</v>
      </c>
      <c r="E58" s="11">
        <f t="shared" si="20"/>
        <v>41563.361599999997</v>
      </c>
      <c r="F58" s="11">
        <f t="shared" si="21"/>
        <v>41523</v>
      </c>
      <c r="G58" s="78">
        <f t="shared" si="22"/>
        <v>9.7108603458096354E-2</v>
      </c>
      <c r="H58" s="28">
        <f t="shared" si="23"/>
        <v>37969.092904169716</v>
      </c>
      <c r="I58" s="28">
        <f t="shared" si="24"/>
        <v>53.078508996019004</v>
      </c>
    </row>
    <row r="59" spans="1:9" x14ac:dyDescent="0.3">
      <c r="A59" s="16">
        <v>2091</v>
      </c>
      <c r="B59" s="14">
        <v>17444</v>
      </c>
      <c r="C59" s="14">
        <v>18354</v>
      </c>
      <c r="D59" s="28">
        <f t="shared" ref="D59:D73" si="25">I59</f>
        <v>54.764248492163269</v>
      </c>
      <c r="E59" s="11">
        <f t="shared" ref="E59:E73" si="26">B59 * 1.0936</f>
        <v>19076.758399999999</v>
      </c>
      <c r="F59" s="11">
        <f t="shared" ref="F59:F73" si="27">C59</f>
        <v>18354</v>
      </c>
      <c r="G59" s="78">
        <f t="shared" ref="G59:G73" si="28">100- (F59/E59 *100)</f>
        <v>3.7886856081376976</v>
      </c>
      <c r="H59" s="28">
        <f t="shared" ref="H59:H73" si="29">F59/1.0936</f>
        <v>16783.101682516462</v>
      </c>
      <c r="I59" s="28">
        <f t="shared" ref="I59:I73" si="30">((B59*48)+(H59*10))/C59</f>
        <v>54.764248492163269</v>
      </c>
    </row>
    <row r="60" spans="1:9" x14ac:dyDescent="0.3">
      <c r="A60" s="16">
        <v>2090</v>
      </c>
      <c r="B60" s="14">
        <v>50157</v>
      </c>
      <c r="C60" s="14">
        <v>52082</v>
      </c>
      <c r="D60" s="28">
        <f t="shared" si="25"/>
        <v>55.369985774781405</v>
      </c>
      <c r="E60" s="11">
        <f t="shared" si="26"/>
        <v>54851.695199999995</v>
      </c>
      <c r="F60" s="11">
        <f t="shared" si="27"/>
        <v>52082</v>
      </c>
      <c r="G60" s="78">
        <f t="shared" si="28"/>
        <v>5.0494249811261938</v>
      </c>
      <c r="H60" s="28">
        <f t="shared" si="29"/>
        <v>47624.35991221654</v>
      </c>
      <c r="I60" s="28">
        <f t="shared" si="30"/>
        <v>55.369985774781405</v>
      </c>
    </row>
    <row r="61" spans="1:9" x14ac:dyDescent="0.3">
      <c r="A61" s="16" t="s">
        <v>519</v>
      </c>
      <c r="B61" s="14">
        <v>39029</v>
      </c>
      <c r="C61" s="14">
        <v>30853</v>
      </c>
      <c r="D61" s="28">
        <f t="shared" si="25"/>
        <v>69.864041182992679</v>
      </c>
      <c r="E61" s="11">
        <f t="shared" si="26"/>
        <v>42682.114399999999</v>
      </c>
      <c r="F61" s="11">
        <f t="shared" si="27"/>
        <v>30853</v>
      </c>
      <c r="G61" s="78">
        <f t="shared" si="28"/>
        <v>27.714452684190363</v>
      </c>
      <c r="H61" s="28">
        <f t="shared" si="29"/>
        <v>28212.326261887349</v>
      </c>
      <c r="I61" s="28">
        <f t="shared" si="30"/>
        <v>69.864041182992679</v>
      </c>
    </row>
    <row r="62" spans="1:9" x14ac:dyDescent="0.3">
      <c r="A62" s="16">
        <v>2083</v>
      </c>
      <c r="B62" s="14">
        <v>20008</v>
      </c>
      <c r="C62" s="14">
        <v>20873</v>
      </c>
      <c r="D62" s="28">
        <f t="shared" si="25"/>
        <v>55.154938577051709</v>
      </c>
      <c r="E62" s="11">
        <f t="shared" si="26"/>
        <v>21880.748799999998</v>
      </c>
      <c r="F62" s="11">
        <f t="shared" si="27"/>
        <v>20873</v>
      </c>
      <c r="G62" s="78">
        <f t="shared" si="28"/>
        <v>4.6056412840862038</v>
      </c>
      <c r="H62" s="28">
        <f t="shared" si="29"/>
        <v>19086.503291880032</v>
      </c>
      <c r="I62" s="28">
        <f t="shared" si="30"/>
        <v>55.154938577051709</v>
      </c>
    </row>
    <row r="63" spans="1:9" x14ac:dyDescent="0.3">
      <c r="A63" s="16">
        <v>2073</v>
      </c>
      <c r="B63" s="14">
        <v>20111</v>
      </c>
      <c r="C63" s="14">
        <v>21300</v>
      </c>
      <c r="D63" s="28">
        <f t="shared" si="25"/>
        <v>54.464674572673793</v>
      </c>
      <c r="E63" s="11">
        <f t="shared" si="26"/>
        <v>21993.389599999999</v>
      </c>
      <c r="F63" s="11">
        <f t="shared" si="27"/>
        <v>21300</v>
      </c>
      <c r="G63" s="78">
        <f t="shared" si="28"/>
        <v>3.1527182149312551</v>
      </c>
      <c r="H63" s="28">
        <f t="shared" si="29"/>
        <v>19476.956839795173</v>
      </c>
      <c r="I63" s="28">
        <f t="shared" si="30"/>
        <v>54.464674572673793</v>
      </c>
    </row>
    <row r="64" spans="1:9" x14ac:dyDescent="0.3">
      <c r="A64" s="16">
        <v>1977</v>
      </c>
      <c r="B64" s="14">
        <v>27995</v>
      </c>
      <c r="C64" s="14">
        <v>28811</v>
      </c>
      <c r="D64" s="28">
        <f t="shared" si="25"/>
        <v>55.784630438513368</v>
      </c>
      <c r="E64" s="11">
        <f t="shared" si="26"/>
        <v>30615.331999999999</v>
      </c>
      <c r="F64" s="11">
        <f t="shared" si="27"/>
        <v>28811</v>
      </c>
      <c r="G64" s="78">
        <f t="shared" si="28"/>
        <v>5.8935568622937069</v>
      </c>
      <c r="H64" s="28">
        <f t="shared" si="29"/>
        <v>26345.098756400879</v>
      </c>
      <c r="I64" s="28">
        <f t="shared" si="30"/>
        <v>55.784630438513368</v>
      </c>
    </row>
    <row r="65" spans="1:9" x14ac:dyDescent="0.3">
      <c r="A65" s="16">
        <v>2094</v>
      </c>
      <c r="B65" s="14">
        <v>30340</v>
      </c>
      <c r="C65" s="14">
        <v>32011</v>
      </c>
      <c r="D65" s="28">
        <f t="shared" si="25"/>
        <v>54.638472505690657</v>
      </c>
      <c r="E65" s="11">
        <f t="shared" si="26"/>
        <v>33179.824000000001</v>
      </c>
      <c r="F65" s="11">
        <f t="shared" si="27"/>
        <v>32011</v>
      </c>
      <c r="G65" s="78">
        <f t="shared" si="28"/>
        <v>3.5226949968149341</v>
      </c>
      <c r="H65" s="28">
        <f t="shared" si="29"/>
        <v>29271.214337966354</v>
      </c>
      <c r="I65" s="28">
        <f t="shared" si="30"/>
        <v>54.638472505690657</v>
      </c>
    </row>
    <row r="66" spans="1:9" x14ac:dyDescent="0.3">
      <c r="A66" s="16">
        <v>2089</v>
      </c>
      <c r="B66" s="14">
        <v>7943</v>
      </c>
      <c r="C66" s="14">
        <v>2095</v>
      </c>
      <c r="D66" s="28">
        <f t="shared" si="25"/>
        <v>191.1317006911988</v>
      </c>
      <c r="E66" s="11">
        <f t="shared" si="26"/>
        <v>8686.4647999999997</v>
      </c>
      <c r="F66" s="11">
        <f t="shared" si="27"/>
        <v>2095</v>
      </c>
      <c r="G66" s="78">
        <f t="shared" si="28"/>
        <v>75.882018194559421</v>
      </c>
      <c r="H66" s="28">
        <f t="shared" si="29"/>
        <v>1915.6912948061449</v>
      </c>
      <c r="I66" s="28">
        <f t="shared" si="30"/>
        <v>191.1317006911988</v>
      </c>
    </row>
    <row r="67" spans="1:9" x14ac:dyDescent="0.3">
      <c r="A67" s="16">
        <v>2079</v>
      </c>
      <c r="B67" s="14">
        <v>7968</v>
      </c>
      <c r="C67" s="14">
        <v>8041</v>
      </c>
      <c r="D67" s="28">
        <f t="shared" si="25"/>
        <v>56.70834449670749</v>
      </c>
      <c r="E67" s="11">
        <f t="shared" si="26"/>
        <v>8713.8047999999999</v>
      </c>
      <c r="F67" s="11">
        <f t="shared" si="27"/>
        <v>8041</v>
      </c>
      <c r="G67" s="78">
        <f t="shared" si="28"/>
        <v>7.7211369251695885</v>
      </c>
      <c r="H67" s="28">
        <f t="shared" si="29"/>
        <v>7352.7798098024878</v>
      </c>
      <c r="I67" s="28">
        <f t="shared" si="30"/>
        <v>56.70834449670749</v>
      </c>
    </row>
    <row r="68" spans="1:9" x14ac:dyDescent="0.3">
      <c r="A68" s="16">
        <v>2045</v>
      </c>
      <c r="B68" s="14">
        <v>5552</v>
      </c>
      <c r="C68" s="14">
        <v>4017</v>
      </c>
      <c r="D68" s="28">
        <f t="shared" si="25"/>
        <v>75.48615749560345</v>
      </c>
      <c r="E68" s="11">
        <f t="shared" si="26"/>
        <v>6071.6671999999999</v>
      </c>
      <c r="F68" s="11">
        <f t="shared" si="27"/>
        <v>4017</v>
      </c>
      <c r="G68" s="78">
        <f t="shared" si="28"/>
        <v>33.840247370606875</v>
      </c>
      <c r="H68" s="28">
        <f t="shared" si="29"/>
        <v>3673.1894659839068</v>
      </c>
      <c r="I68" s="28">
        <f t="shared" si="30"/>
        <v>75.48615749560345</v>
      </c>
    </row>
    <row r="69" spans="1:9" x14ac:dyDescent="0.3">
      <c r="A69" s="16">
        <v>2066</v>
      </c>
      <c r="B69" s="14">
        <v>23541</v>
      </c>
      <c r="C69" s="14">
        <v>25328</v>
      </c>
      <c r="D69" s="28">
        <f t="shared" si="25"/>
        <v>53.75750348550644</v>
      </c>
      <c r="E69" s="11">
        <f t="shared" si="26"/>
        <v>25744.437599999997</v>
      </c>
      <c r="F69" s="11">
        <f t="shared" si="27"/>
        <v>25328</v>
      </c>
      <c r="G69" s="78">
        <f t="shared" si="28"/>
        <v>1.6175828210750893</v>
      </c>
      <c r="H69" s="28">
        <f t="shared" si="29"/>
        <v>23160.204828090711</v>
      </c>
      <c r="I69" s="28">
        <f t="shared" si="30"/>
        <v>53.75750348550644</v>
      </c>
    </row>
    <row r="70" spans="1:9" x14ac:dyDescent="0.3">
      <c r="A70" s="16">
        <v>2085</v>
      </c>
      <c r="B70" s="14">
        <v>25013</v>
      </c>
      <c r="C70" s="14">
        <v>26757</v>
      </c>
      <c r="D70" s="28">
        <f t="shared" si="25"/>
        <v>54.015509331196895</v>
      </c>
      <c r="E70" s="11">
        <f t="shared" si="26"/>
        <v>27354.216799999998</v>
      </c>
      <c r="F70" s="11">
        <f t="shared" si="27"/>
        <v>26757</v>
      </c>
      <c r="G70" s="78">
        <f t="shared" si="28"/>
        <v>2.1832714289227937</v>
      </c>
      <c r="H70" s="28">
        <f t="shared" si="29"/>
        <v>24466.898317483541</v>
      </c>
      <c r="I70" s="28">
        <f t="shared" si="30"/>
        <v>54.015509331196895</v>
      </c>
    </row>
    <row r="71" spans="1:9" x14ac:dyDescent="0.3">
      <c r="A71" s="16">
        <v>2099</v>
      </c>
      <c r="B71" s="14">
        <v>96074</v>
      </c>
      <c r="C71" s="14">
        <v>90662</v>
      </c>
      <c r="D71" s="28">
        <f t="shared" si="25"/>
        <v>60.009435142889551</v>
      </c>
      <c r="E71" s="11">
        <f t="shared" si="26"/>
        <v>105066.52639999999</v>
      </c>
      <c r="F71" s="11">
        <f t="shared" si="27"/>
        <v>90662</v>
      </c>
      <c r="G71" s="78">
        <f t="shared" si="28"/>
        <v>13.709910181250635</v>
      </c>
      <c r="H71" s="28">
        <f t="shared" si="29"/>
        <v>82902.340892465261</v>
      </c>
      <c r="I71" s="28">
        <f t="shared" si="30"/>
        <v>60.009435142889551</v>
      </c>
    </row>
    <row r="72" spans="1:9" x14ac:dyDescent="0.3">
      <c r="A72" s="16">
        <v>1979</v>
      </c>
      <c r="B72" s="14">
        <v>24922</v>
      </c>
      <c r="C72" s="14">
        <v>26640</v>
      </c>
      <c r="D72" s="28">
        <f t="shared" si="25"/>
        <v>54.048615696896604</v>
      </c>
      <c r="E72" s="11">
        <f t="shared" si="26"/>
        <v>27254.699199999999</v>
      </c>
      <c r="F72" s="11">
        <f t="shared" si="27"/>
        <v>26640</v>
      </c>
      <c r="G72" s="78">
        <f t="shared" si="28"/>
        <v>2.2553879442558582</v>
      </c>
      <c r="H72" s="28">
        <f t="shared" si="29"/>
        <v>24359.912216532553</v>
      </c>
      <c r="I72" s="28">
        <f t="shared" si="30"/>
        <v>54.048615696896604</v>
      </c>
    </row>
    <row r="73" spans="1:9" x14ac:dyDescent="0.3">
      <c r="A73" s="16">
        <v>2096</v>
      </c>
      <c r="B73" s="14">
        <v>100801</v>
      </c>
      <c r="C73" s="14">
        <v>5331</v>
      </c>
      <c r="D73" s="28">
        <f t="shared" si="25"/>
        <v>916.75018885136797</v>
      </c>
      <c r="E73" s="11">
        <f t="shared" si="26"/>
        <v>110235.9736</v>
      </c>
      <c r="F73" s="11">
        <f t="shared" si="27"/>
        <v>5331</v>
      </c>
      <c r="G73" s="78">
        <f t="shared" si="28"/>
        <v>95.164010598442246</v>
      </c>
      <c r="H73" s="28">
        <f t="shared" si="29"/>
        <v>4874.7256766642286</v>
      </c>
      <c r="I73" s="28">
        <f t="shared" si="30"/>
        <v>916.75018885136797</v>
      </c>
    </row>
    <row r="74" spans="1:9" x14ac:dyDescent="0.3">
      <c r="A74" s="16">
        <v>2048</v>
      </c>
      <c r="B74" s="14">
        <v>47491</v>
      </c>
      <c r="C74" s="14">
        <v>4203</v>
      </c>
      <c r="D74" s="28">
        <f t="shared" ref="D74:D84" si="31">I74</f>
        <v>551.51099199182113</v>
      </c>
      <c r="E74" s="11">
        <f t="shared" ref="E74:E84" si="32">B74 * 1.0936</f>
        <v>51936.157599999999</v>
      </c>
      <c r="F74" s="11">
        <f t="shared" ref="F74:F84" si="33">C74</f>
        <v>4203</v>
      </c>
      <c r="G74" s="78">
        <f t="shared" ref="G74:G84" si="34">100- (F74/E74 *100)</f>
        <v>91.907372061732957</v>
      </c>
      <c r="H74" s="28">
        <f t="shared" ref="H74:H84" si="35">F74/1.0936</f>
        <v>3843.2699341623997</v>
      </c>
      <c r="I74" s="28">
        <f t="shared" ref="I74:I84" si="36">((B74*48)+(H74*10))/C74</f>
        <v>551.51099199182113</v>
      </c>
    </row>
    <row r="75" spans="1:9" x14ac:dyDescent="0.3">
      <c r="A75" s="16">
        <v>2075</v>
      </c>
      <c r="B75" s="14">
        <v>1519</v>
      </c>
      <c r="C75" s="14">
        <v>1650</v>
      </c>
      <c r="D75" s="28">
        <f t="shared" si="31"/>
        <v>53.33320210148301</v>
      </c>
      <c r="E75" s="11">
        <f t="shared" si="32"/>
        <v>1661.1783999999998</v>
      </c>
      <c r="F75" s="11">
        <f t="shared" si="33"/>
        <v>1650</v>
      </c>
      <c r="G75" s="78">
        <f t="shared" si="34"/>
        <v>0.67291989830832222</v>
      </c>
      <c r="H75" s="28">
        <f t="shared" si="35"/>
        <v>1508.7783467446966</v>
      </c>
      <c r="I75" s="28">
        <f t="shared" si="36"/>
        <v>53.33320210148301</v>
      </c>
    </row>
    <row r="76" spans="1:9" x14ac:dyDescent="0.3">
      <c r="A76" s="16">
        <v>2074</v>
      </c>
      <c r="B76" s="14">
        <v>1308</v>
      </c>
      <c r="C76" s="14">
        <v>1408</v>
      </c>
      <c r="D76" s="28">
        <f t="shared" si="31"/>
        <v>53.735020283301189</v>
      </c>
      <c r="E76" s="11">
        <f t="shared" si="32"/>
        <v>1430.4287999999999</v>
      </c>
      <c r="F76" s="11">
        <f t="shared" si="33"/>
        <v>1408</v>
      </c>
      <c r="G76" s="78">
        <f t="shared" si="34"/>
        <v>1.5679773785315234</v>
      </c>
      <c r="H76" s="28">
        <f t="shared" si="35"/>
        <v>1287.4908558888078</v>
      </c>
      <c r="I76" s="28">
        <f t="shared" si="36"/>
        <v>53.735020283301189</v>
      </c>
    </row>
    <row r="77" spans="1:9" x14ac:dyDescent="0.3">
      <c r="A77" s="16">
        <v>2100</v>
      </c>
      <c r="B77" s="14">
        <v>51893</v>
      </c>
      <c r="C77" s="14">
        <v>55739</v>
      </c>
      <c r="D77" s="28">
        <f t="shared" si="31"/>
        <v>53.832103441983946</v>
      </c>
      <c r="E77" s="11">
        <f t="shared" si="32"/>
        <v>56750.184799999995</v>
      </c>
      <c r="F77" s="11">
        <f t="shared" si="33"/>
        <v>55739</v>
      </c>
      <c r="G77" s="78">
        <f t="shared" si="34"/>
        <v>1.7818176338343648</v>
      </c>
      <c r="H77" s="28">
        <f t="shared" si="35"/>
        <v>50968.361375274326</v>
      </c>
      <c r="I77" s="28">
        <f t="shared" si="36"/>
        <v>53.832103441983946</v>
      </c>
    </row>
    <row r="78" spans="1:9" x14ac:dyDescent="0.3">
      <c r="A78" s="16">
        <v>2058</v>
      </c>
      <c r="B78" s="14">
        <v>25007</v>
      </c>
      <c r="C78" s="14">
        <v>26901</v>
      </c>
      <c r="D78" s="28">
        <f t="shared" si="31"/>
        <v>53.76460857167168</v>
      </c>
      <c r="E78" s="11">
        <f t="shared" si="32"/>
        <v>27347.655199999997</v>
      </c>
      <c r="F78" s="11">
        <f t="shared" si="33"/>
        <v>26901</v>
      </c>
      <c r="G78" s="78">
        <f t="shared" si="34"/>
        <v>1.6332486157716346</v>
      </c>
      <c r="H78" s="28">
        <f t="shared" si="35"/>
        <v>24598.57351865399</v>
      </c>
      <c r="I78" s="28">
        <f t="shared" si="36"/>
        <v>53.76460857167168</v>
      </c>
    </row>
    <row r="79" spans="1:9" x14ac:dyDescent="0.3">
      <c r="A79" s="16">
        <v>2069</v>
      </c>
      <c r="B79" s="14">
        <v>3875</v>
      </c>
      <c r="C79" s="14">
        <v>3905</v>
      </c>
      <c r="D79" s="28">
        <f t="shared" si="31"/>
        <v>56.775353189831286</v>
      </c>
      <c r="E79" s="11">
        <f t="shared" si="32"/>
        <v>4237.7</v>
      </c>
      <c r="F79" s="11">
        <f t="shared" si="33"/>
        <v>3905</v>
      </c>
      <c r="G79" s="78">
        <f t="shared" si="34"/>
        <v>7.8509568869905735</v>
      </c>
      <c r="H79" s="28">
        <f t="shared" si="35"/>
        <v>3570.7754206291152</v>
      </c>
      <c r="I79" s="28">
        <f t="shared" si="36"/>
        <v>56.775353189831286</v>
      </c>
    </row>
    <row r="80" spans="1:9" x14ac:dyDescent="0.3">
      <c r="A80" s="16">
        <v>1809</v>
      </c>
      <c r="B80" s="14">
        <v>13927</v>
      </c>
      <c r="C80" s="14">
        <v>6913</v>
      </c>
      <c r="D80" s="28">
        <f t="shared" si="31"/>
        <v>105.84539862187279</v>
      </c>
      <c r="E80" s="11">
        <f t="shared" si="32"/>
        <v>15230.5672</v>
      </c>
      <c r="F80" s="11">
        <f t="shared" si="33"/>
        <v>6913</v>
      </c>
      <c r="G80" s="78">
        <f t="shared" si="34"/>
        <v>54.611014092764712</v>
      </c>
      <c r="H80" s="28">
        <f t="shared" si="35"/>
        <v>6321.3240673006585</v>
      </c>
      <c r="I80" s="28">
        <f t="shared" si="36"/>
        <v>105.84539862187279</v>
      </c>
    </row>
    <row r="81" spans="1:9" x14ac:dyDescent="0.3">
      <c r="A81" s="16">
        <v>2060</v>
      </c>
      <c r="B81" s="14">
        <v>25162</v>
      </c>
      <c r="C81" s="14">
        <v>26931</v>
      </c>
      <c r="D81" s="28">
        <f t="shared" si="31"/>
        <v>53.991164773766727</v>
      </c>
      <c r="E81" s="11">
        <f t="shared" si="32"/>
        <v>27517.163199999999</v>
      </c>
      <c r="F81" s="11">
        <f t="shared" si="33"/>
        <v>26931</v>
      </c>
      <c r="G81" s="78">
        <f t="shared" si="34"/>
        <v>2.1301730695844441</v>
      </c>
      <c r="H81" s="28">
        <f t="shared" si="35"/>
        <v>24626.005852231167</v>
      </c>
      <c r="I81" s="28">
        <f t="shared" si="36"/>
        <v>53.991164773766727</v>
      </c>
    </row>
    <row r="82" spans="1:9" x14ac:dyDescent="0.3">
      <c r="A82" s="16" t="s">
        <v>28</v>
      </c>
      <c r="B82" s="30">
        <v>100801</v>
      </c>
      <c r="C82" s="30">
        <v>2236958</v>
      </c>
      <c r="D82" s="28">
        <f t="shared" si="31"/>
        <v>11.307069996267719</v>
      </c>
      <c r="E82" s="11">
        <f t="shared" si="32"/>
        <v>110235.9736</v>
      </c>
      <c r="F82" s="11">
        <f t="shared" si="33"/>
        <v>2236958</v>
      </c>
      <c r="G82" s="78">
        <f t="shared" si="34"/>
        <v>-1929.2450158937954</v>
      </c>
      <c r="H82" s="28">
        <f t="shared" si="35"/>
        <v>2045499.2684711048</v>
      </c>
      <c r="I82" s="28">
        <f t="shared" si="36"/>
        <v>11.307069996267719</v>
      </c>
    </row>
    <row r="83" spans="1:9" x14ac:dyDescent="0.3">
      <c r="D83" s="28" t="e">
        <f t="shared" si="31"/>
        <v>#DIV/0!</v>
      </c>
      <c r="E83" s="11">
        <f t="shared" si="32"/>
        <v>0</v>
      </c>
      <c r="F83" s="11">
        <f t="shared" si="33"/>
        <v>0</v>
      </c>
      <c r="G83" s="78" t="e">
        <f t="shared" si="34"/>
        <v>#DIV/0!</v>
      </c>
      <c r="H83" s="28">
        <f t="shared" si="35"/>
        <v>0</v>
      </c>
      <c r="I83" s="28" t="e">
        <f t="shared" si="36"/>
        <v>#DIV/0!</v>
      </c>
    </row>
    <row r="84" spans="1:9" x14ac:dyDescent="0.3">
      <c r="D84" s="28" t="e">
        <f t="shared" si="31"/>
        <v>#DIV/0!</v>
      </c>
      <c r="E84" s="11">
        <f t="shared" si="32"/>
        <v>0</v>
      </c>
      <c r="F84" s="11">
        <f t="shared" si="33"/>
        <v>0</v>
      </c>
      <c r="G84" s="78" t="e">
        <f t="shared" si="34"/>
        <v>#DIV/0!</v>
      </c>
      <c r="H84" s="28">
        <f t="shared" si="35"/>
        <v>0</v>
      </c>
      <c r="I84" s="28" t="e">
        <f t="shared" si="36"/>
        <v>#DIV/0!</v>
      </c>
    </row>
    <row r="85" spans="1:9" x14ac:dyDescent="0.3">
      <c r="D85" s="28" t="e">
        <f t="shared" ref="D85:D119" si="37">I85</f>
        <v>#DIV/0!</v>
      </c>
      <c r="E85" s="11">
        <f t="shared" ref="E85:E119" si="38">B85 * 1.0936</f>
        <v>0</v>
      </c>
      <c r="F85" s="11">
        <f t="shared" ref="F85:F119" si="39">C85</f>
        <v>0</v>
      </c>
      <c r="G85" s="78" t="e">
        <f t="shared" ref="G85:G119" si="40">100- (F85/E85 *100)</f>
        <v>#DIV/0!</v>
      </c>
      <c r="H85" s="28">
        <f t="shared" ref="H85:H119" si="41">F85/1.0936</f>
        <v>0</v>
      </c>
      <c r="I85" s="28" t="e">
        <f t="shared" ref="I85:I119" si="42">((B85*48)+(H85*10))/C85</f>
        <v>#DIV/0!</v>
      </c>
    </row>
    <row r="86" spans="1:9" x14ac:dyDescent="0.3">
      <c r="D86" s="28" t="e">
        <f t="shared" si="37"/>
        <v>#DIV/0!</v>
      </c>
      <c r="E86" s="11">
        <f t="shared" si="38"/>
        <v>0</v>
      </c>
      <c r="F86" s="11">
        <f t="shared" si="39"/>
        <v>0</v>
      </c>
      <c r="G86" s="78" t="e">
        <f t="shared" si="40"/>
        <v>#DIV/0!</v>
      </c>
      <c r="H86" s="28">
        <f t="shared" si="41"/>
        <v>0</v>
      </c>
      <c r="I86" s="28" t="e">
        <f t="shared" si="42"/>
        <v>#DIV/0!</v>
      </c>
    </row>
    <row r="87" spans="1:9" x14ac:dyDescent="0.3">
      <c r="D87" s="28" t="e">
        <f t="shared" si="37"/>
        <v>#DIV/0!</v>
      </c>
      <c r="E87" s="11">
        <f t="shared" si="38"/>
        <v>0</v>
      </c>
      <c r="F87" s="11">
        <f t="shared" si="39"/>
        <v>0</v>
      </c>
      <c r="G87" s="78" t="e">
        <f t="shared" si="40"/>
        <v>#DIV/0!</v>
      </c>
      <c r="H87" s="28">
        <f t="shared" si="41"/>
        <v>0</v>
      </c>
      <c r="I87" s="28" t="e">
        <f t="shared" si="42"/>
        <v>#DIV/0!</v>
      </c>
    </row>
    <row r="88" spans="1:9" x14ac:dyDescent="0.3">
      <c r="D88" s="28" t="e">
        <f t="shared" si="37"/>
        <v>#DIV/0!</v>
      </c>
      <c r="E88" s="11">
        <f t="shared" si="38"/>
        <v>0</v>
      </c>
      <c r="F88" s="11">
        <f t="shared" si="39"/>
        <v>0</v>
      </c>
      <c r="G88" s="78" t="e">
        <f t="shared" si="40"/>
        <v>#DIV/0!</v>
      </c>
      <c r="H88" s="28">
        <f t="shared" si="41"/>
        <v>0</v>
      </c>
      <c r="I88" s="28" t="e">
        <f t="shared" si="42"/>
        <v>#DIV/0!</v>
      </c>
    </row>
    <row r="89" spans="1:9" x14ac:dyDescent="0.3">
      <c r="D89" s="28" t="e">
        <f t="shared" si="37"/>
        <v>#DIV/0!</v>
      </c>
      <c r="E89" s="11">
        <f t="shared" si="38"/>
        <v>0</v>
      </c>
      <c r="F89" s="11">
        <f t="shared" si="39"/>
        <v>0</v>
      </c>
      <c r="G89" s="78" t="e">
        <f t="shared" si="40"/>
        <v>#DIV/0!</v>
      </c>
      <c r="H89" s="28">
        <f t="shared" si="41"/>
        <v>0</v>
      </c>
      <c r="I89" s="28" t="e">
        <f t="shared" si="42"/>
        <v>#DIV/0!</v>
      </c>
    </row>
    <row r="90" spans="1:9" x14ac:dyDescent="0.3">
      <c r="D90" s="28" t="e">
        <f t="shared" si="37"/>
        <v>#DIV/0!</v>
      </c>
      <c r="E90" s="11">
        <f t="shared" si="38"/>
        <v>0</v>
      </c>
      <c r="F90" s="11">
        <f t="shared" si="39"/>
        <v>0</v>
      </c>
      <c r="G90" s="78" t="e">
        <f t="shared" si="40"/>
        <v>#DIV/0!</v>
      </c>
      <c r="H90" s="28">
        <f t="shared" si="41"/>
        <v>0</v>
      </c>
      <c r="I90" s="28" t="e">
        <f t="shared" si="42"/>
        <v>#DIV/0!</v>
      </c>
    </row>
    <row r="91" spans="1:9" x14ac:dyDescent="0.3">
      <c r="D91" s="28" t="e">
        <f t="shared" si="37"/>
        <v>#DIV/0!</v>
      </c>
      <c r="E91" s="11">
        <f t="shared" si="38"/>
        <v>0</v>
      </c>
      <c r="F91" s="11">
        <f t="shared" si="39"/>
        <v>0</v>
      </c>
      <c r="G91" s="78" t="e">
        <f t="shared" si="40"/>
        <v>#DIV/0!</v>
      </c>
      <c r="H91" s="28">
        <f t="shared" si="41"/>
        <v>0</v>
      </c>
      <c r="I91" s="28" t="e">
        <f t="shared" si="42"/>
        <v>#DIV/0!</v>
      </c>
    </row>
    <row r="92" spans="1:9" x14ac:dyDescent="0.3">
      <c r="D92" s="28" t="e">
        <f t="shared" si="37"/>
        <v>#DIV/0!</v>
      </c>
      <c r="E92" s="11">
        <f t="shared" si="38"/>
        <v>0</v>
      </c>
      <c r="F92" s="11">
        <f t="shared" si="39"/>
        <v>0</v>
      </c>
      <c r="G92" s="78" t="e">
        <f t="shared" si="40"/>
        <v>#DIV/0!</v>
      </c>
      <c r="H92" s="28">
        <f t="shared" si="41"/>
        <v>0</v>
      </c>
      <c r="I92" s="28" t="e">
        <f t="shared" si="42"/>
        <v>#DIV/0!</v>
      </c>
    </row>
    <row r="93" spans="1:9" x14ac:dyDescent="0.3">
      <c r="D93" s="28" t="e">
        <f t="shared" si="37"/>
        <v>#DIV/0!</v>
      </c>
      <c r="E93" s="11">
        <f t="shared" si="38"/>
        <v>0</v>
      </c>
      <c r="F93" s="11">
        <f t="shared" si="39"/>
        <v>0</v>
      </c>
      <c r="G93" s="78" t="e">
        <f t="shared" si="40"/>
        <v>#DIV/0!</v>
      </c>
      <c r="H93" s="28">
        <f t="shared" si="41"/>
        <v>0</v>
      </c>
      <c r="I93" s="28" t="e">
        <f t="shared" si="42"/>
        <v>#DIV/0!</v>
      </c>
    </row>
    <row r="94" spans="1:9" x14ac:dyDescent="0.3">
      <c r="D94" s="28" t="e">
        <f t="shared" si="37"/>
        <v>#DIV/0!</v>
      </c>
      <c r="E94" s="11">
        <f t="shared" si="38"/>
        <v>0</v>
      </c>
      <c r="F94" s="11">
        <f t="shared" si="39"/>
        <v>0</v>
      </c>
      <c r="G94" s="78" t="e">
        <f t="shared" si="40"/>
        <v>#DIV/0!</v>
      </c>
      <c r="H94" s="28">
        <f t="shared" si="41"/>
        <v>0</v>
      </c>
      <c r="I94" s="28" t="e">
        <f t="shared" si="42"/>
        <v>#DIV/0!</v>
      </c>
    </row>
    <row r="95" spans="1:9" x14ac:dyDescent="0.3">
      <c r="D95" s="28" t="e">
        <f t="shared" si="37"/>
        <v>#DIV/0!</v>
      </c>
      <c r="E95" s="11">
        <f t="shared" si="38"/>
        <v>0</v>
      </c>
      <c r="F95" s="11">
        <f t="shared" si="39"/>
        <v>0</v>
      </c>
      <c r="G95" s="78" t="e">
        <f t="shared" si="40"/>
        <v>#DIV/0!</v>
      </c>
      <c r="H95" s="28">
        <f t="shared" si="41"/>
        <v>0</v>
      </c>
      <c r="I95" s="28" t="e">
        <f t="shared" si="42"/>
        <v>#DIV/0!</v>
      </c>
    </row>
    <row r="96" spans="1:9" x14ac:dyDescent="0.3">
      <c r="D96" s="28" t="e">
        <f t="shared" si="37"/>
        <v>#DIV/0!</v>
      </c>
      <c r="E96" s="11">
        <f t="shared" si="38"/>
        <v>0</v>
      </c>
      <c r="F96" s="11">
        <f t="shared" si="39"/>
        <v>0</v>
      </c>
      <c r="G96" s="78" t="e">
        <f t="shared" si="40"/>
        <v>#DIV/0!</v>
      </c>
      <c r="H96" s="28">
        <f t="shared" si="41"/>
        <v>0</v>
      </c>
      <c r="I96" s="28" t="e">
        <f t="shared" si="42"/>
        <v>#DIV/0!</v>
      </c>
    </row>
    <row r="97" spans="4:9" x14ac:dyDescent="0.3">
      <c r="D97" s="28" t="e">
        <f t="shared" si="37"/>
        <v>#DIV/0!</v>
      </c>
      <c r="E97" s="11">
        <f t="shared" si="38"/>
        <v>0</v>
      </c>
      <c r="F97" s="11">
        <f t="shared" si="39"/>
        <v>0</v>
      </c>
      <c r="G97" s="78" t="e">
        <f t="shared" si="40"/>
        <v>#DIV/0!</v>
      </c>
      <c r="H97" s="28">
        <f t="shared" si="41"/>
        <v>0</v>
      </c>
      <c r="I97" s="28" t="e">
        <f t="shared" si="42"/>
        <v>#DIV/0!</v>
      </c>
    </row>
    <row r="98" spans="4:9" x14ac:dyDescent="0.3">
      <c r="D98" s="28" t="e">
        <f t="shared" si="37"/>
        <v>#DIV/0!</v>
      </c>
      <c r="E98" s="11">
        <f t="shared" si="38"/>
        <v>0</v>
      </c>
      <c r="F98" s="11">
        <f t="shared" si="39"/>
        <v>0</v>
      </c>
      <c r="G98" s="78" t="e">
        <f t="shared" si="40"/>
        <v>#DIV/0!</v>
      </c>
      <c r="H98" s="28">
        <f t="shared" si="41"/>
        <v>0</v>
      </c>
      <c r="I98" s="28" t="e">
        <f t="shared" si="42"/>
        <v>#DIV/0!</v>
      </c>
    </row>
    <row r="99" spans="4:9" x14ac:dyDescent="0.3">
      <c r="D99" s="28" t="e">
        <f t="shared" si="37"/>
        <v>#DIV/0!</v>
      </c>
      <c r="E99" s="11">
        <f t="shared" si="38"/>
        <v>0</v>
      </c>
      <c r="F99" s="11">
        <f t="shared" si="39"/>
        <v>0</v>
      </c>
      <c r="G99" s="78" t="e">
        <f t="shared" si="40"/>
        <v>#DIV/0!</v>
      </c>
      <c r="H99" s="28">
        <f t="shared" si="41"/>
        <v>0</v>
      </c>
      <c r="I99" s="28" t="e">
        <f t="shared" si="42"/>
        <v>#DIV/0!</v>
      </c>
    </row>
    <row r="100" spans="4:9" x14ac:dyDescent="0.3">
      <c r="D100" s="28" t="e">
        <f t="shared" si="37"/>
        <v>#DIV/0!</v>
      </c>
      <c r="E100" s="11">
        <f t="shared" si="38"/>
        <v>0</v>
      </c>
      <c r="F100" s="11">
        <f t="shared" si="39"/>
        <v>0</v>
      </c>
      <c r="G100" s="78" t="e">
        <f t="shared" si="40"/>
        <v>#DIV/0!</v>
      </c>
      <c r="H100" s="28">
        <f t="shared" si="41"/>
        <v>0</v>
      </c>
      <c r="I100" s="28" t="e">
        <f t="shared" si="42"/>
        <v>#DIV/0!</v>
      </c>
    </row>
    <row r="101" spans="4:9" x14ac:dyDescent="0.3">
      <c r="D101" s="28" t="e">
        <f t="shared" si="37"/>
        <v>#DIV/0!</v>
      </c>
      <c r="E101" s="11">
        <f t="shared" si="38"/>
        <v>0</v>
      </c>
      <c r="F101" s="11">
        <f t="shared" si="39"/>
        <v>0</v>
      </c>
      <c r="G101" s="78" t="e">
        <f t="shared" si="40"/>
        <v>#DIV/0!</v>
      </c>
      <c r="H101" s="28">
        <f t="shared" si="41"/>
        <v>0</v>
      </c>
      <c r="I101" s="28" t="e">
        <f t="shared" si="42"/>
        <v>#DIV/0!</v>
      </c>
    </row>
    <row r="102" spans="4:9" x14ac:dyDescent="0.3">
      <c r="D102" s="28" t="e">
        <f t="shared" si="37"/>
        <v>#DIV/0!</v>
      </c>
      <c r="E102" s="11">
        <f t="shared" si="38"/>
        <v>0</v>
      </c>
      <c r="F102" s="11">
        <f t="shared" si="39"/>
        <v>0</v>
      </c>
      <c r="G102" s="78" t="e">
        <f t="shared" si="40"/>
        <v>#DIV/0!</v>
      </c>
      <c r="H102" s="28">
        <f t="shared" si="41"/>
        <v>0</v>
      </c>
      <c r="I102" s="28" t="e">
        <f t="shared" si="42"/>
        <v>#DIV/0!</v>
      </c>
    </row>
    <row r="103" spans="4:9" x14ac:dyDescent="0.3">
      <c r="D103" s="28" t="e">
        <f t="shared" si="37"/>
        <v>#DIV/0!</v>
      </c>
      <c r="E103" s="11">
        <f t="shared" si="38"/>
        <v>0</v>
      </c>
      <c r="F103" s="11">
        <f t="shared" si="39"/>
        <v>0</v>
      </c>
      <c r="G103" s="78" t="e">
        <f t="shared" si="40"/>
        <v>#DIV/0!</v>
      </c>
      <c r="H103" s="28">
        <f t="shared" si="41"/>
        <v>0</v>
      </c>
      <c r="I103" s="28" t="e">
        <f t="shared" si="42"/>
        <v>#DIV/0!</v>
      </c>
    </row>
    <row r="104" spans="4:9" x14ac:dyDescent="0.3">
      <c r="D104" s="28" t="e">
        <f t="shared" si="37"/>
        <v>#DIV/0!</v>
      </c>
      <c r="E104" s="11">
        <f t="shared" si="38"/>
        <v>0</v>
      </c>
      <c r="F104" s="11">
        <f t="shared" si="39"/>
        <v>0</v>
      </c>
      <c r="G104" s="78" t="e">
        <f t="shared" si="40"/>
        <v>#DIV/0!</v>
      </c>
      <c r="H104" s="28">
        <f t="shared" si="41"/>
        <v>0</v>
      </c>
      <c r="I104" s="28" t="e">
        <f t="shared" si="42"/>
        <v>#DIV/0!</v>
      </c>
    </row>
    <row r="105" spans="4:9" x14ac:dyDescent="0.3">
      <c r="D105" s="28" t="e">
        <f t="shared" si="37"/>
        <v>#DIV/0!</v>
      </c>
      <c r="E105" s="11">
        <f t="shared" si="38"/>
        <v>0</v>
      </c>
      <c r="F105" s="11">
        <f t="shared" si="39"/>
        <v>0</v>
      </c>
      <c r="G105" s="78" t="e">
        <f t="shared" si="40"/>
        <v>#DIV/0!</v>
      </c>
      <c r="H105" s="28">
        <f t="shared" si="41"/>
        <v>0</v>
      </c>
      <c r="I105" s="28" t="e">
        <f t="shared" si="42"/>
        <v>#DIV/0!</v>
      </c>
    </row>
    <row r="106" spans="4:9" x14ac:dyDescent="0.3">
      <c r="D106" s="28" t="e">
        <f t="shared" si="37"/>
        <v>#DIV/0!</v>
      </c>
      <c r="E106" s="11">
        <f t="shared" si="38"/>
        <v>0</v>
      </c>
      <c r="F106" s="11">
        <f t="shared" si="39"/>
        <v>0</v>
      </c>
      <c r="G106" s="78" t="e">
        <f t="shared" si="40"/>
        <v>#DIV/0!</v>
      </c>
      <c r="H106" s="28">
        <f t="shared" si="41"/>
        <v>0</v>
      </c>
      <c r="I106" s="28" t="e">
        <f t="shared" si="42"/>
        <v>#DIV/0!</v>
      </c>
    </row>
    <row r="107" spans="4:9" x14ac:dyDescent="0.3">
      <c r="D107" s="28" t="e">
        <f t="shared" si="37"/>
        <v>#DIV/0!</v>
      </c>
      <c r="E107" s="11">
        <f t="shared" si="38"/>
        <v>0</v>
      </c>
      <c r="F107" s="11">
        <f t="shared" si="39"/>
        <v>0</v>
      </c>
      <c r="G107" s="78" t="e">
        <f t="shared" si="40"/>
        <v>#DIV/0!</v>
      </c>
      <c r="H107" s="28">
        <f t="shared" si="41"/>
        <v>0</v>
      </c>
      <c r="I107" s="28" t="e">
        <f t="shared" si="42"/>
        <v>#DIV/0!</v>
      </c>
    </row>
    <row r="108" spans="4:9" x14ac:dyDescent="0.3">
      <c r="D108" s="28" t="e">
        <f t="shared" si="37"/>
        <v>#DIV/0!</v>
      </c>
      <c r="E108" s="11">
        <f t="shared" si="38"/>
        <v>0</v>
      </c>
      <c r="F108" s="11">
        <f t="shared" si="39"/>
        <v>0</v>
      </c>
      <c r="G108" s="78" t="e">
        <f t="shared" si="40"/>
        <v>#DIV/0!</v>
      </c>
      <c r="H108" s="28">
        <f t="shared" si="41"/>
        <v>0</v>
      </c>
      <c r="I108" s="28" t="e">
        <f t="shared" si="42"/>
        <v>#DIV/0!</v>
      </c>
    </row>
    <row r="109" spans="4:9" x14ac:dyDescent="0.3">
      <c r="D109" s="28" t="e">
        <f t="shared" si="37"/>
        <v>#DIV/0!</v>
      </c>
      <c r="E109" s="11">
        <f t="shared" si="38"/>
        <v>0</v>
      </c>
      <c r="F109" s="11">
        <f t="shared" si="39"/>
        <v>0</v>
      </c>
      <c r="G109" s="78" t="e">
        <f t="shared" si="40"/>
        <v>#DIV/0!</v>
      </c>
      <c r="H109" s="28">
        <f t="shared" si="41"/>
        <v>0</v>
      </c>
      <c r="I109" s="28" t="e">
        <f t="shared" si="42"/>
        <v>#DIV/0!</v>
      </c>
    </row>
    <row r="110" spans="4:9" x14ac:dyDescent="0.3">
      <c r="D110" s="28" t="e">
        <f t="shared" si="37"/>
        <v>#DIV/0!</v>
      </c>
      <c r="E110" s="11">
        <f t="shared" si="38"/>
        <v>0</v>
      </c>
      <c r="F110" s="11">
        <f t="shared" si="39"/>
        <v>0</v>
      </c>
      <c r="G110" s="78" t="e">
        <f t="shared" si="40"/>
        <v>#DIV/0!</v>
      </c>
      <c r="H110" s="28">
        <f t="shared" si="41"/>
        <v>0</v>
      </c>
      <c r="I110" s="28" t="e">
        <f t="shared" si="42"/>
        <v>#DIV/0!</v>
      </c>
    </row>
    <row r="111" spans="4:9" x14ac:dyDescent="0.3">
      <c r="D111" s="28" t="e">
        <f t="shared" si="37"/>
        <v>#DIV/0!</v>
      </c>
      <c r="E111" s="11">
        <f t="shared" si="38"/>
        <v>0</v>
      </c>
      <c r="F111" s="11">
        <f t="shared" si="39"/>
        <v>0</v>
      </c>
      <c r="G111" s="78" t="e">
        <f t="shared" si="40"/>
        <v>#DIV/0!</v>
      </c>
      <c r="H111" s="28">
        <f t="shared" si="41"/>
        <v>0</v>
      </c>
      <c r="I111" s="28" t="e">
        <f t="shared" si="42"/>
        <v>#DIV/0!</v>
      </c>
    </row>
    <row r="112" spans="4:9" x14ac:dyDescent="0.3">
      <c r="D112" s="28" t="e">
        <f t="shared" si="37"/>
        <v>#DIV/0!</v>
      </c>
      <c r="E112" s="11">
        <f t="shared" si="38"/>
        <v>0</v>
      </c>
      <c r="F112" s="11">
        <f t="shared" si="39"/>
        <v>0</v>
      </c>
      <c r="G112" s="78" t="e">
        <f t="shared" si="40"/>
        <v>#DIV/0!</v>
      </c>
      <c r="H112" s="28">
        <f t="shared" si="41"/>
        <v>0</v>
      </c>
      <c r="I112" s="28" t="e">
        <f t="shared" si="42"/>
        <v>#DIV/0!</v>
      </c>
    </row>
    <row r="113" spans="4:9" x14ac:dyDescent="0.3">
      <c r="D113" s="28" t="e">
        <f t="shared" si="37"/>
        <v>#DIV/0!</v>
      </c>
      <c r="E113" s="11">
        <f t="shared" si="38"/>
        <v>0</v>
      </c>
      <c r="F113" s="11">
        <f t="shared" si="39"/>
        <v>0</v>
      </c>
      <c r="G113" s="78" t="e">
        <f t="shared" si="40"/>
        <v>#DIV/0!</v>
      </c>
      <c r="H113" s="28">
        <f t="shared" si="41"/>
        <v>0</v>
      </c>
      <c r="I113" s="28" t="e">
        <f t="shared" si="42"/>
        <v>#DIV/0!</v>
      </c>
    </row>
    <row r="114" spans="4:9" x14ac:dyDescent="0.3">
      <c r="D114" s="28" t="e">
        <f t="shared" si="37"/>
        <v>#DIV/0!</v>
      </c>
      <c r="E114" s="11">
        <f t="shared" si="38"/>
        <v>0</v>
      </c>
      <c r="F114" s="11">
        <f t="shared" si="39"/>
        <v>0</v>
      </c>
      <c r="G114" s="78" t="e">
        <f t="shared" si="40"/>
        <v>#DIV/0!</v>
      </c>
      <c r="H114" s="28">
        <f t="shared" si="41"/>
        <v>0</v>
      </c>
      <c r="I114" s="28" t="e">
        <f t="shared" si="42"/>
        <v>#DIV/0!</v>
      </c>
    </row>
    <row r="115" spans="4:9" x14ac:dyDescent="0.3">
      <c r="D115" s="28" t="e">
        <f t="shared" si="37"/>
        <v>#DIV/0!</v>
      </c>
      <c r="E115" s="11">
        <f t="shared" si="38"/>
        <v>0</v>
      </c>
      <c r="F115" s="11">
        <f t="shared" si="39"/>
        <v>0</v>
      </c>
      <c r="G115" s="78" t="e">
        <f t="shared" si="40"/>
        <v>#DIV/0!</v>
      </c>
      <c r="H115" s="28">
        <f t="shared" si="41"/>
        <v>0</v>
      </c>
      <c r="I115" s="28" t="e">
        <f t="shared" si="42"/>
        <v>#DIV/0!</v>
      </c>
    </row>
    <row r="116" spans="4:9" x14ac:dyDescent="0.3">
      <c r="D116" s="28" t="e">
        <f t="shared" si="37"/>
        <v>#DIV/0!</v>
      </c>
      <c r="E116" s="11">
        <f t="shared" si="38"/>
        <v>0</v>
      </c>
      <c r="F116" s="11">
        <f t="shared" si="39"/>
        <v>0</v>
      </c>
      <c r="G116" s="78" t="e">
        <f t="shared" si="40"/>
        <v>#DIV/0!</v>
      </c>
      <c r="H116" s="28">
        <f t="shared" si="41"/>
        <v>0</v>
      </c>
      <c r="I116" s="28" t="e">
        <f t="shared" si="42"/>
        <v>#DIV/0!</v>
      </c>
    </row>
    <row r="117" spans="4:9" x14ac:dyDescent="0.3">
      <c r="D117" s="28" t="e">
        <f t="shared" si="37"/>
        <v>#DIV/0!</v>
      </c>
      <c r="E117" s="11">
        <f t="shared" si="38"/>
        <v>0</v>
      </c>
      <c r="F117" s="11">
        <f t="shared" si="39"/>
        <v>0</v>
      </c>
      <c r="G117" s="78" t="e">
        <f t="shared" si="40"/>
        <v>#DIV/0!</v>
      </c>
      <c r="H117" s="28">
        <f t="shared" si="41"/>
        <v>0</v>
      </c>
      <c r="I117" s="28" t="e">
        <f t="shared" si="42"/>
        <v>#DIV/0!</v>
      </c>
    </row>
    <row r="118" spans="4:9" x14ac:dyDescent="0.3">
      <c r="D118" s="28" t="e">
        <f t="shared" si="37"/>
        <v>#DIV/0!</v>
      </c>
      <c r="E118" s="11">
        <f t="shared" si="38"/>
        <v>0</v>
      </c>
      <c r="F118" s="11">
        <f t="shared" si="39"/>
        <v>0</v>
      </c>
      <c r="G118" s="78" t="e">
        <f t="shared" si="40"/>
        <v>#DIV/0!</v>
      </c>
      <c r="H118" s="28">
        <f t="shared" si="41"/>
        <v>0</v>
      </c>
      <c r="I118" s="28" t="e">
        <f t="shared" si="42"/>
        <v>#DIV/0!</v>
      </c>
    </row>
    <row r="119" spans="4:9" x14ac:dyDescent="0.3">
      <c r="D119" s="28" t="e">
        <f t="shared" si="37"/>
        <v>#DIV/0!</v>
      </c>
      <c r="E119" s="11">
        <f t="shared" si="38"/>
        <v>0</v>
      </c>
      <c r="F119" s="11">
        <f t="shared" si="39"/>
        <v>0</v>
      </c>
      <c r="G119" s="78" t="e">
        <f t="shared" si="40"/>
        <v>#DIV/0!</v>
      </c>
      <c r="H119" s="28">
        <f t="shared" si="41"/>
        <v>0</v>
      </c>
      <c r="I119" s="28" t="e">
        <f t="shared" si="42"/>
        <v>#DIV/0!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D408-891B-4465-8F80-7726ACC6CDF3}">
  <dimension ref="B2:J43"/>
  <sheetViews>
    <sheetView topLeftCell="A19" workbookViewId="0">
      <selection activeCell="H3" sqref="H3:H42"/>
    </sheetView>
  </sheetViews>
  <sheetFormatPr defaultRowHeight="14.4" x14ac:dyDescent="0.3"/>
  <cols>
    <col min="2" max="2" width="10.33203125" bestFit="1" customWidth="1"/>
    <col min="4" max="4" width="9.33203125" customWidth="1"/>
    <col min="8" max="8" width="10.33203125" bestFit="1" customWidth="1"/>
    <col min="10" max="10" width="9.33203125" customWidth="1"/>
  </cols>
  <sheetData>
    <row r="2" spans="2:10" x14ac:dyDescent="0.3">
      <c r="B2" t="s">
        <v>75</v>
      </c>
      <c r="C2" t="s">
        <v>45</v>
      </c>
      <c r="D2" t="s">
        <v>46</v>
      </c>
      <c r="E2" t="s">
        <v>66</v>
      </c>
      <c r="H2" t="s">
        <v>75</v>
      </c>
      <c r="I2" t="s">
        <v>45</v>
      </c>
      <c r="J2" t="s">
        <v>46</v>
      </c>
    </row>
    <row r="3" spans="2:10" x14ac:dyDescent="0.3">
      <c r="B3" s="1">
        <v>46037</v>
      </c>
      <c r="C3" t="s">
        <v>113</v>
      </c>
      <c r="D3">
        <f>SUMIFS(Table14[Debit], Table14[Date], Table5[[#This Row],[Date]], Table14[Party], "Rashan")</f>
        <v>0</v>
      </c>
      <c r="H3" s="1">
        <v>46037</v>
      </c>
      <c r="J3">
        <f>SUMIFS(Table14[Debit], Table14[Date], Table15[[#This Row],[Date]], Table14[Party], "Parts")</f>
        <v>0</v>
      </c>
    </row>
    <row r="4" spans="2:10" x14ac:dyDescent="0.3">
      <c r="B4" s="1">
        <v>46038</v>
      </c>
      <c r="C4" t="s">
        <v>113</v>
      </c>
      <c r="D4">
        <f>SUMIFS(Table14[Debit], Table14[Date], Table5[[#This Row],[Date]], Table14[Party], "Rashan")</f>
        <v>0</v>
      </c>
      <c r="H4" s="1">
        <v>46038</v>
      </c>
      <c r="I4" t="s">
        <v>55</v>
      </c>
      <c r="J4">
        <f>SUMIFS(Table14[Debit], Table14[Date], Table15[[#This Row],[Date]], Table14[Party], "Parts")</f>
        <v>0</v>
      </c>
    </row>
    <row r="5" spans="2:10" x14ac:dyDescent="0.3">
      <c r="B5" s="1">
        <v>46039</v>
      </c>
      <c r="C5" t="s">
        <v>113</v>
      </c>
      <c r="D5">
        <f>SUMIFS(Table14[Debit], Table14[Date], Table5[[#This Row],[Date]], Table14[Party], "Rashan")</f>
        <v>0</v>
      </c>
      <c r="H5" s="1">
        <v>46039</v>
      </c>
      <c r="I5" t="s">
        <v>55</v>
      </c>
      <c r="J5">
        <f>SUMIFS(Table14[Debit], Table14[Date], Table15[[#This Row],[Date]], Table14[Party], "Parts")</f>
        <v>0</v>
      </c>
    </row>
    <row r="6" spans="2:10" x14ac:dyDescent="0.3">
      <c r="B6" s="1">
        <v>46040</v>
      </c>
      <c r="C6" t="s">
        <v>113</v>
      </c>
      <c r="D6">
        <f>SUMIFS(Table14[Debit], Table14[Date], Table5[[#This Row],[Date]], Table14[Party], "Rashan")</f>
        <v>0</v>
      </c>
      <c r="H6" s="1">
        <v>46040</v>
      </c>
      <c r="I6" t="s">
        <v>55</v>
      </c>
      <c r="J6">
        <f>SUMIFS(Table14[Debit], Table14[Date], Table15[[#This Row],[Date]], Table14[Party], "Parts")</f>
        <v>0</v>
      </c>
    </row>
    <row r="7" spans="2:10" x14ac:dyDescent="0.3">
      <c r="B7" s="1">
        <v>46041</v>
      </c>
      <c r="C7" t="s">
        <v>113</v>
      </c>
      <c r="D7">
        <f>SUMIFS(Table14[Debit], Table14[Date], Table5[[#This Row],[Date]], Table14[Party], "Rashan")</f>
        <v>0</v>
      </c>
      <c r="H7" s="1">
        <v>46041</v>
      </c>
      <c r="I7" t="s">
        <v>55</v>
      </c>
      <c r="J7">
        <f>SUMIFS(Table14[Debit], Table14[Date], Table15[[#This Row],[Date]], Table14[Party], "Parts")</f>
        <v>0</v>
      </c>
    </row>
    <row r="8" spans="2:10" x14ac:dyDescent="0.3">
      <c r="B8" s="1">
        <v>46042</v>
      </c>
      <c r="C8" t="s">
        <v>113</v>
      </c>
      <c r="D8">
        <f>SUMIFS(Table14[Debit], Table14[Date], Table5[[#This Row],[Date]], Table14[Party], "Rashan")</f>
        <v>0</v>
      </c>
      <c r="H8" s="1">
        <v>46042</v>
      </c>
      <c r="J8">
        <f>SUMIFS(Table14[Debit], Table14[Date], Table15[[#This Row],[Date]], Table14[Party], "Parts")</f>
        <v>0</v>
      </c>
    </row>
    <row r="9" spans="2:10" x14ac:dyDescent="0.3">
      <c r="B9" s="1">
        <v>46043</v>
      </c>
      <c r="C9" t="s">
        <v>113</v>
      </c>
      <c r="D9">
        <f>SUMIFS(Table14[Debit], Table14[Date], Table5[[#This Row],[Date]], Table14[Party], "Rashan")</f>
        <v>20000</v>
      </c>
      <c r="H9" s="1">
        <v>46043</v>
      </c>
      <c r="J9">
        <f>SUMIFS(Table14[Debit], Table14[Date], Table15[[#This Row],[Date]], Table14[Party], "Parts")</f>
        <v>45193</v>
      </c>
    </row>
    <row r="10" spans="2:10" x14ac:dyDescent="0.3">
      <c r="B10" s="1">
        <v>46044</v>
      </c>
      <c r="C10" t="s">
        <v>113</v>
      </c>
      <c r="D10">
        <f>SUMIFS(Table14[Debit], Table14[Date], Table5[[#This Row],[Date]], Table14[Party], "Rashan")</f>
        <v>25950</v>
      </c>
      <c r="H10" s="1">
        <v>46044</v>
      </c>
      <c r="J10">
        <f>SUMIFS(Table14[Debit], Table14[Date], Table15[[#This Row],[Date]], Table14[Party], "Parts")</f>
        <v>0</v>
      </c>
    </row>
    <row r="11" spans="2:10" x14ac:dyDescent="0.3">
      <c r="B11" s="1">
        <v>46045</v>
      </c>
      <c r="C11" t="s">
        <v>113</v>
      </c>
      <c r="D11">
        <f>SUMIFS(Table14[Debit], Table14[Date], Table5[[#This Row],[Date]], Table14[Party], "Rashan")</f>
        <v>0</v>
      </c>
      <c r="H11" s="1">
        <v>46045</v>
      </c>
      <c r="J11">
        <f>SUMIFS(Table14[Debit], Table14[Date], Table15[[#This Row],[Date]], Table14[Party], "Parts")</f>
        <v>0</v>
      </c>
    </row>
    <row r="12" spans="2:10" x14ac:dyDescent="0.3">
      <c r="B12" s="1">
        <v>46046</v>
      </c>
      <c r="C12" t="s">
        <v>113</v>
      </c>
      <c r="D12">
        <f>SUMIFS(Table14[Debit], Table14[Date], Table5[[#This Row],[Date]], Table14[Party], "Rashan")</f>
        <v>0</v>
      </c>
      <c r="H12" s="1">
        <v>46046</v>
      </c>
      <c r="J12">
        <f>SUMIFS(Table14[Debit], Table14[Date], Table15[[#This Row],[Date]], Table14[Party], "Parts")</f>
        <v>4220</v>
      </c>
    </row>
    <row r="13" spans="2:10" x14ac:dyDescent="0.3">
      <c r="B13" s="1">
        <v>46047</v>
      </c>
      <c r="C13" t="s">
        <v>113</v>
      </c>
      <c r="D13">
        <f>SUMIFS(Table14[Debit], Table14[Date], Table5[[#This Row],[Date]], Table14[Party], "Rashan")</f>
        <v>0</v>
      </c>
      <c r="H13" s="1">
        <v>46047</v>
      </c>
      <c r="J13">
        <f>SUMIFS(Table14[Debit], Table14[Date], Table15[[#This Row],[Date]], Table14[Party], "Parts")</f>
        <v>0</v>
      </c>
    </row>
    <row r="14" spans="2:10" x14ac:dyDescent="0.3">
      <c r="B14" s="1">
        <v>46048</v>
      </c>
      <c r="C14" t="s">
        <v>113</v>
      </c>
      <c r="D14">
        <f>SUMIFS(Table14[Debit], Table14[Date], Table5[[#This Row],[Date]], Table14[Party], "Rashan")</f>
        <v>0</v>
      </c>
      <c r="H14" s="1">
        <v>46048</v>
      </c>
      <c r="J14">
        <f>SUMIFS(Table14[Debit], Table14[Date], Table15[[#This Row],[Date]], Table14[Party], "Parts")</f>
        <v>9310</v>
      </c>
    </row>
    <row r="15" spans="2:10" x14ac:dyDescent="0.3">
      <c r="B15" s="1">
        <v>46049</v>
      </c>
      <c r="C15" t="s">
        <v>113</v>
      </c>
      <c r="D15">
        <f>SUMIFS(Table14[Debit], Table14[Date], Table5[[#This Row],[Date]], Table14[Party], "Rashan")</f>
        <v>0</v>
      </c>
      <c r="H15" s="1">
        <v>46049</v>
      </c>
      <c r="J15">
        <f>SUMIFS(Table14[Debit], Table14[Date], Table15[[#This Row],[Date]], Table14[Party], "Parts")</f>
        <v>3500</v>
      </c>
    </row>
    <row r="16" spans="2:10" x14ac:dyDescent="0.3">
      <c r="B16" s="1">
        <v>46050</v>
      </c>
      <c r="C16" t="s">
        <v>113</v>
      </c>
      <c r="D16">
        <f>SUMIFS(Table14[Debit], Table14[Date], Table5[[#This Row],[Date]], Table14[Party], "Rashan")</f>
        <v>0</v>
      </c>
      <c r="H16" s="1">
        <v>46050</v>
      </c>
      <c r="J16">
        <f>SUMIFS(Table14[Debit], Table14[Date], Table15[[#This Row],[Date]], Table14[Party], "Parts")</f>
        <v>1610</v>
      </c>
    </row>
    <row r="17" spans="2:10" x14ac:dyDescent="0.3">
      <c r="B17" s="1">
        <v>46051</v>
      </c>
      <c r="C17" t="s">
        <v>113</v>
      </c>
      <c r="D17">
        <f>SUMIFS(Table14[Debit], Table14[Date], Table5[[#This Row],[Date]], Table14[Party], "Rashan")</f>
        <v>9000</v>
      </c>
      <c r="H17" s="1">
        <v>46051</v>
      </c>
      <c r="J17">
        <f>SUMIFS(Table14[Debit], Table14[Date], Table15[[#This Row],[Date]], Table14[Party], "Parts")</f>
        <v>0</v>
      </c>
    </row>
    <row r="18" spans="2:10" x14ac:dyDescent="0.3">
      <c r="B18" s="1">
        <v>46052</v>
      </c>
      <c r="C18" t="s">
        <v>113</v>
      </c>
      <c r="D18">
        <f>SUMIFS(Table14[Debit], Table14[Date], Table5[[#This Row],[Date]], Table14[Party], "Rashan")</f>
        <v>4050</v>
      </c>
      <c r="H18" s="1">
        <v>46052</v>
      </c>
      <c r="J18">
        <f>SUMIFS(Table14[Debit], Table14[Date], Table15[[#This Row],[Date]], Table14[Party], "Parts")</f>
        <v>11100</v>
      </c>
    </row>
    <row r="19" spans="2:10" x14ac:dyDescent="0.3">
      <c r="B19" s="1">
        <v>46053</v>
      </c>
      <c r="C19" t="s">
        <v>113</v>
      </c>
      <c r="D19">
        <f>SUMIFS(Table14[Debit], Table14[Date], Table5[[#This Row],[Date]], Table14[Party], "Rashan")</f>
        <v>0</v>
      </c>
      <c r="H19" s="1">
        <v>46053</v>
      </c>
      <c r="J19">
        <f>SUMIFS(Table14[Debit], Table14[Date], Table15[[#This Row],[Date]], Table14[Party], "Parts")</f>
        <v>36230</v>
      </c>
    </row>
    <row r="20" spans="2:10" x14ac:dyDescent="0.3">
      <c r="B20" s="1">
        <v>46054</v>
      </c>
      <c r="C20" t="s">
        <v>113</v>
      </c>
      <c r="D20">
        <f>SUMIFS(Table14[Debit], Table14[Date], Table5[[#This Row],[Date]], Table14[Party], "Rashan")</f>
        <v>0</v>
      </c>
      <c r="H20" s="1">
        <v>46054</v>
      </c>
      <c r="J20">
        <f>SUMIFS(Table14[Debit], Table14[Date], Table15[[#This Row],[Date]], Table14[Party], "Parts")</f>
        <v>2900</v>
      </c>
    </row>
    <row r="21" spans="2:10" x14ac:dyDescent="0.3">
      <c r="B21" s="1">
        <v>46055</v>
      </c>
      <c r="C21" t="s">
        <v>113</v>
      </c>
      <c r="D21">
        <f>SUMIFS(Table14[Debit], Table14[Date], Table5[[#This Row],[Date]], Table14[Party], "Rashan")</f>
        <v>22640</v>
      </c>
      <c r="H21" s="1">
        <v>46055</v>
      </c>
      <c r="J21">
        <f>SUMIFS(Table14[Debit], Table14[Date], Table15[[#This Row],[Date]], Table14[Party], "Parts")</f>
        <v>0</v>
      </c>
    </row>
    <row r="22" spans="2:10" x14ac:dyDescent="0.3">
      <c r="B22" s="1">
        <v>46056</v>
      </c>
      <c r="C22" t="s">
        <v>113</v>
      </c>
      <c r="D22">
        <f>SUMIFS(Table14[Debit], Table14[Date], Table5[[#This Row],[Date]], Table14[Party], "Rashan")</f>
        <v>0</v>
      </c>
      <c r="H22" s="1">
        <v>46056</v>
      </c>
      <c r="J22">
        <f>SUMIFS(Table14[Debit], Table14[Date], Table15[[#This Row],[Date]], Table14[Party], "Parts")</f>
        <v>28000</v>
      </c>
    </row>
    <row r="23" spans="2:10" x14ac:dyDescent="0.3">
      <c r="B23" s="1">
        <v>46057</v>
      </c>
      <c r="C23" t="s">
        <v>113</v>
      </c>
      <c r="D23">
        <f>SUMIFS(Table14[Debit], Table14[Date], Table5[[#This Row],[Date]], Table14[Party], "Rashan")</f>
        <v>0</v>
      </c>
      <c r="H23" s="1">
        <v>46057</v>
      </c>
      <c r="J23">
        <f>SUMIFS(Table14[Debit], Table14[Date], Table15[[#This Row],[Date]], Table14[Party], "Parts")</f>
        <v>1000</v>
      </c>
    </row>
    <row r="24" spans="2:10" x14ac:dyDescent="0.3">
      <c r="B24" s="1">
        <v>46058</v>
      </c>
      <c r="C24" t="s">
        <v>113</v>
      </c>
      <c r="D24">
        <f>SUMIFS(Table14[Debit], Table14[Date], Table5[[#This Row],[Date]], Table14[Party], "Rashan")</f>
        <v>0</v>
      </c>
      <c r="H24" s="1">
        <v>46058</v>
      </c>
      <c r="J24">
        <f>SUMIFS(Table14[Debit], Table14[Date], Table15[[#This Row],[Date]], Table14[Party], "Parts")</f>
        <v>9375</v>
      </c>
    </row>
    <row r="25" spans="2:10" x14ac:dyDescent="0.3">
      <c r="B25" s="1">
        <v>46059</v>
      </c>
      <c r="C25" t="s">
        <v>113</v>
      </c>
      <c r="D25">
        <f>SUMIFS(Table14[Debit], Table14[Date], Table5[[#This Row],[Date]], Table14[Party], "Rashan")</f>
        <v>0</v>
      </c>
      <c r="H25" s="1">
        <v>46059</v>
      </c>
      <c r="J25">
        <f>SUMIFS(Table14[Debit], Table14[Date], Table15[[#This Row],[Date]], Table14[Party], "Parts")</f>
        <v>1500</v>
      </c>
    </row>
    <row r="26" spans="2:10" x14ac:dyDescent="0.3">
      <c r="B26" s="1">
        <v>46060</v>
      </c>
      <c r="C26" t="s">
        <v>113</v>
      </c>
      <c r="D26">
        <f>SUMIFS(Table14[Debit], Table14[Date], Table5[[#This Row],[Date]], Table14[Party], "Rashan")</f>
        <v>0</v>
      </c>
      <c r="H26" s="1">
        <v>46060</v>
      </c>
      <c r="J26">
        <f>SUMIFS(Table14[Debit], Table14[Date], Table15[[#This Row],[Date]], Table14[Party], "Parts")</f>
        <v>0</v>
      </c>
    </row>
    <row r="27" spans="2:10" x14ac:dyDescent="0.3">
      <c r="B27" s="1">
        <v>46061</v>
      </c>
      <c r="C27" t="s">
        <v>113</v>
      </c>
      <c r="D27">
        <f>SUMIFS(Table14[Debit], Table14[Date], Table5[[#This Row],[Date]], Table14[Party], "Rashan")</f>
        <v>0</v>
      </c>
      <c r="H27" s="1">
        <v>46061</v>
      </c>
      <c r="J27">
        <f>SUMIFS(Table14[Debit], Table14[Date], Table15[[#This Row],[Date]], Table14[Party], "Parts")</f>
        <v>0</v>
      </c>
    </row>
    <row r="28" spans="2:10" x14ac:dyDescent="0.3">
      <c r="B28" s="1">
        <v>46062</v>
      </c>
      <c r="C28" t="s">
        <v>113</v>
      </c>
      <c r="D28">
        <f>SUMIFS(Table14[Debit], Table14[Date], Table5[[#This Row],[Date]], Table14[Party], "Rashan")</f>
        <v>0</v>
      </c>
      <c r="H28" s="1">
        <v>46062</v>
      </c>
      <c r="J28">
        <f>SUMIFS(Table14[Debit], Table14[Date], Table15[[#This Row],[Date]], Table14[Party], "Parts")</f>
        <v>0</v>
      </c>
    </row>
    <row r="29" spans="2:10" x14ac:dyDescent="0.3">
      <c r="B29" s="1">
        <v>46063</v>
      </c>
      <c r="C29" t="s">
        <v>113</v>
      </c>
      <c r="D29">
        <f>SUMIFS(Table14[Debit], Table14[Date], Table5[[#This Row],[Date]], Table14[Party], "Rashan")</f>
        <v>0</v>
      </c>
      <c r="H29" s="1">
        <v>46063</v>
      </c>
      <c r="J29">
        <f>SUMIFS(Table14[Debit], Table14[Date], Table15[[#This Row],[Date]], Table14[Party], "Parts")</f>
        <v>9483</v>
      </c>
    </row>
    <row r="30" spans="2:10" x14ac:dyDescent="0.3">
      <c r="B30" s="1">
        <v>46064</v>
      </c>
      <c r="C30" t="s">
        <v>113</v>
      </c>
      <c r="D30">
        <f>SUMIFS(Table14[Debit], Table14[Date], Table5[[#This Row],[Date]], Table14[Party], "Rashan")</f>
        <v>0</v>
      </c>
      <c r="H30" s="1">
        <v>46064</v>
      </c>
      <c r="J30">
        <f>SUMIFS(Table14[Debit], Table14[Date], Table15[[#This Row],[Date]], Table14[Party], "Parts")</f>
        <v>69700</v>
      </c>
    </row>
    <row r="31" spans="2:10" x14ac:dyDescent="0.3">
      <c r="B31" s="1">
        <v>46065</v>
      </c>
      <c r="C31" t="s">
        <v>113</v>
      </c>
      <c r="D31">
        <f>SUMIFS(Table14[Debit], Table14[Date], Table5[[#This Row],[Date]], Table14[Party], "Rashan")</f>
        <v>0</v>
      </c>
      <c r="H31" s="1">
        <v>46065</v>
      </c>
      <c r="J31">
        <f>SUMIFS(Table14[Debit], Table14[Date], Table15[[#This Row],[Date]], Table14[Party], "Parts")</f>
        <v>2920</v>
      </c>
    </row>
    <row r="32" spans="2:10" x14ac:dyDescent="0.3">
      <c r="B32" s="1">
        <v>46066</v>
      </c>
      <c r="C32" t="s">
        <v>113</v>
      </c>
      <c r="D32">
        <f>SUMIFS(Table14[Debit], Table14[Date], Table5[[#This Row],[Date]], Table14[Party], "Rashan")</f>
        <v>53840</v>
      </c>
      <c r="H32" s="1">
        <v>46066</v>
      </c>
      <c r="J32">
        <f>SUMIFS(Table14[Debit], Table14[Date], Table15[[#This Row],[Date]], Table14[Party], "Parts")</f>
        <v>0</v>
      </c>
    </row>
    <row r="33" spans="2:10" x14ac:dyDescent="0.3">
      <c r="B33" s="1">
        <v>46067</v>
      </c>
      <c r="C33" t="s">
        <v>113</v>
      </c>
      <c r="D33">
        <f>SUMIFS(Table14[Debit], Table14[Date], Table5[[#This Row],[Date]], Table14[Party], "Rashan")</f>
        <v>0</v>
      </c>
      <c r="H33" s="1">
        <v>46067</v>
      </c>
      <c r="J33">
        <f>SUMIFS(Table14[Debit], Table14[Date], Table15[[#This Row],[Date]], Table14[Party], "Parts")</f>
        <v>5100</v>
      </c>
    </row>
    <row r="34" spans="2:10" x14ac:dyDescent="0.3">
      <c r="B34" s="1">
        <v>46068</v>
      </c>
      <c r="C34" t="s">
        <v>113</v>
      </c>
      <c r="D34">
        <f>SUMIFS(Table14[Debit], Table14[Date], Table5[[#This Row],[Date]], Table14[Party], "Rashan")</f>
        <v>7250</v>
      </c>
      <c r="H34" s="1">
        <v>46068</v>
      </c>
      <c r="J34">
        <f>SUMIFS(Table14[Debit], Table14[Date], Table15[[#This Row],[Date]], Table14[Party], "Parts")</f>
        <v>0</v>
      </c>
    </row>
    <row r="35" spans="2:10" x14ac:dyDescent="0.3">
      <c r="B35" s="1">
        <v>46069</v>
      </c>
      <c r="C35" t="s">
        <v>113</v>
      </c>
      <c r="D35">
        <f>SUMIFS(Table14[Debit], Table14[Date], Table5[[#This Row],[Date]], Table14[Party], "Rashan")</f>
        <v>0</v>
      </c>
      <c r="H35" s="1">
        <v>46069</v>
      </c>
      <c r="J35">
        <f>SUMIFS(Table14[Debit], Table14[Date], Table15[[#This Row],[Date]], Table14[Party], "Parts")</f>
        <v>4980</v>
      </c>
    </row>
    <row r="36" spans="2:10" x14ac:dyDescent="0.3">
      <c r="B36" s="1">
        <v>46070</v>
      </c>
      <c r="C36" t="s">
        <v>113</v>
      </c>
      <c r="D36">
        <f>SUMIFS(Table14[Debit], Table14[Date], Table5[[#This Row],[Date]], Table14[Party], "Rashan")</f>
        <v>0</v>
      </c>
      <c r="H36" s="1">
        <v>46070</v>
      </c>
      <c r="J36">
        <f>SUMIFS(Table14[Debit], Table14[Date], Table15[[#This Row],[Date]], Table14[Party], "Parts")</f>
        <v>2870</v>
      </c>
    </row>
    <row r="37" spans="2:10" x14ac:dyDescent="0.3">
      <c r="B37" s="1">
        <v>46071</v>
      </c>
      <c r="C37" t="s">
        <v>113</v>
      </c>
      <c r="D37">
        <f>SUMIFS(Table14[Debit], Table14[Date], Table5[[#This Row],[Date]], Table14[Party], "Rashan")</f>
        <v>0</v>
      </c>
      <c r="H37" s="1">
        <v>46071</v>
      </c>
      <c r="J37">
        <f>SUMIFS(Table14[Debit], Table14[Date], Table15[[#This Row],[Date]], Table14[Party], "Parts")</f>
        <v>25000</v>
      </c>
    </row>
    <row r="38" spans="2:10" x14ac:dyDescent="0.3">
      <c r="B38" s="1">
        <v>46072</v>
      </c>
      <c r="C38" t="s">
        <v>113</v>
      </c>
      <c r="D38">
        <f>SUMIFS(Table14[Debit], Table14[Date], Table5[[#This Row],[Date]], Table14[Party], "Rashan")</f>
        <v>0</v>
      </c>
      <c r="H38" s="1">
        <v>46072</v>
      </c>
      <c r="J38">
        <f>SUMIFS(Table14[Debit], Table14[Date], Table15[[#This Row],[Date]], Table14[Party], "Parts")</f>
        <v>33780</v>
      </c>
    </row>
    <row r="39" spans="2:10" x14ac:dyDescent="0.3">
      <c r="B39" s="1">
        <v>46073</v>
      </c>
      <c r="C39" t="s">
        <v>113</v>
      </c>
      <c r="D39">
        <f>SUMIFS(Table14[Debit], Table14[Date], Table5[[#This Row],[Date]], Table14[Party], "Rashan")</f>
        <v>0</v>
      </c>
      <c r="H39" s="1">
        <v>46073</v>
      </c>
      <c r="J39">
        <f>SUMIFS(Table14[Debit], Table14[Date], Table15[[#This Row],[Date]], Table14[Party], "Parts")</f>
        <v>0</v>
      </c>
    </row>
    <row r="40" spans="2:10" x14ac:dyDescent="0.3">
      <c r="B40" s="1">
        <v>46074</v>
      </c>
      <c r="C40" t="s">
        <v>113</v>
      </c>
      <c r="D40">
        <f>SUMIFS(Table14[Debit], Table14[Date], Table5[[#This Row],[Date]], Table14[Party], "Rashan")</f>
        <v>0</v>
      </c>
      <c r="H40" s="1">
        <v>46074</v>
      </c>
      <c r="J40">
        <f>SUMIFS(Table14[Debit], Table14[Date], Table15[[#This Row],[Date]], Table14[Party], "Parts")</f>
        <v>0</v>
      </c>
    </row>
    <row r="41" spans="2:10" x14ac:dyDescent="0.3">
      <c r="B41" s="1">
        <v>46046</v>
      </c>
      <c r="D41">
        <f>SUMIFS(Table14[Debit], Table14[Date], Table5[[#This Row],[Date]], Table14[Party], "Rashan")</f>
        <v>0</v>
      </c>
      <c r="H41" s="1">
        <v>46075</v>
      </c>
      <c r="J41">
        <f>SUMIFS(Table14[Debit], Table14[Date], Table15[[#This Row],[Date]], Table14[Party], "Parts")</f>
        <v>0</v>
      </c>
    </row>
    <row r="42" spans="2:10" x14ac:dyDescent="0.3">
      <c r="B42" s="1"/>
      <c r="D42">
        <f>SUM(Table5[Amount])</f>
        <v>142730</v>
      </c>
      <c r="H42" s="1">
        <v>46076</v>
      </c>
      <c r="J42">
        <f>SUMIFS(Table14[Debit], Table14[Date], Table15[[#This Row],[Date]], Table14[Party], "Parts")</f>
        <v>0</v>
      </c>
    </row>
    <row r="43" spans="2:10" x14ac:dyDescent="0.3">
      <c r="H43" s="1"/>
      <c r="J43">
        <f>SUM(Table15[Amount])</f>
        <v>307771</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5FCD-38DA-4943-8A91-71F737A33574}">
  <sheetPr>
    <pageSetUpPr fitToPage="1"/>
  </sheetPr>
  <dimension ref="A1:C40"/>
  <sheetViews>
    <sheetView topLeftCell="A9" zoomScale="70" workbookViewId="0">
      <selection activeCell="C29" sqref="C29"/>
    </sheetView>
  </sheetViews>
  <sheetFormatPr defaultRowHeight="14.4" x14ac:dyDescent="0.3"/>
  <cols>
    <col min="1" max="1" width="19.33203125" customWidth="1"/>
    <col min="2" max="2" width="20.33203125" customWidth="1"/>
    <col min="3" max="3" width="18.77734375" customWidth="1"/>
  </cols>
  <sheetData>
    <row r="1" spans="1:3" x14ac:dyDescent="0.3">
      <c r="A1" t="s">
        <v>2</v>
      </c>
      <c r="B1" t="s">
        <v>17</v>
      </c>
      <c r="C1" s="99" t="s">
        <v>18</v>
      </c>
    </row>
    <row r="2" spans="1:3" ht="21" x14ac:dyDescent="0.4">
      <c r="A2" s="101" t="str">
        <f>Billing!Q5</f>
        <v>BSC</v>
      </c>
      <c r="B2" s="104">
        <f>Billing!AD5</f>
        <v>19750734</v>
      </c>
      <c r="C2" s="102">
        <f>Billing!AE5</f>
        <v>15256826.19019752</v>
      </c>
    </row>
    <row r="3" spans="1:3" ht="21" x14ac:dyDescent="0.4">
      <c r="A3" s="101" t="str">
        <f>Billing!Q6</f>
        <v>Ejaz Sahab</v>
      </c>
      <c r="B3" s="104">
        <f>Billing!AD6</f>
        <v>6067319</v>
      </c>
      <c r="C3" s="102">
        <f>Billing!AE6</f>
        <v>329454.04316020571</v>
      </c>
    </row>
    <row r="4" spans="1:3" ht="21" x14ac:dyDescent="0.4">
      <c r="A4" s="101" t="str">
        <f>Billing!Q7</f>
        <v>Arshad</v>
      </c>
      <c r="B4" s="104">
        <f>Billing!AD7</f>
        <v>8492501</v>
      </c>
      <c r="C4" s="103">
        <f>Billing!AE7</f>
        <v>111493.14776883647</v>
      </c>
    </row>
    <row r="5" spans="1:3" ht="21" x14ac:dyDescent="0.4">
      <c r="A5" s="101" t="str">
        <f>Billing!Q8</f>
        <v>Shehzad Kamoki</v>
      </c>
      <c r="B5" s="104">
        <f>Billing!AD8</f>
        <v>1353710</v>
      </c>
      <c r="C5" s="103">
        <f>Billing!AE8</f>
        <v>531.99729334330186</v>
      </c>
    </row>
    <row r="6" spans="1:3" ht="21" x14ac:dyDescent="0.4">
      <c r="A6" s="101" t="str">
        <f>Billing!Q9</f>
        <v>Sufi Nawaz Sahab</v>
      </c>
      <c r="B6" s="104">
        <f>Billing!AD9</f>
        <v>11478764</v>
      </c>
      <c r="C6" s="102">
        <f>Billing!AE9</f>
        <v>0.23847842030227184</v>
      </c>
    </row>
    <row r="7" spans="1:3" ht="21" x14ac:dyDescent="0.4">
      <c r="A7" s="101" t="str">
        <f>Billing!Q10</f>
        <v>Sajad Khan</v>
      </c>
      <c r="B7" s="104">
        <f>Billing!AD10</f>
        <v>9609871</v>
      </c>
      <c r="C7" s="102">
        <f>Billing!AE10</f>
        <v>206737.44915874302</v>
      </c>
    </row>
    <row r="8" spans="1:3" ht="21" x14ac:dyDescent="0.4">
      <c r="A8" s="101" t="str">
        <f>Billing!Q11</f>
        <v>Raaz Fabrics</v>
      </c>
      <c r="B8" s="104">
        <f>Billing!AD11</f>
        <v>1526321</v>
      </c>
      <c r="C8" s="103">
        <f>Billing!AE11</f>
        <v>100059.76079005143</v>
      </c>
    </row>
    <row r="9" spans="1:3" ht="21" x14ac:dyDescent="0.4">
      <c r="A9" s="101" t="str">
        <f>Billing!Q12</f>
        <v>Azam</v>
      </c>
      <c r="B9" s="104">
        <f>Billing!AD12</f>
        <v>7402540</v>
      </c>
      <c r="C9" s="102">
        <f>Billing!AE12</f>
        <v>531.50694952532649</v>
      </c>
    </row>
    <row r="10" spans="1:3" ht="21" x14ac:dyDescent="0.4">
      <c r="A10" s="101" t="str">
        <f>Billing!Q13</f>
        <v>Ubaidullah</v>
      </c>
      <c r="B10" s="104">
        <f>Billing!AD13</f>
        <v>1908190</v>
      </c>
      <c r="C10" s="102">
        <f>Billing!AE13</f>
        <v>1274.1550841256976</v>
      </c>
    </row>
    <row r="11" spans="1:3" ht="21" x14ac:dyDescent="0.4">
      <c r="A11" s="101" t="str">
        <f>Billing!Q14</f>
        <v>Ashraf Zia</v>
      </c>
      <c r="B11" s="104">
        <f>Billing!AD14</f>
        <v>130000</v>
      </c>
      <c r="C11" s="102">
        <f>Billing!AE14</f>
        <v>125724.21360643749</v>
      </c>
    </row>
    <row r="12" spans="1:3" ht="21" x14ac:dyDescent="0.4">
      <c r="A12" s="101" t="str">
        <f>Billing!Q15</f>
        <v>Hafiz Qureshi</v>
      </c>
      <c r="B12" s="104">
        <f>Billing!AD15</f>
        <v>4146179</v>
      </c>
      <c r="C12" s="102">
        <f>Billing!AE15</f>
        <v>10980.839063643478</v>
      </c>
    </row>
    <row r="13" spans="1:3" ht="21" x14ac:dyDescent="0.4">
      <c r="A13" s="101" t="str">
        <f>Billing!Q16</f>
        <v>Badshah Fabrics</v>
      </c>
      <c r="B13" s="104">
        <f>Billing!AD16</f>
        <v>6545761</v>
      </c>
      <c r="C13" s="102">
        <f>Billing!AE16</f>
        <v>91938.341623995453</v>
      </c>
    </row>
    <row r="14" spans="1:3" ht="21" x14ac:dyDescent="0.4">
      <c r="A14" s="101" t="str">
        <f>Billing!Q17</f>
        <v>Gauhar Kashif</v>
      </c>
      <c r="B14" s="104">
        <f>Billing!AD17</f>
        <v>1214045</v>
      </c>
      <c r="C14" s="102">
        <f>Billing!AE17</f>
        <v>0.35479151434265077</v>
      </c>
    </row>
    <row r="15" spans="1:3" ht="21" x14ac:dyDescent="0.4">
      <c r="A15" s="101" t="str">
        <f>Billing!Q18</f>
        <v>Amjad 7up</v>
      </c>
      <c r="B15" s="104">
        <f>Billing!AD18</f>
        <v>480000</v>
      </c>
      <c r="C15" s="103">
        <f>Billing!AE18</f>
        <v>3851.4996342355735</v>
      </c>
    </row>
    <row r="16" spans="1:3" ht="21" x14ac:dyDescent="0.4">
      <c r="A16" s="101" t="str">
        <f>Billing!Q19</f>
        <v>Hazrat Khan</v>
      </c>
      <c r="B16" s="104">
        <f>Billing!AD19</f>
        <v>95000</v>
      </c>
      <c r="C16" s="103">
        <f>Billing!AE19</f>
        <v>-5844.9158741770225</v>
      </c>
    </row>
    <row r="17" spans="1:3" ht="21" x14ac:dyDescent="0.4">
      <c r="A17" s="101" t="str">
        <f>Billing!Q20</f>
        <v>Haseeb Shamsi</v>
      </c>
      <c r="B17" s="104">
        <f>Billing!AD20</f>
        <v>594405</v>
      </c>
      <c r="C17" s="102">
        <f>Billing!AE20</f>
        <v>-0.28163862461224198</v>
      </c>
    </row>
    <row r="18" spans="1:3" ht="21" x14ac:dyDescent="0.4">
      <c r="A18" s="101" t="str">
        <f>Billing!Q21</f>
        <v>Faizan</v>
      </c>
      <c r="B18" s="104">
        <f>Billing!AD21</f>
        <v>6024187</v>
      </c>
      <c r="C18" s="103">
        <f>Billing!AE21</f>
        <v>67297.089246526361</v>
      </c>
    </row>
    <row r="19" spans="1:3" ht="21" x14ac:dyDescent="0.4">
      <c r="A19" s="101" t="str">
        <f>Billing!Q22</f>
        <v>Shafique Ansari</v>
      </c>
      <c r="B19" s="104">
        <f>Billing!AD22</f>
        <v>835660</v>
      </c>
      <c r="C19" s="103">
        <f>Billing!AE22</f>
        <v>356.82516459410544</v>
      </c>
    </row>
    <row r="20" spans="1:3" ht="21" x14ac:dyDescent="0.4">
      <c r="A20" s="101" t="str">
        <f>Billing!Q23</f>
        <v>Amjad sohail</v>
      </c>
      <c r="B20" s="104">
        <f>Billing!AD23</f>
        <v>4417830</v>
      </c>
      <c r="C20" s="102">
        <f>Billing!AE23</f>
        <v>-204053.48207754176</v>
      </c>
    </row>
    <row r="21" spans="1:3" ht="21" x14ac:dyDescent="0.4">
      <c r="A21" s="101" t="str">
        <f>Billing!Q24</f>
        <v>Salman Zaffar</v>
      </c>
      <c r="B21" s="104">
        <f>Billing!AD24</f>
        <v>3296025</v>
      </c>
      <c r="C21" s="102">
        <f>Billing!AE24</f>
        <v>-26245.373079736717</v>
      </c>
    </row>
    <row r="22" spans="1:3" ht="21" x14ac:dyDescent="0.4">
      <c r="A22" s="101" t="str">
        <f>Billing!Q25</f>
        <v>Shahid Qasayi</v>
      </c>
      <c r="B22" s="104">
        <f>Billing!AD25</f>
        <v>3625137</v>
      </c>
      <c r="C22" s="102">
        <f>Billing!AE25</f>
        <v>31759.488661302254</v>
      </c>
    </row>
    <row r="23" spans="1:3" ht="21" x14ac:dyDescent="0.4">
      <c r="A23" s="101" t="str">
        <f>Billing!Q26</f>
        <v>Hameed corporation</v>
      </c>
      <c r="B23" s="104">
        <f>Billing!AD26</f>
        <v>424323</v>
      </c>
      <c r="C23" s="102">
        <f>Billing!AE26</f>
        <v>0.33577176299877465</v>
      </c>
    </row>
    <row r="24" spans="1:3" ht="21" x14ac:dyDescent="0.4">
      <c r="A24" s="101" t="str">
        <f>Billing!Q27</f>
        <v>ibraheem behraam</v>
      </c>
      <c r="B24" s="104">
        <f>Billing!AD27</f>
        <v>1415500</v>
      </c>
      <c r="C24" s="102">
        <f>Billing!AE27</f>
        <v>39344.550109729636</v>
      </c>
    </row>
    <row r="25" spans="1:3" ht="21" x14ac:dyDescent="0.4">
      <c r="A25" s="101" t="str">
        <f>Billing!Q28</f>
        <v>Zia-ullah karachi</v>
      </c>
      <c r="B25" s="104">
        <f>Billing!AD28</f>
        <v>124560</v>
      </c>
      <c r="C25" s="102">
        <f>Billing!AE28</f>
        <v>1.0826627651840681</v>
      </c>
    </row>
    <row r="26" spans="1:3" ht="21" x14ac:dyDescent="0.4">
      <c r="A26" s="101" t="str">
        <f>Billing!Q29</f>
        <v>ZA</v>
      </c>
      <c r="B26" s="104">
        <f>Billing!AD29</f>
        <v>250000</v>
      </c>
      <c r="C26" s="102">
        <f>Billing!AE29</f>
        <v>135138.07607900514</v>
      </c>
    </row>
    <row r="27" spans="1:3" ht="21" x14ac:dyDescent="0.4">
      <c r="A27" s="101" t="str">
        <f>Billing!Q30</f>
        <v>Ahmad Javaid</v>
      </c>
      <c r="B27" s="104">
        <f>Billing!AD30</f>
        <v>0</v>
      </c>
      <c r="C27" s="102">
        <f>Billing!AE30</f>
        <v>151504.2062911485</v>
      </c>
    </row>
    <row r="28" spans="1:3" ht="21" x14ac:dyDescent="0.4">
      <c r="A28" s="101" t="str">
        <f>Billing!Q31</f>
        <v>Rehman Ali</v>
      </c>
      <c r="B28" s="104">
        <f>Billing!AD31</f>
        <v>550000</v>
      </c>
      <c r="C28" s="102">
        <f>Billing!AE31</f>
        <v>45924.46964155091</v>
      </c>
    </row>
    <row r="29" spans="1:3" ht="21" x14ac:dyDescent="0.4">
      <c r="A29" s="101" t="str">
        <f>Billing!Q32</f>
        <v>Shani Badshah</v>
      </c>
      <c r="B29" s="104">
        <f>Billing!AD32</f>
        <v>1300000</v>
      </c>
      <c r="C29" s="102">
        <f>Billing!AE32</f>
        <v>789305.96196049778</v>
      </c>
    </row>
    <row r="30" spans="1:3" ht="21" x14ac:dyDescent="0.4">
      <c r="A30" s="101" t="str">
        <f>Billing!Q33</f>
        <v>Ahmad Shafique</v>
      </c>
      <c r="B30" s="104">
        <f>Billing!AD33</f>
        <v>636000</v>
      </c>
      <c r="C30" s="102">
        <f>Billing!AE33</f>
        <v>460.3145574250957</v>
      </c>
    </row>
    <row r="31" spans="1:3" ht="21" x14ac:dyDescent="0.4">
      <c r="A31" s="101" t="str">
        <f>Billing!Q34</f>
        <v>Hafiz Shawl</v>
      </c>
      <c r="B31" s="104">
        <f>Billing!AD34</f>
        <v>15855</v>
      </c>
      <c r="C31" s="102">
        <f>Billing!AE34</f>
        <v>0.8888076079019811</v>
      </c>
    </row>
    <row r="32" spans="1:3" ht="21" x14ac:dyDescent="0.4">
      <c r="A32" s="101">
        <f>Billing!Q35</f>
        <v>0</v>
      </c>
      <c r="B32" s="104">
        <f>Billing!AD35</f>
        <v>0</v>
      </c>
      <c r="C32" s="102">
        <f>Billing!AE35</f>
        <v>0</v>
      </c>
    </row>
    <row r="33" spans="1:3" ht="21" x14ac:dyDescent="0.4">
      <c r="A33" s="101">
        <f>Billing!Q36</f>
        <v>0</v>
      </c>
      <c r="B33" s="104">
        <f>Billing!AD36</f>
        <v>0</v>
      </c>
      <c r="C33" s="102">
        <f>Billing!AE36</f>
        <v>0</v>
      </c>
    </row>
    <row r="34" spans="1:3" ht="21" x14ac:dyDescent="0.4">
      <c r="A34" s="101">
        <f>Billing!Q37</f>
        <v>0</v>
      </c>
      <c r="B34" s="104">
        <f>Billing!AD37</f>
        <v>0</v>
      </c>
      <c r="C34" s="102">
        <f>Billing!AE37</f>
        <v>0</v>
      </c>
    </row>
    <row r="35" spans="1:3" ht="21" x14ac:dyDescent="0.4">
      <c r="A35" s="101">
        <f>Billing!Q38</f>
        <v>0</v>
      </c>
      <c r="B35" s="104">
        <f>Billing!AD38</f>
        <v>0</v>
      </c>
      <c r="C35" s="102">
        <f>Billing!AE38</f>
        <v>0</v>
      </c>
    </row>
    <row r="36" spans="1:3" ht="21" x14ac:dyDescent="0.4">
      <c r="A36" s="101">
        <f>Billing!Q39</f>
        <v>0</v>
      </c>
      <c r="B36" s="104">
        <f>Billing!AD39</f>
        <v>0</v>
      </c>
      <c r="C36" s="102">
        <f>Billing!AE39</f>
        <v>0</v>
      </c>
    </row>
    <row r="37" spans="1:3" ht="21" x14ac:dyDescent="0.4">
      <c r="A37" s="101">
        <f>Billing!Q40</f>
        <v>0</v>
      </c>
      <c r="B37" s="104">
        <f>Billing!AD40</f>
        <v>0</v>
      </c>
      <c r="C37" s="102">
        <f>Billing!AE40</f>
        <v>0</v>
      </c>
    </row>
    <row r="38" spans="1:3" ht="21" x14ac:dyDescent="0.4">
      <c r="A38" s="101">
        <f>Billing!Q41</f>
        <v>0</v>
      </c>
      <c r="B38" s="104">
        <f>Billing!AD41</f>
        <v>0</v>
      </c>
      <c r="C38" s="102">
        <f>Billing!AE41</f>
        <v>0</v>
      </c>
    </row>
    <row r="39" spans="1:3" ht="21" x14ac:dyDescent="0.4">
      <c r="A39" s="101">
        <f>Billing!Q42</f>
        <v>0</v>
      </c>
      <c r="B39" s="104">
        <f>Billing!AD42</f>
        <v>0</v>
      </c>
      <c r="C39" s="102">
        <f>Billing!AE42</f>
        <v>0</v>
      </c>
    </row>
    <row r="40" spans="1:3" ht="21" x14ac:dyDescent="0.4">
      <c r="A40" s="101">
        <f>Billing!Q43</f>
        <v>0</v>
      </c>
      <c r="B40" s="104">
        <f>Billing!AD43</f>
        <v>0</v>
      </c>
      <c r="C40" s="102">
        <f>Billing!AE43</f>
        <v>0</v>
      </c>
    </row>
  </sheetData>
  <conditionalFormatting sqref="C2:C40">
    <cfRule type="cellIs" dxfId="5" priority="1" operator="lessThan">
      <formula>10</formula>
    </cfRule>
  </conditionalFormatting>
  <conditionalFormatting sqref="C2:C41">
    <cfRule type="cellIs" dxfId="4" priority="2" operator="greaterThan">
      <formula>10</formula>
    </cfRule>
  </conditionalFormatting>
  <pageMargins left="0.7" right="0.7" top="0.75" bottom="0.75" header="0.3" footer="0.3"/>
  <pageSetup fitToHeight="0"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DEE5-30F1-4E4F-B630-8B4E4FCA344C}">
  <dimension ref="A1:B27"/>
  <sheetViews>
    <sheetView zoomScale="146" workbookViewId="0">
      <selection activeCell="D26" sqref="D26"/>
    </sheetView>
  </sheetViews>
  <sheetFormatPr defaultRowHeight="14.4" x14ac:dyDescent="0.3"/>
  <cols>
    <col min="1" max="1" width="13.44140625" customWidth="1"/>
    <col min="2" max="2" width="15.5546875" customWidth="1"/>
  </cols>
  <sheetData>
    <row r="1" spans="1:2" x14ac:dyDescent="0.3">
      <c r="A1" t="s">
        <v>167</v>
      </c>
      <c r="B1" t="s">
        <v>69</v>
      </c>
    </row>
    <row r="2" spans="1:2" x14ac:dyDescent="0.3">
      <c r="A2" s="80" t="s">
        <v>21</v>
      </c>
      <c r="B2" s="10">
        <f>_xlfn.XLOOKUP($A2,[1]Billing!$Q$5:$Q$40,[1]Billing!$AD$5:$AD$40)</f>
        <v>19750734</v>
      </c>
    </row>
    <row r="3" spans="1:2" x14ac:dyDescent="0.3">
      <c r="A3" s="80" t="s">
        <v>22</v>
      </c>
      <c r="B3" s="10">
        <f>_xlfn.XLOOKUP($A3,[1]Billing!$Q$5:$Q$40,[1]Billing!$AD$5:$AD$40)</f>
        <v>5195319</v>
      </c>
    </row>
    <row r="4" spans="1:2" x14ac:dyDescent="0.3">
      <c r="A4" s="80" t="s">
        <v>9</v>
      </c>
      <c r="B4" s="10">
        <f>_xlfn.XLOOKUP($A4,[1]Billing!$Q$5:$Q$40,[1]Billing!$AD$5:$AD$40)</f>
        <v>7835501</v>
      </c>
    </row>
    <row r="5" spans="1:2" x14ac:dyDescent="0.3">
      <c r="A5" s="80" t="s">
        <v>23</v>
      </c>
      <c r="B5" s="10">
        <f>_xlfn.XLOOKUP($A5,[1]Billing!$Q$5:$Q$40,[1]Billing!$AD$5:$AD$40)</f>
        <v>1353710</v>
      </c>
    </row>
    <row r="6" spans="1:2" x14ac:dyDescent="0.3">
      <c r="A6" s="80" t="s">
        <v>24</v>
      </c>
      <c r="B6" s="10">
        <f>_xlfn.XLOOKUP($A6,[1]Billing!$Q$5:$Q$40,[1]Billing!$AD$5:$AD$40)</f>
        <v>11478764</v>
      </c>
    </row>
    <row r="7" spans="1:2" x14ac:dyDescent="0.3">
      <c r="A7" s="80" t="s">
        <v>25</v>
      </c>
      <c r="B7" s="10">
        <f>_xlfn.XLOOKUP($A7,[1]Billing!$Q$5:$Q$40,[1]Billing!$AD$5:$AD$40)</f>
        <v>7997871</v>
      </c>
    </row>
    <row r="8" spans="1:2" x14ac:dyDescent="0.3">
      <c r="A8" s="80" t="s">
        <v>26</v>
      </c>
      <c r="B8" s="10">
        <f>_xlfn.XLOOKUP($A8,[1]Billing!$Q$5:$Q$40,[1]Billing!$AD$5:$AD$40)</f>
        <v>1526321</v>
      </c>
    </row>
    <row r="9" spans="1:2" x14ac:dyDescent="0.3">
      <c r="A9" s="80" t="s">
        <v>152</v>
      </c>
      <c r="B9" s="10">
        <f>_xlfn.XLOOKUP($A9,[1]Billing!$Q$5:$Q$40,[1]Billing!$AD$5:$AD$40)</f>
        <v>5089540</v>
      </c>
    </row>
    <row r="10" spans="1:2" x14ac:dyDescent="0.3">
      <c r="A10" s="80" t="s">
        <v>35</v>
      </c>
      <c r="B10" s="10">
        <f>_xlfn.XLOOKUP($A10,[1]Billing!$Q$5:$Q$40,[1]Billing!$AD$5:$AD$40)</f>
        <v>1390190</v>
      </c>
    </row>
    <row r="11" spans="1:2" x14ac:dyDescent="0.3">
      <c r="A11" s="80" t="s">
        <v>148</v>
      </c>
      <c r="B11" s="10">
        <f>_xlfn.XLOOKUP($A11,[1]Billing!$Q$5:$Q$40,[1]Billing!$AD$5:$AD$40)</f>
        <v>130000</v>
      </c>
    </row>
    <row r="12" spans="1:2" x14ac:dyDescent="0.3">
      <c r="A12" s="80" t="s">
        <v>27</v>
      </c>
      <c r="B12" s="10">
        <f>_xlfn.XLOOKUP($A12,[1]Billing!$Q$5:$Q$40,[1]Billing!$AD$5:$AD$40)</f>
        <v>2869679</v>
      </c>
    </row>
    <row r="13" spans="1:2" x14ac:dyDescent="0.3">
      <c r="A13" s="80" t="s">
        <v>166</v>
      </c>
      <c r="B13" s="10">
        <f>_xlfn.XLOOKUP($A13,[1]Billing!$Q$5:$Q$40,[1]Billing!$AD$5:$AD$40)</f>
        <v>6545761</v>
      </c>
    </row>
    <row r="14" spans="1:2" x14ac:dyDescent="0.3">
      <c r="A14" s="80" t="s">
        <v>217</v>
      </c>
      <c r="B14" s="10">
        <f>_xlfn.XLOOKUP($A14,[1]Billing!$Q$5:$Q$40,[1]Billing!$AD$5:$AD$40)</f>
        <v>485800</v>
      </c>
    </row>
    <row r="15" spans="1:2" x14ac:dyDescent="0.3">
      <c r="A15" s="80" t="s">
        <v>170</v>
      </c>
      <c r="B15" s="10">
        <f>_xlfn.XLOOKUP($A15,[1]Billing!$Q$5:$Q$40,[1]Billing!$AD$5:$AD$40)</f>
        <v>480000</v>
      </c>
    </row>
    <row r="16" spans="1:2" x14ac:dyDescent="0.3">
      <c r="A16" s="80" t="s">
        <v>171</v>
      </c>
      <c r="B16" s="10">
        <f>_xlfn.XLOOKUP($A16,[1]Billing!$Q$5:$Q$40,[1]Billing!$AD$5:$AD$40)</f>
        <v>95000</v>
      </c>
    </row>
    <row r="17" spans="1:2" x14ac:dyDescent="0.3">
      <c r="A17" s="80" t="s">
        <v>173</v>
      </c>
      <c r="B17" s="10">
        <f>_xlfn.XLOOKUP($A17,[1]Billing!$Q$5:$Q$40,[1]Billing!$AD$5:$AD$40)</f>
        <v>594405</v>
      </c>
    </row>
    <row r="18" spans="1:2" x14ac:dyDescent="0.3">
      <c r="A18" s="80" t="s">
        <v>175</v>
      </c>
      <c r="B18" s="10">
        <f>_xlfn.XLOOKUP($A18,[1]Billing!$Q$5:$Q$40,[1]Billing!$AD$5:$AD$40)</f>
        <v>4915571</v>
      </c>
    </row>
    <row r="19" spans="1:2" x14ac:dyDescent="0.3">
      <c r="A19" s="80" t="s">
        <v>177</v>
      </c>
      <c r="B19" s="10">
        <f>_xlfn.XLOOKUP($A19,[1]Billing!$Q$5:$Q$40,[1]Billing!$AD$5:$AD$40)</f>
        <v>835660</v>
      </c>
    </row>
    <row r="20" spans="1:2" x14ac:dyDescent="0.3">
      <c r="A20" s="80" t="s">
        <v>178</v>
      </c>
      <c r="B20" s="10">
        <f>_xlfn.XLOOKUP($A20,[1]Billing!$Q$5:$Q$40,[1]Billing!$AD$5:$AD$40)</f>
        <v>2909310</v>
      </c>
    </row>
    <row r="21" spans="1:2" x14ac:dyDescent="0.3">
      <c r="A21" s="80" t="s">
        <v>183</v>
      </c>
      <c r="B21" s="10">
        <f>_xlfn.XLOOKUP($A21,[1]Billing!$Q$5:$Q$40,[1]Billing!$AD$5:$AD$40)</f>
        <v>2146025</v>
      </c>
    </row>
    <row r="22" spans="1:2" x14ac:dyDescent="0.3">
      <c r="A22" s="80" t="s">
        <v>188</v>
      </c>
      <c r="B22" s="10">
        <f>_xlfn.XLOOKUP($A22,[1]Billing!$Q$5:$Q$40,[1]Billing!$AD$5:$AD$40)</f>
        <v>2761895</v>
      </c>
    </row>
    <row r="23" spans="1:2" x14ac:dyDescent="0.3">
      <c r="A23" s="80" t="s">
        <v>191</v>
      </c>
      <c r="B23" s="10">
        <f>_xlfn.XLOOKUP($A23,[1]Billing!$Q$5:$Q$40,[1]Billing!$AD$5:$AD$40)</f>
        <v>424323</v>
      </c>
    </row>
    <row r="24" spans="1:2" x14ac:dyDescent="0.3">
      <c r="A24" s="80" t="s">
        <v>190</v>
      </c>
      <c r="B24" s="10">
        <f>_xlfn.XLOOKUP($A24,[1]Billing!$Q$5:$Q$40,[1]Billing!$AD$5:$AD$40)</f>
        <v>790500</v>
      </c>
    </row>
    <row r="25" spans="1:2" x14ac:dyDescent="0.3">
      <c r="A25" s="80" t="s">
        <v>195</v>
      </c>
      <c r="B25" s="10">
        <f>_xlfn.XLOOKUP($A25,[1]Billing!$Q$5:$Q$40,[1]Billing!$AD$5:$AD$40)</f>
        <v>124560</v>
      </c>
    </row>
    <row r="26" spans="1:2" x14ac:dyDescent="0.3">
      <c r="A26" s="80" t="s">
        <v>200</v>
      </c>
      <c r="B26" s="10">
        <f>_xlfn.XLOOKUP($A26,[1]Billing!$Q$5:$Q$40,[1]Billing!$AD$5:$AD$40)</f>
        <v>250000</v>
      </c>
    </row>
    <row r="27" spans="1:2" x14ac:dyDescent="0.3">
      <c r="A27" s="116" t="s">
        <v>202</v>
      </c>
      <c r="B27" s="10">
        <f>_xlfn.XLOOKUP($A27,[1]Billing!$Q$5:$Q$40,[1]Billing!$AD$5:$AD$40)</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653170-0ABA-4B0E-A63E-D518C3729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Billing</vt:lpstr>
      <vt:lpstr>Bill Print</vt:lpstr>
      <vt:lpstr>Expenses</vt:lpstr>
      <vt:lpstr>Profit</vt:lpstr>
      <vt:lpstr>Transport</vt:lpstr>
      <vt:lpstr>ledger</vt:lpstr>
      <vt:lpstr>Gray Khata</vt:lpstr>
      <vt:lpstr>Wood</vt:lpstr>
      <vt:lpstr>Cashbook</vt:lpstr>
      <vt:lpstr>Dyes</vt:lpstr>
      <vt:lpstr>Finish</vt:lpstr>
      <vt:lpstr>Electricity</vt:lpstr>
      <vt:lpstr>Miscellaneous</vt:lpstr>
      <vt:lpstr>Salary Acc</vt:lpstr>
      <vt:lpstr>pivot </vt:lpstr>
      <vt:lpstr>Running Acc</vt:lpstr>
      <vt:lpstr>Balance</vt:lpstr>
      <vt:lpstr>Cashflow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Omer</dc:creator>
  <cp:keywords/>
  <dc:description/>
  <cp:lastModifiedBy>Muhammad  Omer</cp:lastModifiedBy>
  <cp:revision/>
  <cp:lastPrinted>2025-11-04T22:14:49Z</cp:lastPrinted>
  <dcterms:created xsi:type="dcterms:W3CDTF">2025-06-24T04:42:48Z</dcterms:created>
  <dcterms:modified xsi:type="dcterms:W3CDTF">2026-03-17T23:40:14Z</dcterms:modified>
  <cp:category/>
  <cp:contentStatus/>
</cp:coreProperties>
</file>